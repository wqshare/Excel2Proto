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古惑仔trunk\gamexlm\excel\"/>
    </mc:Choice>
  </mc:AlternateContent>
  <bookViews>
    <workbookView xWindow="240" yWindow="105" windowWidth="14805" windowHeight="8010" firstSheet="6" activeTab="9"/>
  </bookViews>
  <sheets>
    <sheet name="0、规划配置" sheetId="3" r:id="rId1"/>
    <sheet name="各种公式" sheetId="16" r:id="rId2"/>
    <sheet name="1、战斗节奏表" sheetId="1" r:id="rId3"/>
    <sheet name="2、属性成长" sheetId="2" r:id="rId4"/>
    <sheet name="3、总属性战斗节奏拟合" sheetId="17" r:id="rId5"/>
    <sheet name="4、人物躶体&amp;总属性表" sheetId="15" r:id="rId6"/>
    <sheet name="人物总属性查询表" sheetId="21" r:id="rId7"/>
    <sheet name="5、系统属性规划" sheetId="12" r:id="rId8"/>
    <sheet name="属性分配验证" sheetId="18" r:id="rId9"/>
    <sheet name="装备规划" sheetId="4" r:id="rId10"/>
    <sheet name="时装规划" sheetId="10" r:id="rId11"/>
    <sheet name="马仔规划" sheetId="8" r:id="rId12"/>
    <sheet name="称号规划" sheetId="9" r:id="rId13"/>
    <sheet name="翅膀规划" sheetId="6" r:id="rId14"/>
    <sheet name="龙魂规划" sheetId="7" r:id="rId15"/>
    <sheet name="命格规划" sheetId="5" r:id="rId16"/>
    <sheet name="祥云" sheetId="19" r:id="rId17"/>
    <sheet name="属性战斗节奏评估" sheetId="20" r:id="rId18"/>
  </sheets>
  <definedNames>
    <definedName name="龙魂分图属性">龙魂规划!$E$37:$O$43</definedName>
    <definedName name="躶体属性参考系">'4、人物躶体&amp;总属性表'!$B$4:$F$104</definedName>
    <definedName name="人物躶体属性">'4、人物躶体&amp;总属性表'!$B$5:$E$104</definedName>
    <definedName name="属性定义">'0、规划配置'!$B$2:$C$24</definedName>
    <definedName name="属性价值比">各种公式!$C$13:$O$13</definedName>
    <definedName name="属性权重数组">'5、系统属性规划'!$B$45:$O$53</definedName>
    <definedName name="属性再分配百分比">'5、系统属性规划'!#REF!</definedName>
    <definedName name="战斗节奏平砍下数">'1、战斗节奏表'!$F$47:$H$57</definedName>
    <definedName name="战斗节奏数值比">'1、战斗节奏表'!$E$76:$I$86</definedName>
    <definedName name="装备基础属性表">装备规划!$D$51:$Q$76</definedName>
    <definedName name="总属性参考数组">人物总属性查询表!$B$4:$O$103</definedName>
  </definedNames>
  <calcPr calcId="152511"/>
</workbook>
</file>

<file path=xl/calcChain.xml><?xml version="1.0" encoding="utf-8"?>
<calcChain xmlns="http://schemas.openxmlformats.org/spreadsheetml/2006/main">
  <c r="O11" i="4" l="1"/>
  <c r="K13" i="4"/>
  <c r="K5" i="4"/>
  <c r="D117" i="4" l="1"/>
  <c r="V85" i="4"/>
  <c r="D85" i="4"/>
  <c r="D56" i="4"/>
  <c r="D116" i="4" l="1"/>
  <c r="V84" i="4"/>
  <c r="D84" i="4"/>
  <c r="D55" i="4"/>
  <c r="O13" i="16" l="1"/>
  <c r="N13" i="16"/>
  <c r="M13" i="16"/>
  <c r="L13" i="16"/>
  <c r="K13" i="16" s="1"/>
  <c r="I13" i="16"/>
  <c r="H13" i="16"/>
  <c r="G13" i="16"/>
  <c r="F13" i="16"/>
  <c r="C13" i="16"/>
  <c r="J47" i="12"/>
  <c r="H47" i="12"/>
  <c r="F47" i="12"/>
  <c r="V81" i="4" l="1"/>
  <c r="V82" i="4"/>
  <c r="V83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80" i="4"/>
  <c r="E12" i="9" l="1"/>
  <c r="E11" i="9"/>
  <c r="E10" i="9" s="1"/>
  <c r="E9" i="9" s="1"/>
  <c r="E8" i="9" s="1"/>
  <c r="E7" i="9" s="1"/>
  <c r="E6" i="9" s="1"/>
  <c r="E5" i="9" s="1"/>
  <c r="E13" i="9"/>
  <c r="F13" i="9" l="1"/>
  <c r="F12" i="9"/>
  <c r="F11" i="9"/>
  <c r="F10" i="9" l="1"/>
  <c r="K17" i="4"/>
  <c r="M5" i="4"/>
  <c r="L5" i="4"/>
  <c r="N5" i="4"/>
  <c r="K47" i="4"/>
  <c r="L47" i="4"/>
  <c r="M47" i="4"/>
  <c r="N47" i="4"/>
  <c r="O47" i="4"/>
  <c r="P47" i="4"/>
  <c r="Q47" i="4"/>
  <c r="R47" i="4"/>
  <c r="S47" i="4"/>
  <c r="T47" i="4"/>
  <c r="F19" i="4"/>
  <c r="F27" i="4"/>
  <c r="F28" i="4"/>
  <c r="F21" i="4"/>
  <c r="F22" i="4"/>
  <c r="F23" i="4"/>
  <c r="F24" i="4"/>
  <c r="F25" i="4"/>
  <c r="F26" i="4"/>
  <c r="F20" i="4"/>
  <c r="F9" i="9" l="1"/>
  <c r="F8" i="9" l="1"/>
  <c r="F2" i="18"/>
  <c r="G2" i="18"/>
  <c r="H2" i="18"/>
  <c r="I2" i="18"/>
  <c r="J2" i="18"/>
  <c r="K2" i="18"/>
  <c r="L2" i="18"/>
  <c r="M2" i="18"/>
  <c r="N2" i="18"/>
  <c r="O2" i="18"/>
  <c r="F7" i="9" l="1"/>
  <c r="M4" i="21"/>
  <c r="M5" i="21"/>
  <c r="M6" i="21"/>
  <c r="M7" i="21"/>
  <c r="M8" i="21"/>
  <c r="M9" i="21"/>
  <c r="M10" i="21"/>
  <c r="M11" i="21"/>
  <c r="M12" i="21"/>
  <c r="M13" i="21"/>
  <c r="M14" i="21"/>
  <c r="M15" i="21"/>
  <c r="M16" i="21"/>
  <c r="M17" i="21"/>
  <c r="M18" i="21"/>
  <c r="M19" i="21"/>
  <c r="M20" i="21"/>
  <c r="M21" i="21"/>
  <c r="M22" i="21"/>
  <c r="M23" i="21"/>
  <c r="M24" i="21"/>
  <c r="M25" i="21"/>
  <c r="M26" i="21"/>
  <c r="M27" i="21"/>
  <c r="M28" i="21"/>
  <c r="M29" i="21"/>
  <c r="M30" i="21"/>
  <c r="M31" i="21"/>
  <c r="M32" i="21"/>
  <c r="M33" i="21"/>
  <c r="M34" i="21"/>
  <c r="M35" i="21"/>
  <c r="M36" i="21"/>
  <c r="M37" i="21"/>
  <c r="M38" i="21"/>
  <c r="M39" i="21"/>
  <c r="M40" i="21"/>
  <c r="M41" i="21"/>
  <c r="M42" i="21"/>
  <c r="M43" i="21"/>
  <c r="M44" i="21"/>
  <c r="M45" i="21"/>
  <c r="M46" i="21"/>
  <c r="M47" i="21"/>
  <c r="M48" i="21"/>
  <c r="M49" i="21"/>
  <c r="M50" i="21"/>
  <c r="M51" i="21"/>
  <c r="M52" i="21"/>
  <c r="M53" i="21"/>
  <c r="M54" i="21"/>
  <c r="M55" i="21"/>
  <c r="M56" i="21"/>
  <c r="M57" i="21"/>
  <c r="M58" i="21"/>
  <c r="M59" i="21"/>
  <c r="M60" i="21"/>
  <c r="M61" i="21"/>
  <c r="M62" i="21"/>
  <c r="M63" i="21"/>
  <c r="M64" i="21"/>
  <c r="M65" i="21"/>
  <c r="M66" i="21"/>
  <c r="M67" i="21"/>
  <c r="M68" i="21"/>
  <c r="M69" i="21"/>
  <c r="M70" i="21"/>
  <c r="M71" i="21"/>
  <c r="M72" i="21"/>
  <c r="M73" i="21"/>
  <c r="M74" i="21"/>
  <c r="M75" i="21"/>
  <c r="M76" i="21"/>
  <c r="M77" i="21"/>
  <c r="M78" i="21"/>
  <c r="M79" i="21"/>
  <c r="M80" i="21"/>
  <c r="M81" i="21"/>
  <c r="M82" i="21"/>
  <c r="M83" i="21"/>
  <c r="M84" i="21"/>
  <c r="M85" i="21"/>
  <c r="M86" i="21"/>
  <c r="M87" i="21"/>
  <c r="M88" i="21"/>
  <c r="M89" i="21"/>
  <c r="M90" i="21"/>
  <c r="M91" i="21"/>
  <c r="M92" i="21"/>
  <c r="M93" i="21"/>
  <c r="M94" i="21"/>
  <c r="M95" i="21"/>
  <c r="M96" i="21"/>
  <c r="M97" i="21"/>
  <c r="M98" i="21"/>
  <c r="M99" i="21"/>
  <c r="M100" i="21"/>
  <c r="M101" i="21"/>
  <c r="M102" i="21"/>
  <c r="M103" i="21"/>
  <c r="F5" i="9" l="1"/>
  <c r="F6" i="9"/>
  <c r="A6" i="16"/>
  <c r="A5" i="16"/>
  <c r="A4" i="16"/>
  <c r="A3" i="16"/>
  <c r="P22" i="12" l="1"/>
  <c r="E14" i="5" l="1"/>
  <c r="E15" i="5" s="1"/>
  <c r="E16" i="5" s="1"/>
  <c r="E17" i="5" s="1"/>
  <c r="F13" i="5" s="1"/>
  <c r="F7" i="5"/>
  <c r="F6" i="5"/>
  <c r="AC107" i="15" l="1"/>
  <c r="S6" i="17" l="1"/>
  <c r="S7" i="17"/>
  <c r="S8" i="17"/>
  <c r="S9" i="17"/>
  <c r="S10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47" i="17"/>
  <c r="S48" i="17"/>
  <c r="S49" i="17"/>
  <c r="S50" i="17"/>
  <c r="S51" i="17"/>
  <c r="S52" i="17"/>
  <c r="S53" i="17"/>
  <c r="S54" i="17"/>
  <c r="S55" i="17"/>
  <c r="S56" i="17"/>
  <c r="S57" i="17"/>
  <c r="S58" i="17"/>
  <c r="S59" i="17"/>
  <c r="S60" i="17"/>
  <c r="S61" i="17"/>
  <c r="S62" i="17"/>
  <c r="S63" i="17"/>
  <c r="S64" i="17"/>
  <c r="S65" i="17"/>
  <c r="S66" i="17"/>
  <c r="S67" i="17"/>
  <c r="S68" i="17"/>
  <c r="S69" i="17"/>
  <c r="S70" i="17"/>
  <c r="S71" i="17"/>
  <c r="S72" i="17"/>
  <c r="S73" i="17"/>
  <c r="S74" i="17"/>
  <c r="S75" i="17"/>
  <c r="S76" i="17"/>
  <c r="S77" i="17"/>
  <c r="S78" i="17"/>
  <c r="S79" i="17"/>
  <c r="S80" i="17"/>
  <c r="S81" i="17"/>
  <c r="S82" i="17"/>
  <c r="S83" i="17"/>
  <c r="S84" i="17"/>
  <c r="S85" i="17"/>
  <c r="S86" i="17"/>
  <c r="S87" i="17"/>
  <c r="S88" i="17"/>
  <c r="S89" i="17"/>
  <c r="S90" i="17"/>
  <c r="S91" i="17"/>
  <c r="S92" i="17"/>
  <c r="S93" i="17"/>
  <c r="S94" i="17"/>
  <c r="S95" i="17"/>
  <c r="S96" i="17"/>
  <c r="S97" i="17"/>
  <c r="S98" i="17"/>
  <c r="S99" i="17"/>
  <c r="S100" i="17"/>
  <c r="S101" i="17"/>
  <c r="S102" i="17"/>
  <c r="S103" i="17"/>
  <c r="S104" i="17"/>
  <c r="S5" i="17"/>
  <c r="R6" i="17"/>
  <c r="R7" i="17"/>
  <c r="R8" i="17"/>
  <c r="R9" i="17"/>
  <c r="R10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47" i="17"/>
  <c r="R48" i="17"/>
  <c r="R49" i="17"/>
  <c r="R50" i="17"/>
  <c r="R51" i="17"/>
  <c r="R52" i="17"/>
  <c r="R53" i="17"/>
  <c r="R54" i="17"/>
  <c r="R55" i="17"/>
  <c r="R56" i="17"/>
  <c r="R57" i="17"/>
  <c r="R58" i="17"/>
  <c r="R59" i="17"/>
  <c r="R60" i="17"/>
  <c r="R61" i="17"/>
  <c r="R62" i="17"/>
  <c r="R63" i="17"/>
  <c r="R64" i="17"/>
  <c r="R65" i="17"/>
  <c r="R66" i="17"/>
  <c r="R67" i="17"/>
  <c r="R68" i="17"/>
  <c r="R69" i="17"/>
  <c r="R70" i="17"/>
  <c r="R71" i="17"/>
  <c r="R72" i="17"/>
  <c r="R73" i="17"/>
  <c r="R74" i="17"/>
  <c r="R75" i="17"/>
  <c r="R76" i="17"/>
  <c r="R77" i="17"/>
  <c r="R78" i="17"/>
  <c r="R79" i="17"/>
  <c r="R80" i="17"/>
  <c r="R81" i="17"/>
  <c r="R82" i="17"/>
  <c r="R83" i="17"/>
  <c r="R84" i="17"/>
  <c r="R85" i="17"/>
  <c r="R86" i="17"/>
  <c r="R87" i="17"/>
  <c r="R88" i="17"/>
  <c r="R89" i="17"/>
  <c r="R90" i="17"/>
  <c r="R91" i="17"/>
  <c r="R92" i="17"/>
  <c r="R93" i="17"/>
  <c r="R94" i="17"/>
  <c r="R95" i="17"/>
  <c r="R96" i="17"/>
  <c r="R97" i="17"/>
  <c r="R98" i="17"/>
  <c r="R99" i="17"/>
  <c r="R100" i="17"/>
  <c r="R101" i="17"/>
  <c r="R102" i="17"/>
  <c r="R103" i="17"/>
  <c r="R104" i="17"/>
  <c r="R5" i="17"/>
  <c r="Q6" i="17"/>
  <c r="Q7" i="17"/>
  <c r="Q8" i="17"/>
  <c r="Q9" i="17"/>
  <c r="Q10" i="17"/>
  <c r="Q11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Q24" i="17"/>
  <c r="Q25" i="17"/>
  <c r="Q26" i="17"/>
  <c r="Q27" i="17"/>
  <c r="Q28" i="17"/>
  <c r="Q29" i="17"/>
  <c r="Q30" i="17"/>
  <c r="Q31" i="17"/>
  <c r="Q32" i="17"/>
  <c r="Q33" i="17"/>
  <c r="Q34" i="17"/>
  <c r="Q35" i="17"/>
  <c r="Q36" i="17"/>
  <c r="Q37" i="17"/>
  <c r="Q38" i="17"/>
  <c r="Q39" i="17"/>
  <c r="Q40" i="17"/>
  <c r="Q41" i="17"/>
  <c r="Q42" i="17"/>
  <c r="Q43" i="17"/>
  <c r="Q44" i="17"/>
  <c r="Q45" i="17"/>
  <c r="Q46" i="17"/>
  <c r="Q47" i="17"/>
  <c r="Q48" i="17"/>
  <c r="Q49" i="17"/>
  <c r="Q50" i="17"/>
  <c r="Q51" i="17"/>
  <c r="Q52" i="17"/>
  <c r="Q53" i="17"/>
  <c r="Q54" i="17"/>
  <c r="Q55" i="17"/>
  <c r="Q56" i="17"/>
  <c r="Q57" i="17"/>
  <c r="Q58" i="17"/>
  <c r="Q59" i="17"/>
  <c r="Q60" i="17"/>
  <c r="Q61" i="17"/>
  <c r="Q62" i="17"/>
  <c r="Q63" i="17"/>
  <c r="Q64" i="17"/>
  <c r="Q65" i="17"/>
  <c r="Q66" i="17"/>
  <c r="Q67" i="17"/>
  <c r="Q68" i="17"/>
  <c r="Q69" i="17"/>
  <c r="Q70" i="17"/>
  <c r="Q71" i="17"/>
  <c r="Q72" i="17"/>
  <c r="Q73" i="17"/>
  <c r="Q74" i="17"/>
  <c r="Q75" i="17"/>
  <c r="Q76" i="17"/>
  <c r="Q77" i="17"/>
  <c r="Q78" i="17"/>
  <c r="Q79" i="17"/>
  <c r="Q80" i="17"/>
  <c r="Q81" i="17"/>
  <c r="Q82" i="17"/>
  <c r="Q83" i="17"/>
  <c r="Q84" i="17"/>
  <c r="Q85" i="17"/>
  <c r="Q86" i="17"/>
  <c r="Q87" i="17"/>
  <c r="Q88" i="17"/>
  <c r="Q89" i="17"/>
  <c r="Q90" i="17"/>
  <c r="Q91" i="17"/>
  <c r="Q92" i="17"/>
  <c r="Q93" i="17"/>
  <c r="Q94" i="17"/>
  <c r="Q95" i="17"/>
  <c r="Q96" i="17"/>
  <c r="Q97" i="17"/>
  <c r="Q98" i="17"/>
  <c r="Q99" i="17"/>
  <c r="Q100" i="17"/>
  <c r="Q101" i="17"/>
  <c r="Q102" i="17"/>
  <c r="Q103" i="17"/>
  <c r="Q104" i="17"/>
  <c r="Q5" i="17"/>
  <c r="O6" i="17"/>
  <c r="O7" i="17"/>
  <c r="O8" i="17"/>
  <c r="O9" i="17"/>
  <c r="O10" i="17"/>
  <c r="O11" i="17"/>
  <c r="O12" i="17"/>
  <c r="O13" i="17"/>
  <c r="O14" i="17"/>
  <c r="O15" i="17"/>
  <c r="O16" i="17"/>
  <c r="O17" i="17"/>
  <c r="O18" i="17"/>
  <c r="O19" i="17"/>
  <c r="O20" i="17"/>
  <c r="O21" i="17"/>
  <c r="O22" i="17"/>
  <c r="O23" i="17"/>
  <c r="O24" i="17"/>
  <c r="O25" i="17"/>
  <c r="O26" i="17"/>
  <c r="O27" i="17"/>
  <c r="O28" i="17"/>
  <c r="O29" i="17"/>
  <c r="O30" i="17"/>
  <c r="O31" i="17"/>
  <c r="O32" i="17"/>
  <c r="O33" i="17"/>
  <c r="O34" i="17"/>
  <c r="O35" i="17"/>
  <c r="O36" i="17"/>
  <c r="O37" i="17"/>
  <c r="O38" i="17"/>
  <c r="O39" i="17"/>
  <c r="O40" i="17"/>
  <c r="O41" i="17"/>
  <c r="O42" i="17"/>
  <c r="O43" i="17"/>
  <c r="O44" i="17"/>
  <c r="O45" i="17"/>
  <c r="O46" i="17"/>
  <c r="O47" i="17"/>
  <c r="O48" i="17"/>
  <c r="O49" i="17"/>
  <c r="O50" i="17"/>
  <c r="O51" i="17"/>
  <c r="O52" i="17"/>
  <c r="O53" i="17"/>
  <c r="O54" i="17"/>
  <c r="O55" i="17"/>
  <c r="O56" i="17"/>
  <c r="O57" i="17"/>
  <c r="O58" i="17"/>
  <c r="O59" i="17"/>
  <c r="O60" i="17"/>
  <c r="O61" i="17"/>
  <c r="O62" i="17"/>
  <c r="O63" i="17"/>
  <c r="O64" i="17"/>
  <c r="O65" i="17"/>
  <c r="O66" i="17"/>
  <c r="O67" i="17"/>
  <c r="O68" i="17"/>
  <c r="O69" i="17"/>
  <c r="O70" i="17"/>
  <c r="O71" i="17"/>
  <c r="O72" i="17"/>
  <c r="O73" i="17"/>
  <c r="O74" i="17"/>
  <c r="O75" i="17"/>
  <c r="O76" i="17"/>
  <c r="O77" i="17"/>
  <c r="O78" i="17"/>
  <c r="O79" i="17"/>
  <c r="O80" i="17"/>
  <c r="O81" i="17"/>
  <c r="O82" i="17"/>
  <c r="O83" i="17"/>
  <c r="O84" i="17"/>
  <c r="O85" i="17"/>
  <c r="O86" i="17"/>
  <c r="O87" i="17"/>
  <c r="O88" i="17"/>
  <c r="O89" i="17"/>
  <c r="O90" i="17"/>
  <c r="O91" i="17"/>
  <c r="O92" i="17"/>
  <c r="O93" i="17"/>
  <c r="O94" i="17"/>
  <c r="O95" i="17"/>
  <c r="O96" i="17"/>
  <c r="O97" i="17"/>
  <c r="O98" i="17"/>
  <c r="O99" i="17"/>
  <c r="O100" i="17"/>
  <c r="O101" i="17"/>
  <c r="O102" i="17"/>
  <c r="O103" i="17"/>
  <c r="O104" i="17"/>
  <c r="P6" i="17"/>
  <c r="P7" i="17"/>
  <c r="P8" i="17"/>
  <c r="P9" i="17"/>
  <c r="P10" i="17"/>
  <c r="P11" i="17"/>
  <c r="P12" i="17"/>
  <c r="P13" i="17"/>
  <c r="P14" i="17"/>
  <c r="P15" i="17"/>
  <c r="P16" i="17"/>
  <c r="P17" i="17"/>
  <c r="P18" i="17"/>
  <c r="P19" i="17"/>
  <c r="P20" i="17"/>
  <c r="P21" i="17"/>
  <c r="P22" i="17"/>
  <c r="P23" i="17"/>
  <c r="P24" i="17"/>
  <c r="P25" i="17"/>
  <c r="P26" i="17"/>
  <c r="P27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47" i="17"/>
  <c r="P48" i="17"/>
  <c r="P49" i="17"/>
  <c r="P50" i="17"/>
  <c r="P51" i="17"/>
  <c r="P52" i="17"/>
  <c r="P53" i="17"/>
  <c r="P54" i="17"/>
  <c r="P55" i="17"/>
  <c r="P56" i="17"/>
  <c r="P57" i="17"/>
  <c r="P58" i="17"/>
  <c r="P59" i="17"/>
  <c r="P60" i="17"/>
  <c r="P61" i="17"/>
  <c r="P62" i="17"/>
  <c r="P63" i="17"/>
  <c r="P64" i="17"/>
  <c r="P65" i="17"/>
  <c r="P66" i="17"/>
  <c r="P67" i="17"/>
  <c r="P68" i="17"/>
  <c r="P69" i="17"/>
  <c r="P70" i="17"/>
  <c r="P71" i="17"/>
  <c r="P72" i="17"/>
  <c r="P73" i="17"/>
  <c r="P74" i="17"/>
  <c r="P75" i="17"/>
  <c r="P76" i="17"/>
  <c r="P77" i="17"/>
  <c r="P78" i="17"/>
  <c r="P79" i="17"/>
  <c r="P80" i="17"/>
  <c r="P81" i="17"/>
  <c r="P82" i="17"/>
  <c r="P83" i="17"/>
  <c r="P84" i="17"/>
  <c r="P85" i="17"/>
  <c r="P86" i="17"/>
  <c r="P87" i="17"/>
  <c r="P88" i="17"/>
  <c r="P89" i="17"/>
  <c r="P90" i="17"/>
  <c r="P91" i="17"/>
  <c r="P92" i="17"/>
  <c r="P93" i="17"/>
  <c r="P94" i="17"/>
  <c r="P95" i="17"/>
  <c r="P96" i="17"/>
  <c r="P97" i="17"/>
  <c r="P98" i="17"/>
  <c r="P99" i="17"/>
  <c r="P100" i="17"/>
  <c r="P101" i="17"/>
  <c r="P102" i="17"/>
  <c r="P103" i="17"/>
  <c r="P104" i="17"/>
  <c r="P5" i="17"/>
  <c r="O5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N51" i="17"/>
  <c r="N52" i="17"/>
  <c r="N53" i="17"/>
  <c r="N54" i="17"/>
  <c r="N55" i="17"/>
  <c r="N56" i="17"/>
  <c r="N57" i="17"/>
  <c r="N58" i="17"/>
  <c r="N59" i="17"/>
  <c r="N60" i="17"/>
  <c r="N61" i="17"/>
  <c r="N62" i="17"/>
  <c r="N63" i="17"/>
  <c r="N64" i="17"/>
  <c r="N65" i="17"/>
  <c r="N66" i="17"/>
  <c r="N67" i="17"/>
  <c r="N68" i="17"/>
  <c r="N69" i="17"/>
  <c r="N70" i="17"/>
  <c r="N71" i="17"/>
  <c r="N72" i="17"/>
  <c r="N73" i="17"/>
  <c r="N74" i="17"/>
  <c r="N75" i="17"/>
  <c r="N76" i="17"/>
  <c r="N77" i="17"/>
  <c r="N78" i="17"/>
  <c r="N79" i="17"/>
  <c r="N80" i="17"/>
  <c r="N81" i="17"/>
  <c r="N82" i="17"/>
  <c r="N83" i="17"/>
  <c r="N84" i="17"/>
  <c r="N85" i="17"/>
  <c r="N86" i="17"/>
  <c r="N87" i="17"/>
  <c r="N88" i="17"/>
  <c r="N89" i="17"/>
  <c r="N90" i="17"/>
  <c r="N91" i="17"/>
  <c r="N92" i="17"/>
  <c r="N93" i="17"/>
  <c r="N94" i="17"/>
  <c r="N95" i="17"/>
  <c r="N96" i="17"/>
  <c r="N97" i="17"/>
  <c r="N98" i="17"/>
  <c r="N99" i="17"/>
  <c r="N100" i="17"/>
  <c r="N101" i="17"/>
  <c r="N102" i="17"/>
  <c r="N103" i="17"/>
  <c r="N104" i="17"/>
  <c r="N5" i="17"/>
  <c r="J6" i="17"/>
  <c r="K6" i="17"/>
  <c r="L6" i="17"/>
  <c r="M6" i="17"/>
  <c r="J7" i="17"/>
  <c r="K7" i="17"/>
  <c r="L7" i="17"/>
  <c r="M7" i="17"/>
  <c r="J8" i="17"/>
  <c r="K8" i="17"/>
  <c r="L8" i="17"/>
  <c r="M8" i="17"/>
  <c r="J9" i="17"/>
  <c r="K9" i="17"/>
  <c r="L9" i="17"/>
  <c r="M9" i="17"/>
  <c r="J10" i="17"/>
  <c r="K10" i="17"/>
  <c r="L10" i="17"/>
  <c r="M10" i="17"/>
  <c r="J11" i="17"/>
  <c r="K11" i="17"/>
  <c r="L11" i="17"/>
  <c r="M11" i="17"/>
  <c r="J12" i="17"/>
  <c r="K12" i="17"/>
  <c r="L12" i="17"/>
  <c r="M12" i="17"/>
  <c r="J13" i="17"/>
  <c r="K13" i="17"/>
  <c r="L13" i="17"/>
  <c r="M13" i="17"/>
  <c r="J14" i="17"/>
  <c r="K14" i="17"/>
  <c r="L14" i="17"/>
  <c r="M14" i="17"/>
  <c r="J15" i="17"/>
  <c r="K15" i="17"/>
  <c r="L15" i="17"/>
  <c r="M15" i="17"/>
  <c r="J16" i="17"/>
  <c r="K16" i="17"/>
  <c r="L16" i="17"/>
  <c r="M16" i="17"/>
  <c r="J17" i="17"/>
  <c r="K17" i="17"/>
  <c r="L17" i="17"/>
  <c r="M17" i="17"/>
  <c r="J18" i="17"/>
  <c r="K18" i="17"/>
  <c r="L18" i="17"/>
  <c r="M18" i="17"/>
  <c r="J19" i="17"/>
  <c r="K19" i="17"/>
  <c r="L19" i="17"/>
  <c r="M19" i="17"/>
  <c r="J20" i="17"/>
  <c r="K20" i="17"/>
  <c r="L20" i="17"/>
  <c r="M20" i="17"/>
  <c r="J21" i="17"/>
  <c r="K21" i="17"/>
  <c r="L21" i="17"/>
  <c r="M21" i="17"/>
  <c r="J22" i="17"/>
  <c r="K22" i="17"/>
  <c r="L22" i="17"/>
  <c r="M22" i="17"/>
  <c r="J23" i="17"/>
  <c r="K23" i="17"/>
  <c r="L23" i="17"/>
  <c r="M23" i="17"/>
  <c r="J24" i="17"/>
  <c r="K24" i="17"/>
  <c r="L24" i="17"/>
  <c r="M24" i="17"/>
  <c r="J25" i="17"/>
  <c r="K25" i="17"/>
  <c r="L25" i="17"/>
  <c r="M25" i="17"/>
  <c r="J26" i="17"/>
  <c r="K26" i="17"/>
  <c r="L26" i="17"/>
  <c r="M26" i="17"/>
  <c r="J27" i="17"/>
  <c r="K27" i="17"/>
  <c r="L27" i="17"/>
  <c r="M27" i="17"/>
  <c r="J28" i="17"/>
  <c r="K28" i="17"/>
  <c r="L28" i="17"/>
  <c r="M28" i="17"/>
  <c r="J29" i="17"/>
  <c r="K29" i="17"/>
  <c r="L29" i="17"/>
  <c r="M29" i="17"/>
  <c r="J30" i="17"/>
  <c r="K30" i="17"/>
  <c r="L30" i="17"/>
  <c r="M30" i="17"/>
  <c r="J31" i="17"/>
  <c r="K31" i="17"/>
  <c r="L31" i="17"/>
  <c r="M31" i="17"/>
  <c r="J32" i="17"/>
  <c r="K32" i="17"/>
  <c r="L32" i="17"/>
  <c r="M32" i="17"/>
  <c r="J33" i="17"/>
  <c r="K33" i="17"/>
  <c r="L33" i="17"/>
  <c r="M33" i="17"/>
  <c r="J34" i="17"/>
  <c r="K34" i="17"/>
  <c r="L34" i="17"/>
  <c r="M34" i="17"/>
  <c r="J35" i="17"/>
  <c r="K35" i="17"/>
  <c r="L35" i="17"/>
  <c r="M35" i="17"/>
  <c r="J36" i="17"/>
  <c r="K36" i="17"/>
  <c r="L36" i="17"/>
  <c r="M36" i="17"/>
  <c r="J37" i="17"/>
  <c r="K37" i="17"/>
  <c r="L37" i="17"/>
  <c r="M37" i="17"/>
  <c r="J38" i="17"/>
  <c r="K38" i="17"/>
  <c r="L38" i="17"/>
  <c r="M38" i="17"/>
  <c r="J39" i="17"/>
  <c r="K39" i="17"/>
  <c r="L39" i="17"/>
  <c r="M39" i="17"/>
  <c r="J40" i="17"/>
  <c r="K40" i="17"/>
  <c r="L40" i="17"/>
  <c r="M40" i="17"/>
  <c r="J41" i="17"/>
  <c r="K41" i="17"/>
  <c r="L41" i="17"/>
  <c r="M41" i="17"/>
  <c r="J42" i="17"/>
  <c r="K42" i="17"/>
  <c r="L42" i="17"/>
  <c r="M42" i="17"/>
  <c r="J43" i="17"/>
  <c r="K43" i="17"/>
  <c r="L43" i="17"/>
  <c r="M43" i="17"/>
  <c r="J44" i="17"/>
  <c r="K44" i="17"/>
  <c r="L44" i="17"/>
  <c r="M44" i="17"/>
  <c r="J45" i="17"/>
  <c r="K45" i="17"/>
  <c r="L45" i="17"/>
  <c r="M45" i="17"/>
  <c r="J46" i="17"/>
  <c r="K46" i="17"/>
  <c r="L46" i="17"/>
  <c r="M46" i="17"/>
  <c r="J47" i="17"/>
  <c r="K47" i="17"/>
  <c r="L47" i="17"/>
  <c r="M47" i="17"/>
  <c r="J48" i="17"/>
  <c r="K48" i="17"/>
  <c r="L48" i="17"/>
  <c r="M48" i="17"/>
  <c r="J49" i="17"/>
  <c r="K49" i="17"/>
  <c r="L49" i="17"/>
  <c r="M49" i="17"/>
  <c r="J50" i="17"/>
  <c r="K50" i="17"/>
  <c r="L50" i="17"/>
  <c r="M50" i="17"/>
  <c r="J51" i="17"/>
  <c r="K51" i="17"/>
  <c r="L51" i="17"/>
  <c r="M51" i="17"/>
  <c r="J52" i="17"/>
  <c r="K52" i="17"/>
  <c r="L52" i="17"/>
  <c r="M52" i="17"/>
  <c r="J53" i="17"/>
  <c r="K53" i="17"/>
  <c r="L53" i="17"/>
  <c r="M53" i="17"/>
  <c r="J54" i="17"/>
  <c r="K54" i="17"/>
  <c r="L54" i="17"/>
  <c r="M54" i="17"/>
  <c r="J55" i="17"/>
  <c r="K55" i="17"/>
  <c r="L55" i="17"/>
  <c r="M55" i="17"/>
  <c r="J56" i="17"/>
  <c r="K56" i="17"/>
  <c r="L56" i="17"/>
  <c r="M56" i="17"/>
  <c r="J57" i="17"/>
  <c r="K57" i="17"/>
  <c r="L57" i="17"/>
  <c r="M57" i="17"/>
  <c r="J58" i="17"/>
  <c r="K58" i="17"/>
  <c r="L58" i="17"/>
  <c r="M58" i="17"/>
  <c r="J59" i="17"/>
  <c r="K59" i="17"/>
  <c r="L59" i="17"/>
  <c r="M59" i="17"/>
  <c r="J60" i="17"/>
  <c r="K60" i="17"/>
  <c r="L60" i="17"/>
  <c r="M60" i="17"/>
  <c r="J61" i="17"/>
  <c r="K61" i="17"/>
  <c r="L61" i="17"/>
  <c r="M61" i="17"/>
  <c r="J62" i="17"/>
  <c r="K62" i="17"/>
  <c r="L62" i="17"/>
  <c r="M62" i="17"/>
  <c r="J63" i="17"/>
  <c r="K63" i="17"/>
  <c r="L63" i="17"/>
  <c r="M63" i="17"/>
  <c r="J64" i="17"/>
  <c r="K64" i="17"/>
  <c r="L64" i="17"/>
  <c r="M64" i="17"/>
  <c r="J65" i="17"/>
  <c r="K65" i="17"/>
  <c r="L65" i="17"/>
  <c r="M65" i="17"/>
  <c r="J66" i="17"/>
  <c r="K66" i="17"/>
  <c r="L66" i="17"/>
  <c r="M66" i="17"/>
  <c r="J67" i="17"/>
  <c r="K67" i="17"/>
  <c r="L67" i="17"/>
  <c r="M67" i="17"/>
  <c r="J68" i="17"/>
  <c r="K68" i="17"/>
  <c r="L68" i="17"/>
  <c r="M68" i="17"/>
  <c r="J69" i="17"/>
  <c r="K69" i="17"/>
  <c r="L69" i="17"/>
  <c r="M69" i="17"/>
  <c r="J70" i="17"/>
  <c r="K70" i="17"/>
  <c r="L70" i="17"/>
  <c r="M70" i="17"/>
  <c r="J71" i="17"/>
  <c r="K71" i="17"/>
  <c r="L71" i="17"/>
  <c r="M71" i="17"/>
  <c r="J72" i="17"/>
  <c r="K72" i="17"/>
  <c r="L72" i="17"/>
  <c r="M72" i="17"/>
  <c r="J73" i="17"/>
  <c r="K73" i="17"/>
  <c r="L73" i="17"/>
  <c r="M73" i="17"/>
  <c r="J74" i="17"/>
  <c r="K74" i="17"/>
  <c r="L74" i="17"/>
  <c r="M74" i="17"/>
  <c r="J75" i="17"/>
  <c r="K75" i="17"/>
  <c r="L75" i="17"/>
  <c r="M75" i="17"/>
  <c r="J76" i="17"/>
  <c r="K76" i="17"/>
  <c r="L76" i="17"/>
  <c r="M76" i="17"/>
  <c r="J77" i="17"/>
  <c r="K77" i="17"/>
  <c r="L77" i="17"/>
  <c r="M77" i="17"/>
  <c r="J78" i="17"/>
  <c r="K78" i="17"/>
  <c r="L78" i="17"/>
  <c r="M78" i="17"/>
  <c r="J79" i="17"/>
  <c r="K79" i="17"/>
  <c r="L79" i="17"/>
  <c r="M79" i="17"/>
  <c r="J80" i="17"/>
  <c r="K80" i="17"/>
  <c r="L80" i="17"/>
  <c r="M80" i="17"/>
  <c r="J81" i="17"/>
  <c r="K81" i="17"/>
  <c r="L81" i="17"/>
  <c r="M81" i="17"/>
  <c r="J82" i="17"/>
  <c r="K82" i="17"/>
  <c r="L82" i="17"/>
  <c r="M82" i="17"/>
  <c r="J83" i="17"/>
  <c r="K83" i="17"/>
  <c r="L83" i="17"/>
  <c r="M83" i="17"/>
  <c r="J84" i="17"/>
  <c r="K84" i="17"/>
  <c r="L84" i="17"/>
  <c r="M84" i="17"/>
  <c r="J85" i="17"/>
  <c r="K85" i="17"/>
  <c r="L85" i="17"/>
  <c r="M85" i="17"/>
  <c r="J86" i="17"/>
  <c r="K86" i="17"/>
  <c r="L86" i="17"/>
  <c r="M86" i="17"/>
  <c r="J87" i="17"/>
  <c r="K87" i="17"/>
  <c r="L87" i="17"/>
  <c r="M87" i="17"/>
  <c r="J88" i="17"/>
  <c r="K88" i="17"/>
  <c r="L88" i="17"/>
  <c r="M88" i="17"/>
  <c r="J89" i="17"/>
  <c r="K89" i="17"/>
  <c r="L89" i="17"/>
  <c r="M89" i="17"/>
  <c r="J90" i="17"/>
  <c r="K90" i="17"/>
  <c r="L90" i="17"/>
  <c r="M90" i="17"/>
  <c r="J91" i="17"/>
  <c r="K91" i="17"/>
  <c r="L91" i="17"/>
  <c r="M91" i="17"/>
  <c r="J92" i="17"/>
  <c r="K92" i="17"/>
  <c r="L92" i="17"/>
  <c r="M92" i="17"/>
  <c r="J93" i="17"/>
  <c r="K93" i="17"/>
  <c r="L93" i="17"/>
  <c r="M93" i="17"/>
  <c r="J94" i="17"/>
  <c r="K94" i="17"/>
  <c r="L94" i="17"/>
  <c r="M94" i="17"/>
  <c r="J95" i="17"/>
  <c r="K95" i="17"/>
  <c r="L95" i="17"/>
  <c r="M95" i="17"/>
  <c r="J96" i="17"/>
  <c r="K96" i="17"/>
  <c r="L96" i="17"/>
  <c r="M96" i="17"/>
  <c r="J97" i="17"/>
  <c r="K97" i="17"/>
  <c r="L97" i="17"/>
  <c r="M97" i="17"/>
  <c r="J98" i="17"/>
  <c r="K98" i="17"/>
  <c r="L98" i="17"/>
  <c r="M98" i="17"/>
  <c r="J99" i="17"/>
  <c r="K99" i="17"/>
  <c r="L99" i="17"/>
  <c r="M99" i="17"/>
  <c r="J100" i="17"/>
  <c r="K100" i="17"/>
  <c r="L100" i="17"/>
  <c r="M100" i="17"/>
  <c r="J101" i="17"/>
  <c r="K101" i="17"/>
  <c r="L101" i="17"/>
  <c r="M101" i="17"/>
  <c r="J102" i="17"/>
  <c r="K102" i="17"/>
  <c r="L102" i="17"/>
  <c r="M102" i="17"/>
  <c r="J103" i="17"/>
  <c r="K103" i="17"/>
  <c r="L103" i="17"/>
  <c r="M103" i="17"/>
  <c r="J104" i="17"/>
  <c r="K104" i="17"/>
  <c r="L104" i="17"/>
  <c r="M104" i="17"/>
  <c r="K5" i="17"/>
  <c r="L5" i="17"/>
  <c r="M5" i="17"/>
  <c r="J5" i="17"/>
  <c r="F52" i="8" l="1"/>
  <c r="I12" i="16" l="1"/>
  <c r="B8" i="2" l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D130" i="4" l="1"/>
  <c r="D131" i="4"/>
  <c r="D132" i="4"/>
  <c r="D133" i="4"/>
  <c r="D134" i="4"/>
  <c r="D135" i="4"/>
  <c r="D136" i="4"/>
  <c r="D137" i="4"/>
  <c r="D98" i="4"/>
  <c r="D99" i="4"/>
  <c r="D100" i="4"/>
  <c r="D101" i="4"/>
  <c r="D102" i="4"/>
  <c r="D103" i="4"/>
  <c r="D104" i="4"/>
  <c r="D105" i="4"/>
  <c r="D52" i="4"/>
  <c r="D74" i="4"/>
  <c r="D73" i="4"/>
  <c r="D69" i="4"/>
  <c r="D65" i="4"/>
  <c r="D64" i="4"/>
  <c r="D61" i="4"/>
  <c r="D60" i="4"/>
  <c r="D59" i="4"/>
  <c r="P21" i="12" l="1"/>
  <c r="H50" i="4" l="1"/>
  <c r="D3" i="21" l="1"/>
  <c r="E3" i="21"/>
  <c r="F3" i="21"/>
  <c r="G3" i="21"/>
  <c r="H3" i="21"/>
  <c r="J3" i="21"/>
  <c r="C3" i="21"/>
  <c r="J4" i="15"/>
  <c r="K4" i="15"/>
  <c r="L4" i="15"/>
  <c r="M4" i="15"/>
  <c r="N4" i="15"/>
  <c r="P4" i="15"/>
  <c r="I4" i="15"/>
  <c r="E7" i="5" l="1"/>
  <c r="F8" i="5" s="1"/>
  <c r="O12" i="16" l="1"/>
  <c r="N12" i="16"/>
  <c r="U4" i="15" l="1"/>
  <c r="O3" i="21"/>
  <c r="T4" i="15"/>
  <c r="N3" i="21"/>
  <c r="M12" i="16"/>
  <c r="L12" i="16"/>
  <c r="K12" i="16"/>
  <c r="J12" i="16"/>
  <c r="H12" i="16"/>
  <c r="G12" i="16"/>
  <c r="F12" i="16"/>
  <c r="E12" i="16"/>
  <c r="D12" i="16"/>
  <c r="C12" i="16"/>
  <c r="O4" i="15" l="1"/>
  <c r="I3" i="21"/>
  <c r="Q4" i="15"/>
  <c r="K3" i="21"/>
  <c r="L3" i="21"/>
  <c r="R4" i="15"/>
  <c r="S4" i="15"/>
  <c r="M3" i="21"/>
  <c r="E105" i="17"/>
  <c r="F105" i="17"/>
  <c r="E12" i="12" l="1"/>
  <c r="F12" i="12"/>
  <c r="G12" i="12"/>
  <c r="H12" i="12"/>
  <c r="M12" i="12"/>
  <c r="N12" i="12"/>
  <c r="O12" i="12"/>
  <c r="C12" i="12"/>
  <c r="D13" i="12"/>
  <c r="E13" i="12"/>
  <c r="F13" i="12"/>
  <c r="D12" i="12" s="1"/>
  <c r="G13" i="12"/>
  <c r="H13" i="12"/>
  <c r="I13" i="12"/>
  <c r="I12" i="12" s="1"/>
  <c r="J13" i="12"/>
  <c r="J12" i="12" s="1"/>
  <c r="K13" i="12"/>
  <c r="K12" i="12" s="1"/>
  <c r="L13" i="12"/>
  <c r="M13" i="12"/>
  <c r="N13" i="12"/>
  <c r="O13" i="12"/>
  <c r="C13" i="12"/>
  <c r="L12" i="12" l="1"/>
  <c r="H6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9" i="17"/>
  <c r="H30" i="17"/>
  <c r="H31" i="17"/>
  <c r="H32" i="17"/>
  <c r="H33" i="17"/>
  <c r="H34" i="17"/>
  <c r="H35" i="17"/>
  <c r="H36" i="17"/>
  <c r="H37" i="17"/>
  <c r="H38" i="17"/>
  <c r="H39" i="17"/>
  <c r="H40" i="17"/>
  <c r="H41" i="17"/>
  <c r="H42" i="17"/>
  <c r="H43" i="17"/>
  <c r="H44" i="17"/>
  <c r="H45" i="17"/>
  <c r="H46" i="17"/>
  <c r="H47" i="17"/>
  <c r="H48" i="17"/>
  <c r="H49" i="17"/>
  <c r="H50" i="17"/>
  <c r="H51" i="17"/>
  <c r="H52" i="17"/>
  <c r="H53" i="17"/>
  <c r="H54" i="17"/>
  <c r="H55" i="17"/>
  <c r="H56" i="17"/>
  <c r="H57" i="17"/>
  <c r="H58" i="17"/>
  <c r="H59" i="17"/>
  <c r="H60" i="17"/>
  <c r="H61" i="17"/>
  <c r="H62" i="17"/>
  <c r="H63" i="17"/>
  <c r="H64" i="17"/>
  <c r="H65" i="17"/>
  <c r="H66" i="17"/>
  <c r="H67" i="17"/>
  <c r="H68" i="17"/>
  <c r="H69" i="17"/>
  <c r="H70" i="17"/>
  <c r="H71" i="17"/>
  <c r="H72" i="17"/>
  <c r="H73" i="17"/>
  <c r="H74" i="17"/>
  <c r="H75" i="17"/>
  <c r="H76" i="17"/>
  <c r="H77" i="17"/>
  <c r="H78" i="17"/>
  <c r="H79" i="17"/>
  <c r="H80" i="17"/>
  <c r="H81" i="17"/>
  <c r="H82" i="17"/>
  <c r="H83" i="17"/>
  <c r="H84" i="17"/>
  <c r="H85" i="17"/>
  <c r="H86" i="17"/>
  <c r="H87" i="17"/>
  <c r="H88" i="17"/>
  <c r="H89" i="17"/>
  <c r="H90" i="17"/>
  <c r="H91" i="17"/>
  <c r="H92" i="17"/>
  <c r="H93" i="17"/>
  <c r="H94" i="17"/>
  <c r="H95" i="17"/>
  <c r="H96" i="17"/>
  <c r="H97" i="17"/>
  <c r="H98" i="17"/>
  <c r="H99" i="17"/>
  <c r="H100" i="17"/>
  <c r="H101" i="17"/>
  <c r="H102" i="17"/>
  <c r="H103" i="17"/>
  <c r="H104" i="17"/>
  <c r="H5" i="17"/>
  <c r="B102" i="21" l="1"/>
  <c r="B103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4" i="21"/>
  <c r="U6" i="15"/>
  <c r="O5" i="21" s="1"/>
  <c r="U7" i="15"/>
  <c r="O6" i="21" s="1"/>
  <c r="U8" i="15"/>
  <c r="O7" i="21" s="1"/>
  <c r="U9" i="15"/>
  <c r="O8" i="21" s="1"/>
  <c r="U10" i="15"/>
  <c r="O9" i="21" s="1"/>
  <c r="U11" i="15"/>
  <c r="O10" i="21" s="1"/>
  <c r="U12" i="15"/>
  <c r="O11" i="21" s="1"/>
  <c r="U13" i="15"/>
  <c r="O12" i="21" s="1"/>
  <c r="U14" i="15"/>
  <c r="O13" i="21" s="1"/>
  <c r="U15" i="15"/>
  <c r="O14" i="21" s="1"/>
  <c r="U16" i="15"/>
  <c r="O15" i="21" s="1"/>
  <c r="U17" i="15"/>
  <c r="O16" i="21" s="1"/>
  <c r="U18" i="15"/>
  <c r="O17" i="21" s="1"/>
  <c r="U19" i="15"/>
  <c r="O18" i="21" s="1"/>
  <c r="U20" i="15"/>
  <c r="O19" i="21" s="1"/>
  <c r="U21" i="15"/>
  <c r="O20" i="21" s="1"/>
  <c r="U22" i="15"/>
  <c r="O21" i="21" s="1"/>
  <c r="U23" i="15"/>
  <c r="O22" i="21" s="1"/>
  <c r="U24" i="15"/>
  <c r="O23" i="21" s="1"/>
  <c r="U25" i="15"/>
  <c r="O24" i="21" s="1"/>
  <c r="U26" i="15"/>
  <c r="O25" i="21" s="1"/>
  <c r="U27" i="15"/>
  <c r="O26" i="21" s="1"/>
  <c r="U28" i="15"/>
  <c r="O27" i="21" s="1"/>
  <c r="U29" i="15"/>
  <c r="O28" i="21" s="1"/>
  <c r="U30" i="15"/>
  <c r="O29" i="21" s="1"/>
  <c r="U31" i="15"/>
  <c r="O30" i="21" s="1"/>
  <c r="U32" i="15"/>
  <c r="O31" i="21" s="1"/>
  <c r="U33" i="15"/>
  <c r="O32" i="21" s="1"/>
  <c r="U34" i="15"/>
  <c r="O33" i="21" s="1"/>
  <c r="U35" i="15"/>
  <c r="O34" i="21" s="1"/>
  <c r="U36" i="15"/>
  <c r="O35" i="21" s="1"/>
  <c r="U37" i="15"/>
  <c r="O36" i="21" s="1"/>
  <c r="U38" i="15"/>
  <c r="O37" i="21" s="1"/>
  <c r="U39" i="15"/>
  <c r="O38" i="21" s="1"/>
  <c r="U40" i="15"/>
  <c r="O39" i="21" s="1"/>
  <c r="U41" i="15"/>
  <c r="O40" i="21" s="1"/>
  <c r="U42" i="15"/>
  <c r="O41" i="21" s="1"/>
  <c r="U43" i="15"/>
  <c r="O42" i="21" s="1"/>
  <c r="U44" i="15"/>
  <c r="O43" i="21" s="1"/>
  <c r="U45" i="15"/>
  <c r="O44" i="21" s="1"/>
  <c r="U46" i="15"/>
  <c r="O45" i="21" s="1"/>
  <c r="U47" i="15"/>
  <c r="O46" i="21" s="1"/>
  <c r="U48" i="15"/>
  <c r="O47" i="21" s="1"/>
  <c r="U49" i="15"/>
  <c r="O48" i="21" s="1"/>
  <c r="U50" i="15"/>
  <c r="O49" i="21" s="1"/>
  <c r="U51" i="15"/>
  <c r="O50" i="21" s="1"/>
  <c r="U52" i="15"/>
  <c r="O51" i="21" s="1"/>
  <c r="U53" i="15"/>
  <c r="O52" i="21" s="1"/>
  <c r="U54" i="15"/>
  <c r="O53" i="21" s="1"/>
  <c r="U55" i="15"/>
  <c r="O54" i="21" s="1"/>
  <c r="U56" i="15"/>
  <c r="O55" i="21" s="1"/>
  <c r="U57" i="15"/>
  <c r="O56" i="21" s="1"/>
  <c r="U58" i="15"/>
  <c r="O57" i="21" s="1"/>
  <c r="U59" i="15"/>
  <c r="O58" i="21" s="1"/>
  <c r="U60" i="15"/>
  <c r="O59" i="21" s="1"/>
  <c r="U61" i="15"/>
  <c r="O60" i="21" s="1"/>
  <c r="U62" i="15"/>
  <c r="O61" i="21" s="1"/>
  <c r="U63" i="15"/>
  <c r="O62" i="21" s="1"/>
  <c r="U64" i="15"/>
  <c r="O63" i="21" s="1"/>
  <c r="U65" i="15"/>
  <c r="O64" i="21" s="1"/>
  <c r="U66" i="15"/>
  <c r="O65" i="21" s="1"/>
  <c r="U67" i="15"/>
  <c r="O66" i="21" s="1"/>
  <c r="U68" i="15"/>
  <c r="O67" i="21" s="1"/>
  <c r="U69" i="15"/>
  <c r="O68" i="21" s="1"/>
  <c r="U70" i="15"/>
  <c r="O69" i="21" s="1"/>
  <c r="U71" i="15"/>
  <c r="O70" i="21" s="1"/>
  <c r="U72" i="15"/>
  <c r="O71" i="21" s="1"/>
  <c r="U73" i="15"/>
  <c r="O72" i="21" s="1"/>
  <c r="U74" i="15"/>
  <c r="O73" i="21" s="1"/>
  <c r="U75" i="15"/>
  <c r="O74" i="21" s="1"/>
  <c r="U76" i="15"/>
  <c r="O75" i="21" s="1"/>
  <c r="U77" i="15"/>
  <c r="O76" i="21" s="1"/>
  <c r="U78" i="15"/>
  <c r="O77" i="21" s="1"/>
  <c r="U79" i="15"/>
  <c r="O78" i="21" s="1"/>
  <c r="U80" i="15"/>
  <c r="O79" i="21" s="1"/>
  <c r="U81" i="15"/>
  <c r="O80" i="21" s="1"/>
  <c r="U82" i="15"/>
  <c r="O81" i="21" s="1"/>
  <c r="U83" i="15"/>
  <c r="O82" i="21" s="1"/>
  <c r="U84" i="15"/>
  <c r="O83" i="21" s="1"/>
  <c r="U85" i="15"/>
  <c r="O84" i="21" s="1"/>
  <c r="U86" i="15"/>
  <c r="O85" i="21" s="1"/>
  <c r="U87" i="15"/>
  <c r="O86" i="21" s="1"/>
  <c r="U88" i="15"/>
  <c r="O87" i="21" s="1"/>
  <c r="U89" i="15"/>
  <c r="O88" i="21" s="1"/>
  <c r="U90" i="15"/>
  <c r="O89" i="21" s="1"/>
  <c r="U91" i="15"/>
  <c r="O90" i="21" s="1"/>
  <c r="U92" i="15"/>
  <c r="O91" i="21" s="1"/>
  <c r="U93" i="15"/>
  <c r="O92" i="21" s="1"/>
  <c r="U94" i="15"/>
  <c r="O93" i="21" s="1"/>
  <c r="U95" i="15"/>
  <c r="O94" i="21" s="1"/>
  <c r="U96" i="15"/>
  <c r="O95" i="21" s="1"/>
  <c r="U97" i="15"/>
  <c r="O96" i="21" s="1"/>
  <c r="U98" i="15"/>
  <c r="O97" i="21" s="1"/>
  <c r="U99" i="15"/>
  <c r="O98" i="21" s="1"/>
  <c r="U100" i="15"/>
  <c r="O99" i="21" s="1"/>
  <c r="U101" i="15"/>
  <c r="O100" i="21" s="1"/>
  <c r="U102" i="15"/>
  <c r="O101" i="21" s="1"/>
  <c r="U103" i="15"/>
  <c r="O102" i="21" s="1"/>
  <c r="U104" i="15"/>
  <c r="O103" i="21" s="1"/>
  <c r="U5" i="15"/>
  <c r="T6" i="15"/>
  <c r="N5" i="21" s="1"/>
  <c r="T7" i="15"/>
  <c r="N6" i="21" s="1"/>
  <c r="T8" i="15"/>
  <c r="N7" i="21" s="1"/>
  <c r="T9" i="15"/>
  <c r="N8" i="21" s="1"/>
  <c r="T10" i="15"/>
  <c r="N9" i="21" s="1"/>
  <c r="T11" i="15"/>
  <c r="N10" i="21" s="1"/>
  <c r="T12" i="15"/>
  <c r="N11" i="21" s="1"/>
  <c r="T13" i="15"/>
  <c r="N12" i="21" s="1"/>
  <c r="T14" i="15"/>
  <c r="N13" i="21" s="1"/>
  <c r="T15" i="15"/>
  <c r="N14" i="21" s="1"/>
  <c r="T16" i="15"/>
  <c r="N15" i="21" s="1"/>
  <c r="T17" i="15"/>
  <c r="N16" i="21" s="1"/>
  <c r="T18" i="15"/>
  <c r="N17" i="21" s="1"/>
  <c r="T19" i="15"/>
  <c r="N18" i="21" s="1"/>
  <c r="T20" i="15"/>
  <c r="N19" i="21" s="1"/>
  <c r="T21" i="15"/>
  <c r="N20" i="21" s="1"/>
  <c r="T22" i="15"/>
  <c r="N21" i="21" s="1"/>
  <c r="T23" i="15"/>
  <c r="N22" i="21" s="1"/>
  <c r="T24" i="15"/>
  <c r="N23" i="21" s="1"/>
  <c r="T25" i="15"/>
  <c r="N24" i="21" s="1"/>
  <c r="T26" i="15"/>
  <c r="N25" i="21" s="1"/>
  <c r="T27" i="15"/>
  <c r="N26" i="21" s="1"/>
  <c r="T28" i="15"/>
  <c r="N27" i="21" s="1"/>
  <c r="T29" i="15"/>
  <c r="N28" i="21" s="1"/>
  <c r="T30" i="15"/>
  <c r="N29" i="21" s="1"/>
  <c r="T31" i="15"/>
  <c r="N30" i="21" s="1"/>
  <c r="T32" i="15"/>
  <c r="N31" i="21" s="1"/>
  <c r="T33" i="15"/>
  <c r="N32" i="21" s="1"/>
  <c r="T34" i="15"/>
  <c r="N33" i="21" s="1"/>
  <c r="T35" i="15"/>
  <c r="N34" i="21" s="1"/>
  <c r="T36" i="15"/>
  <c r="N35" i="21" s="1"/>
  <c r="T37" i="15"/>
  <c r="N36" i="21" s="1"/>
  <c r="T38" i="15"/>
  <c r="N37" i="21" s="1"/>
  <c r="T39" i="15"/>
  <c r="N38" i="21" s="1"/>
  <c r="T40" i="15"/>
  <c r="N39" i="21" s="1"/>
  <c r="T41" i="15"/>
  <c r="N40" i="21" s="1"/>
  <c r="T42" i="15"/>
  <c r="N41" i="21" s="1"/>
  <c r="T43" i="15"/>
  <c r="N42" i="21" s="1"/>
  <c r="T44" i="15"/>
  <c r="N43" i="21" s="1"/>
  <c r="T45" i="15"/>
  <c r="N44" i="21" s="1"/>
  <c r="T46" i="15"/>
  <c r="N45" i="21" s="1"/>
  <c r="T47" i="15"/>
  <c r="N46" i="21" s="1"/>
  <c r="T48" i="15"/>
  <c r="N47" i="21" s="1"/>
  <c r="T49" i="15"/>
  <c r="N48" i="21" s="1"/>
  <c r="T50" i="15"/>
  <c r="N49" i="21" s="1"/>
  <c r="T51" i="15"/>
  <c r="N50" i="21" s="1"/>
  <c r="T52" i="15"/>
  <c r="N51" i="21" s="1"/>
  <c r="T53" i="15"/>
  <c r="N52" i="21" s="1"/>
  <c r="T54" i="15"/>
  <c r="N53" i="21" s="1"/>
  <c r="T55" i="15"/>
  <c r="N54" i="21" s="1"/>
  <c r="T56" i="15"/>
  <c r="N55" i="21" s="1"/>
  <c r="T57" i="15"/>
  <c r="N56" i="21" s="1"/>
  <c r="T58" i="15"/>
  <c r="N57" i="21" s="1"/>
  <c r="T59" i="15"/>
  <c r="N58" i="21" s="1"/>
  <c r="T60" i="15"/>
  <c r="N59" i="21" s="1"/>
  <c r="T61" i="15"/>
  <c r="N60" i="21" s="1"/>
  <c r="T62" i="15"/>
  <c r="N61" i="21" s="1"/>
  <c r="T63" i="15"/>
  <c r="N62" i="21" s="1"/>
  <c r="T64" i="15"/>
  <c r="N63" i="21" s="1"/>
  <c r="T65" i="15"/>
  <c r="N64" i="21" s="1"/>
  <c r="T66" i="15"/>
  <c r="N65" i="21" s="1"/>
  <c r="T67" i="15"/>
  <c r="N66" i="21" s="1"/>
  <c r="T68" i="15"/>
  <c r="N67" i="21" s="1"/>
  <c r="T69" i="15"/>
  <c r="N68" i="21" s="1"/>
  <c r="T70" i="15"/>
  <c r="N69" i="21" s="1"/>
  <c r="T71" i="15"/>
  <c r="N70" i="21" s="1"/>
  <c r="T72" i="15"/>
  <c r="N71" i="21" s="1"/>
  <c r="T73" i="15"/>
  <c r="N72" i="21" s="1"/>
  <c r="T74" i="15"/>
  <c r="N73" i="21" s="1"/>
  <c r="T75" i="15"/>
  <c r="N74" i="21" s="1"/>
  <c r="T76" i="15"/>
  <c r="N75" i="21" s="1"/>
  <c r="T77" i="15"/>
  <c r="N76" i="21" s="1"/>
  <c r="T78" i="15"/>
  <c r="N77" i="21" s="1"/>
  <c r="T79" i="15"/>
  <c r="N78" i="21" s="1"/>
  <c r="T80" i="15"/>
  <c r="N79" i="21" s="1"/>
  <c r="T81" i="15"/>
  <c r="N80" i="21" s="1"/>
  <c r="T82" i="15"/>
  <c r="N81" i="21" s="1"/>
  <c r="T83" i="15"/>
  <c r="N82" i="21" s="1"/>
  <c r="T84" i="15"/>
  <c r="N83" i="21" s="1"/>
  <c r="T85" i="15"/>
  <c r="N84" i="21" s="1"/>
  <c r="T86" i="15"/>
  <c r="N85" i="21" s="1"/>
  <c r="T87" i="15"/>
  <c r="N86" i="21" s="1"/>
  <c r="T88" i="15"/>
  <c r="N87" i="21" s="1"/>
  <c r="T89" i="15"/>
  <c r="N88" i="21" s="1"/>
  <c r="T90" i="15"/>
  <c r="N89" i="21" s="1"/>
  <c r="T91" i="15"/>
  <c r="N90" i="21" s="1"/>
  <c r="T92" i="15"/>
  <c r="N91" i="21" s="1"/>
  <c r="T93" i="15"/>
  <c r="N92" i="21" s="1"/>
  <c r="T94" i="15"/>
  <c r="N93" i="21" s="1"/>
  <c r="T95" i="15"/>
  <c r="N94" i="21" s="1"/>
  <c r="T96" i="15"/>
  <c r="N95" i="21" s="1"/>
  <c r="T97" i="15"/>
  <c r="N96" i="21" s="1"/>
  <c r="T98" i="15"/>
  <c r="N97" i="21" s="1"/>
  <c r="T99" i="15"/>
  <c r="N98" i="21" s="1"/>
  <c r="T100" i="15"/>
  <c r="N99" i="21" s="1"/>
  <c r="T101" i="15"/>
  <c r="N100" i="21" s="1"/>
  <c r="T102" i="15"/>
  <c r="N101" i="21" s="1"/>
  <c r="T103" i="15"/>
  <c r="N102" i="21" s="1"/>
  <c r="T104" i="15"/>
  <c r="N103" i="21" s="1"/>
  <c r="T5" i="15"/>
  <c r="S6" i="15"/>
  <c r="S7" i="15"/>
  <c r="S8" i="15"/>
  <c r="S9" i="15"/>
  <c r="S10" i="15"/>
  <c r="S11" i="15"/>
  <c r="S12" i="15"/>
  <c r="S13" i="15"/>
  <c r="S14" i="15"/>
  <c r="S15" i="15"/>
  <c r="S16" i="15"/>
  <c r="S17" i="15"/>
  <c r="S18" i="15"/>
  <c r="S19" i="15"/>
  <c r="S20" i="15"/>
  <c r="S21" i="15"/>
  <c r="S22" i="15"/>
  <c r="S23" i="15"/>
  <c r="S24" i="15"/>
  <c r="S25" i="15"/>
  <c r="S26" i="15"/>
  <c r="S27" i="15"/>
  <c r="S28" i="15"/>
  <c r="S29" i="15"/>
  <c r="S30" i="15"/>
  <c r="S31" i="15"/>
  <c r="S32" i="15"/>
  <c r="S33" i="15"/>
  <c r="S34" i="15"/>
  <c r="S35" i="15"/>
  <c r="S36" i="15"/>
  <c r="S37" i="15"/>
  <c r="S38" i="15"/>
  <c r="S39" i="15"/>
  <c r="S40" i="15"/>
  <c r="S41" i="15"/>
  <c r="S42" i="15"/>
  <c r="S43" i="15"/>
  <c r="S44" i="15"/>
  <c r="S45" i="15"/>
  <c r="S46" i="15"/>
  <c r="S47" i="15"/>
  <c r="S48" i="15"/>
  <c r="S49" i="15"/>
  <c r="S50" i="15"/>
  <c r="S51" i="15"/>
  <c r="S52" i="15"/>
  <c r="S53" i="15"/>
  <c r="S54" i="15"/>
  <c r="S55" i="15"/>
  <c r="S56" i="15"/>
  <c r="S57" i="15"/>
  <c r="S58" i="15"/>
  <c r="S59" i="15"/>
  <c r="S60" i="15"/>
  <c r="S61" i="15"/>
  <c r="S62" i="15"/>
  <c r="S63" i="15"/>
  <c r="S64" i="15"/>
  <c r="S65" i="15"/>
  <c r="S66" i="15"/>
  <c r="S67" i="15"/>
  <c r="S68" i="15"/>
  <c r="S69" i="15"/>
  <c r="S70" i="15"/>
  <c r="S71" i="15"/>
  <c r="S72" i="15"/>
  <c r="S73" i="15"/>
  <c r="S74" i="15"/>
  <c r="S75" i="15"/>
  <c r="S76" i="15"/>
  <c r="S77" i="15"/>
  <c r="S78" i="15"/>
  <c r="S79" i="15"/>
  <c r="S80" i="15"/>
  <c r="S81" i="15"/>
  <c r="S82" i="15"/>
  <c r="S83" i="15"/>
  <c r="S84" i="15"/>
  <c r="S85" i="15"/>
  <c r="S86" i="15"/>
  <c r="S87" i="15"/>
  <c r="S88" i="15"/>
  <c r="S89" i="15"/>
  <c r="S90" i="15"/>
  <c r="S91" i="15"/>
  <c r="S92" i="15"/>
  <c r="S93" i="15"/>
  <c r="S94" i="15"/>
  <c r="S95" i="15"/>
  <c r="S96" i="15"/>
  <c r="S97" i="15"/>
  <c r="S98" i="15"/>
  <c r="S99" i="15"/>
  <c r="S100" i="15"/>
  <c r="S101" i="15"/>
  <c r="S102" i="15"/>
  <c r="S103" i="15"/>
  <c r="S104" i="15"/>
  <c r="S5" i="15"/>
  <c r="Q6" i="15"/>
  <c r="K5" i="21" s="1"/>
  <c r="R6" i="15"/>
  <c r="L5" i="21" s="1"/>
  <c r="Q7" i="15"/>
  <c r="K6" i="21" s="1"/>
  <c r="R7" i="15"/>
  <c r="L6" i="21" s="1"/>
  <c r="Q8" i="15"/>
  <c r="K7" i="21" s="1"/>
  <c r="R8" i="15"/>
  <c r="L7" i="21" s="1"/>
  <c r="Q9" i="15"/>
  <c r="K8" i="21" s="1"/>
  <c r="R9" i="15"/>
  <c r="L8" i="21" s="1"/>
  <c r="Q10" i="15"/>
  <c r="K9" i="21" s="1"/>
  <c r="R10" i="15"/>
  <c r="L9" i="21" s="1"/>
  <c r="Q11" i="15"/>
  <c r="K10" i="21" s="1"/>
  <c r="R11" i="15"/>
  <c r="L10" i="21" s="1"/>
  <c r="Q12" i="15"/>
  <c r="K11" i="21" s="1"/>
  <c r="R12" i="15"/>
  <c r="L11" i="21" s="1"/>
  <c r="Q13" i="15"/>
  <c r="K12" i="21" s="1"/>
  <c r="R13" i="15"/>
  <c r="L12" i="21" s="1"/>
  <c r="Q14" i="15"/>
  <c r="K13" i="21" s="1"/>
  <c r="R14" i="15"/>
  <c r="L13" i="21" s="1"/>
  <c r="Q15" i="15"/>
  <c r="K14" i="21" s="1"/>
  <c r="R15" i="15"/>
  <c r="L14" i="21" s="1"/>
  <c r="Q16" i="15"/>
  <c r="K15" i="21" s="1"/>
  <c r="R16" i="15"/>
  <c r="L15" i="21" s="1"/>
  <c r="Q17" i="15"/>
  <c r="K16" i="21" s="1"/>
  <c r="R17" i="15"/>
  <c r="L16" i="21" s="1"/>
  <c r="Q18" i="15"/>
  <c r="K17" i="21" s="1"/>
  <c r="R18" i="15"/>
  <c r="L17" i="21" s="1"/>
  <c r="Q19" i="15"/>
  <c r="K18" i="21" s="1"/>
  <c r="R19" i="15"/>
  <c r="L18" i="21" s="1"/>
  <c r="Q20" i="15"/>
  <c r="K19" i="21" s="1"/>
  <c r="R20" i="15"/>
  <c r="L19" i="21" s="1"/>
  <c r="Q21" i="15"/>
  <c r="K20" i="21" s="1"/>
  <c r="R21" i="15"/>
  <c r="L20" i="21" s="1"/>
  <c r="Q22" i="15"/>
  <c r="K21" i="21" s="1"/>
  <c r="R22" i="15"/>
  <c r="L21" i="21" s="1"/>
  <c r="Q23" i="15"/>
  <c r="K22" i="21" s="1"/>
  <c r="R23" i="15"/>
  <c r="L22" i="21" s="1"/>
  <c r="Q24" i="15"/>
  <c r="K23" i="21" s="1"/>
  <c r="R24" i="15"/>
  <c r="L23" i="21" s="1"/>
  <c r="Q25" i="15"/>
  <c r="K24" i="21" s="1"/>
  <c r="R25" i="15"/>
  <c r="L24" i="21" s="1"/>
  <c r="Q26" i="15"/>
  <c r="K25" i="21" s="1"/>
  <c r="R26" i="15"/>
  <c r="L25" i="21" s="1"/>
  <c r="Q27" i="15"/>
  <c r="K26" i="21" s="1"/>
  <c r="R27" i="15"/>
  <c r="L26" i="21" s="1"/>
  <c r="Q28" i="15"/>
  <c r="K27" i="21" s="1"/>
  <c r="R28" i="15"/>
  <c r="L27" i="21" s="1"/>
  <c r="Q29" i="15"/>
  <c r="K28" i="21" s="1"/>
  <c r="R29" i="15"/>
  <c r="L28" i="21" s="1"/>
  <c r="Q30" i="15"/>
  <c r="K29" i="21" s="1"/>
  <c r="R30" i="15"/>
  <c r="L29" i="21" s="1"/>
  <c r="Q31" i="15"/>
  <c r="K30" i="21" s="1"/>
  <c r="R31" i="15"/>
  <c r="L30" i="21" s="1"/>
  <c r="Q32" i="15"/>
  <c r="K31" i="21" s="1"/>
  <c r="R32" i="15"/>
  <c r="L31" i="21" s="1"/>
  <c r="Q33" i="15"/>
  <c r="K32" i="21" s="1"/>
  <c r="R33" i="15"/>
  <c r="L32" i="21" s="1"/>
  <c r="Q34" i="15"/>
  <c r="K33" i="21" s="1"/>
  <c r="R34" i="15"/>
  <c r="L33" i="21" s="1"/>
  <c r="Q35" i="15"/>
  <c r="K34" i="21" s="1"/>
  <c r="R35" i="15"/>
  <c r="L34" i="21" s="1"/>
  <c r="Q36" i="15"/>
  <c r="K35" i="21" s="1"/>
  <c r="R36" i="15"/>
  <c r="L35" i="21" s="1"/>
  <c r="Q37" i="15"/>
  <c r="K36" i="21" s="1"/>
  <c r="R37" i="15"/>
  <c r="L36" i="21" s="1"/>
  <c r="Q38" i="15"/>
  <c r="K37" i="21" s="1"/>
  <c r="R38" i="15"/>
  <c r="L37" i="21" s="1"/>
  <c r="Q39" i="15"/>
  <c r="K38" i="21" s="1"/>
  <c r="R39" i="15"/>
  <c r="L38" i="21" s="1"/>
  <c r="Q40" i="15"/>
  <c r="K39" i="21" s="1"/>
  <c r="R40" i="15"/>
  <c r="L39" i="21" s="1"/>
  <c r="Q41" i="15"/>
  <c r="K40" i="21" s="1"/>
  <c r="R41" i="15"/>
  <c r="L40" i="21" s="1"/>
  <c r="Q42" i="15"/>
  <c r="K41" i="21" s="1"/>
  <c r="R42" i="15"/>
  <c r="L41" i="21" s="1"/>
  <c r="Q43" i="15"/>
  <c r="K42" i="21" s="1"/>
  <c r="R43" i="15"/>
  <c r="L42" i="21" s="1"/>
  <c r="Q44" i="15"/>
  <c r="K43" i="21" s="1"/>
  <c r="R44" i="15"/>
  <c r="L43" i="21" s="1"/>
  <c r="Q45" i="15"/>
  <c r="K44" i="21" s="1"/>
  <c r="R45" i="15"/>
  <c r="L44" i="21" s="1"/>
  <c r="Q46" i="15"/>
  <c r="K45" i="21" s="1"/>
  <c r="R46" i="15"/>
  <c r="L45" i="21" s="1"/>
  <c r="Q47" i="15"/>
  <c r="K46" i="21" s="1"/>
  <c r="R47" i="15"/>
  <c r="L46" i="21" s="1"/>
  <c r="Q48" i="15"/>
  <c r="K47" i="21" s="1"/>
  <c r="R48" i="15"/>
  <c r="L47" i="21" s="1"/>
  <c r="Q49" i="15"/>
  <c r="K48" i="21" s="1"/>
  <c r="R49" i="15"/>
  <c r="L48" i="21" s="1"/>
  <c r="Q50" i="15"/>
  <c r="K49" i="21" s="1"/>
  <c r="R50" i="15"/>
  <c r="L49" i="21" s="1"/>
  <c r="Q51" i="15"/>
  <c r="K50" i="21" s="1"/>
  <c r="R51" i="15"/>
  <c r="L50" i="21" s="1"/>
  <c r="Q52" i="15"/>
  <c r="K51" i="21" s="1"/>
  <c r="R52" i="15"/>
  <c r="L51" i="21" s="1"/>
  <c r="Q53" i="15"/>
  <c r="K52" i="21" s="1"/>
  <c r="R53" i="15"/>
  <c r="L52" i="21" s="1"/>
  <c r="Q54" i="15"/>
  <c r="K53" i="21" s="1"/>
  <c r="R54" i="15"/>
  <c r="L53" i="21" s="1"/>
  <c r="Q55" i="15"/>
  <c r="K54" i="21" s="1"/>
  <c r="R55" i="15"/>
  <c r="L54" i="21" s="1"/>
  <c r="Q56" i="15"/>
  <c r="K55" i="21" s="1"/>
  <c r="R56" i="15"/>
  <c r="L55" i="21" s="1"/>
  <c r="Q57" i="15"/>
  <c r="K56" i="21" s="1"/>
  <c r="R57" i="15"/>
  <c r="L56" i="21" s="1"/>
  <c r="Q58" i="15"/>
  <c r="K57" i="21" s="1"/>
  <c r="R58" i="15"/>
  <c r="L57" i="21" s="1"/>
  <c r="Q59" i="15"/>
  <c r="K58" i="21" s="1"/>
  <c r="R59" i="15"/>
  <c r="L58" i="21" s="1"/>
  <c r="Q60" i="15"/>
  <c r="K59" i="21" s="1"/>
  <c r="R60" i="15"/>
  <c r="L59" i="21" s="1"/>
  <c r="Q61" i="15"/>
  <c r="K60" i="21" s="1"/>
  <c r="R61" i="15"/>
  <c r="L60" i="21" s="1"/>
  <c r="Q62" i="15"/>
  <c r="K61" i="21" s="1"/>
  <c r="R62" i="15"/>
  <c r="L61" i="21" s="1"/>
  <c r="Q63" i="15"/>
  <c r="K62" i="21" s="1"/>
  <c r="R63" i="15"/>
  <c r="L62" i="21" s="1"/>
  <c r="Q64" i="15"/>
  <c r="K63" i="21" s="1"/>
  <c r="R64" i="15"/>
  <c r="L63" i="21" s="1"/>
  <c r="Q65" i="15"/>
  <c r="K64" i="21" s="1"/>
  <c r="R65" i="15"/>
  <c r="L64" i="21" s="1"/>
  <c r="Q66" i="15"/>
  <c r="K65" i="21" s="1"/>
  <c r="R66" i="15"/>
  <c r="L65" i="21" s="1"/>
  <c r="Q67" i="15"/>
  <c r="K66" i="21" s="1"/>
  <c r="R67" i="15"/>
  <c r="L66" i="21" s="1"/>
  <c r="Q68" i="15"/>
  <c r="K67" i="21" s="1"/>
  <c r="R68" i="15"/>
  <c r="L67" i="21" s="1"/>
  <c r="Q69" i="15"/>
  <c r="K68" i="21" s="1"/>
  <c r="R69" i="15"/>
  <c r="L68" i="21" s="1"/>
  <c r="Q70" i="15"/>
  <c r="K69" i="21" s="1"/>
  <c r="R70" i="15"/>
  <c r="L69" i="21" s="1"/>
  <c r="Q71" i="15"/>
  <c r="K70" i="21" s="1"/>
  <c r="R71" i="15"/>
  <c r="L70" i="21" s="1"/>
  <c r="Q72" i="15"/>
  <c r="K71" i="21" s="1"/>
  <c r="R72" i="15"/>
  <c r="L71" i="21" s="1"/>
  <c r="Q73" i="15"/>
  <c r="K72" i="21" s="1"/>
  <c r="R73" i="15"/>
  <c r="L72" i="21" s="1"/>
  <c r="Q74" i="15"/>
  <c r="K73" i="21" s="1"/>
  <c r="R74" i="15"/>
  <c r="L73" i="21" s="1"/>
  <c r="Q75" i="15"/>
  <c r="K74" i="21" s="1"/>
  <c r="R75" i="15"/>
  <c r="L74" i="21" s="1"/>
  <c r="Q76" i="15"/>
  <c r="K75" i="21" s="1"/>
  <c r="R76" i="15"/>
  <c r="L75" i="21" s="1"/>
  <c r="Q77" i="15"/>
  <c r="K76" i="21" s="1"/>
  <c r="R77" i="15"/>
  <c r="L76" i="21" s="1"/>
  <c r="Q78" i="15"/>
  <c r="K77" i="21" s="1"/>
  <c r="R78" i="15"/>
  <c r="L77" i="21" s="1"/>
  <c r="Q79" i="15"/>
  <c r="K78" i="21" s="1"/>
  <c r="R79" i="15"/>
  <c r="L78" i="21" s="1"/>
  <c r="Q80" i="15"/>
  <c r="K79" i="21" s="1"/>
  <c r="R80" i="15"/>
  <c r="L79" i="21" s="1"/>
  <c r="Q81" i="15"/>
  <c r="K80" i="21" s="1"/>
  <c r="R81" i="15"/>
  <c r="L80" i="21" s="1"/>
  <c r="Q82" i="15"/>
  <c r="K81" i="21" s="1"/>
  <c r="R82" i="15"/>
  <c r="L81" i="21" s="1"/>
  <c r="Q83" i="15"/>
  <c r="K82" i="21" s="1"/>
  <c r="R83" i="15"/>
  <c r="L82" i="21" s="1"/>
  <c r="Q84" i="15"/>
  <c r="K83" i="21" s="1"/>
  <c r="R84" i="15"/>
  <c r="L83" i="21" s="1"/>
  <c r="Q85" i="15"/>
  <c r="K84" i="21" s="1"/>
  <c r="R85" i="15"/>
  <c r="L84" i="21" s="1"/>
  <c r="Q86" i="15"/>
  <c r="K85" i="21" s="1"/>
  <c r="R86" i="15"/>
  <c r="L85" i="21" s="1"/>
  <c r="Q87" i="15"/>
  <c r="K86" i="21" s="1"/>
  <c r="R87" i="15"/>
  <c r="L86" i="21" s="1"/>
  <c r="Q88" i="15"/>
  <c r="K87" i="21" s="1"/>
  <c r="R88" i="15"/>
  <c r="L87" i="21" s="1"/>
  <c r="Q89" i="15"/>
  <c r="K88" i="21" s="1"/>
  <c r="R89" i="15"/>
  <c r="L88" i="21" s="1"/>
  <c r="Q90" i="15"/>
  <c r="K89" i="21" s="1"/>
  <c r="R90" i="15"/>
  <c r="L89" i="21" s="1"/>
  <c r="Q91" i="15"/>
  <c r="K90" i="21" s="1"/>
  <c r="R91" i="15"/>
  <c r="L90" i="21" s="1"/>
  <c r="Q92" i="15"/>
  <c r="K91" i="21" s="1"/>
  <c r="R92" i="15"/>
  <c r="L91" i="21" s="1"/>
  <c r="Q93" i="15"/>
  <c r="K92" i="21" s="1"/>
  <c r="R93" i="15"/>
  <c r="L92" i="21" s="1"/>
  <c r="Q94" i="15"/>
  <c r="K93" i="21" s="1"/>
  <c r="R94" i="15"/>
  <c r="L93" i="21" s="1"/>
  <c r="Q95" i="15"/>
  <c r="K94" i="21" s="1"/>
  <c r="R95" i="15"/>
  <c r="L94" i="21" s="1"/>
  <c r="Q96" i="15"/>
  <c r="K95" i="21" s="1"/>
  <c r="R96" i="15"/>
  <c r="L95" i="21" s="1"/>
  <c r="Q97" i="15"/>
  <c r="K96" i="21" s="1"/>
  <c r="R97" i="15"/>
  <c r="L96" i="21" s="1"/>
  <c r="Q98" i="15"/>
  <c r="K97" i="21" s="1"/>
  <c r="R98" i="15"/>
  <c r="L97" i="21" s="1"/>
  <c r="Q99" i="15"/>
  <c r="K98" i="21" s="1"/>
  <c r="R99" i="15"/>
  <c r="L98" i="21" s="1"/>
  <c r="Q100" i="15"/>
  <c r="K99" i="21" s="1"/>
  <c r="R100" i="15"/>
  <c r="L99" i="21" s="1"/>
  <c r="Q101" i="15"/>
  <c r="K100" i="21" s="1"/>
  <c r="R101" i="15"/>
  <c r="L100" i="21" s="1"/>
  <c r="Q102" i="15"/>
  <c r="K101" i="21" s="1"/>
  <c r="R102" i="15"/>
  <c r="L101" i="21" s="1"/>
  <c r="Q103" i="15"/>
  <c r="K102" i="21" s="1"/>
  <c r="R103" i="15"/>
  <c r="L102" i="21" s="1"/>
  <c r="Q104" i="15"/>
  <c r="K103" i="21" s="1"/>
  <c r="R104" i="15"/>
  <c r="L103" i="21" s="1"/>
  <c r="R5" i="15"/>
  <c r="Q5" i="15"/>
  <c r="K4" i="21" s="1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3" i="15"/>
  <c r="O34" i="15"/>
  <c r="O35" i="15"/>
  <c r="O36" i="15"/>
  <c r="O37" i="15"/>
  <c r="O38" i="15"/>
  <c r="O39" i="15"/>
  <c r="O40" i="15"/>
  <c r="O41" i="15"/>
  <c r="O42" i="15"/>
  <c r="O43" i="15"/>
  <c r="O44" i="15"/>
  <c r="O45" i="15"/>
  <c r="O46" i="15"/>
  <c r="O47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8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5" i="15"/>
  <c r="I84" i="21" l="1"/>
  <c r="I60" i="21"/>
  <c r="I36" i="21"/>
  <c r="I12" i="21"/>
  <c r="I99" i="21"/>
  <c r="I59" i="21"/>
  <c r="I35" i="21"/>
  <c r="I11" i="21"/>
  <c r="I98" i="21"/>
  <c r="I74" i="21"/>
  <c r="I50" i="21"/>
  <c r="I26" i="21"/>
  <c r="I81" i="21"/>
  <c r="I65" i="21"/>
  <c r="I41" i="21"/>
  <c r="I17" i="21"/>
  <c r="I88" i="21"/>
  <c r="I64" i="21"/>
  <c r="I48" i="21"/>
  <c r="I24" i="21"/>
  <c r="I103" i="21"/>
  <c r="I95" i="21"/>
  <c r="I87" i="21"/>
  <c r="I79" i="21"/>
  <c r="I71" i="21"/>
  <c r="I63" i="21"/>
  <c r="I55" i="21"/>
  <c r="I47" i="21"/>
  <c r="I39" i="21"/>
  <c r="I31" i="21"/>
  <c r="I23" i="21"/>
  <c r="I15" i="21"/>
  <c r="I7" i="21"/>
  <c r="I100" i="21"/>
  <c r="I76" i="21"/>
  <c r="I52" i="21"/>
  <c r="I28" i="21"/>
  <c r="I83" i="21"/>
  <c r="I67" i="21"/>
  <c r="I43" i="21"/>
  <c r="I27" i="21"/>
  <c r="I90" i="21"/>
  <c r="I66" i="21"/>
  <c r="I42" i="21"/>
  <c r="I10" i="21"/>
  <c r="I97" i="21"/>
  <c r="I73" i="21"/>
  <c r="I49" i="21"/>
  <c r="I25" i="21"/>
  <c r="I96" i="21"/>
  <c r="I72" i="21"/>
  <c r="I40" i="21"/>
  <c r="I8" i="21"/>
  <c r="I102" i="21"/>
  <c r="I94" i="21"/>
  <c r="I86" i="21"/>
  <c r="I78" i="21"/>
  <c r="I70" i="21"/>
  <c r="I62" i="21"/>
  <c r="I54" i="21"/>
  <c r="I46" i="21"/>
  <c r="I38" i="21"/>
  <c r="I30" i="21"/>
  <c r="I22" i="21"/>
  <c r="I14" i="21"/>
  <c r="I6" i="21"/>
  <c r="I92" i="21"/>
  <c r="I68" i="21"/>
  <c r="I44" i="21"/>
  <c r="I20" i="21"/>
  <c r="I91" i="21"/>
  <c r="I75" i="21"/>
  <c r="I51" i="21"/>
  <c r="I19" i="21"/>
  <c r="I82" i="21"/>
  <c r="I58" i="21"/>
  <c r="I34" i="21"/>
  <c r="I18" i="21"/>
  <c r="I89" i="21"/>
  <c r="I57" i="21"/>
  <c r="I33" i="21"/>
  <c r="I9" i="21"/>
  <c r="I4" i="21"/>
  <c r="I80" i="21"/>
  <c r="I56" i="21"/>
  <c r="I32" i="21"/>
  <c r="I16" i="21"/>
  <c r="I101" i="21"/>
  <c r="I93" i="21"/>
  <c r="I85" i="21"/>
  <c r="I77" i="21"/>
  <c r="I69" i="21"/>
  <c r="I61" i="21"/>
  <c r="I53" i="21"/>
  <c r="I45" i="21"/>
  <c r="I37" i="21"/>
  <c r="I29" i="21"/>
  <c r="I21" i="21"/>
  <c r="I13" i="21"/>
  <c r="I5" i="21"/>
  <c r="N4" i="21"/>
  <c r="O4" i="21"/>
  <c r="L4" i="21"/>
  <c r="D129" i="4"/>
  <c r="D97" i="4"/>
  <c r="E64" i="7" l="1"/>
  <c r="E55" i="7" l="1"/>
  <c r="H10" i="3" l="1"/>
  <c r="I10" i="3"/>
  <c r="J10" i="3"/>
  <c r="K10" i="3"/>
  <c r="G10" i="3"/>
  <c r="S27" i="4" l="1"/>
  <c r="T27" i="4"/>
  <c r="U27" i="4"/>
  <c r="V27" i="4"/>
  <c r="R27" i="4"/>
  <c r="L17" i="4" l="1"/>
  <c r="M17" i="4"/>
  <c r="N17" i="4"/>
  <c r="G76" i="1" l="1"/>
  <c r="R46" i="7" l="1"/>
  <c r="Q46" i="7"/>
  <c r="P46" i="7"/>
  <c r="O46" i="7"/>
  <c r="N46" i="7"/>
  <c r="M46" i="7"/>
  <c r="L46" i="7"/>
  <c r="K46" i="7"/>
  <c r="J46" i="7"/>
  <c r="I46" i="7"/>
  <c r="H46" i="7"/>
  <c r="G46" i="7"/>
  <c r="F46" i="7"/>
  <c r="G36" i="7"/>
  <c r="H36" i="7"/>
  <c r="I36" i="7"/>
  <c r="J36" i="7"/>
  <c r="K36" i="7"/>
  <c r="L36" i="7"/>
  <c r="M36" i="7"/>
  <c r="N36" i="7"/>
  <c r="O36" i="7"/>
  <c r="F36" i="7"/>
  <c r="R64" i="7" l="1"/>
  <c r="R55" i="7"/>
  <c r="Q64" i="7"/>
  <c r="Q55" i="7"/>
  <c r="P64" i="7"/>
  <c r="P55" i="7"/>
  <c r="O64" i="7"/>
  <c r="O55" i="7"/>
  <c r="N64" i="7"/>
  <c r="N55" i="7"/>
  <c r="M64" i="7"/>
  <c r="M55" i="7"/>
  <c r="K64" i="7"/>
  <c r="K55" i="7"/>
  <c r="J64" i="7"/>
  <c r="J55" i="7"/>
  <c r="I64" i="7"/>
  <c r="I55" i="7"/>
  <c r="H64" i="7"/>
  <c r="H55" i="7"/>
  <c r="G64" i="7"/>
  <c r="G55" i="7"/>
  <c r="F64" i="7"/>
  <c r="F55" i="7"/>
  <c r="L64" i="7"/>
  <c r="L55" i="7"/>
  <c r="AB106" i="15"/>
  <c r="D17" i="16" l="1"/>
  <c r="E17" i="16"/>
  <c r="D18" i="8" l="1"/>
  <c r="M3" i="18"/>
  <c r="N3" i="18"/>
  <c r="O3" i="18"/>
  <c r="I15" i="19"/>
  <c r="J15" i="19"/>
  <c r="K15" i="19"/>
  <c r="L15" i="19"/>
  <c r="M15" i="19"/>
  <c r="N15" i="19"/>
  <c r="O15" i="19"/>
  <c r="P15" i="19"/>
  <c r="Q15" i="19"/>
  <c r="R15" i="19"/>
  <c r="S15" i="19"/>
  <c r="T15" i="19"/>
  <c r="H15" i="19"/>
  <c r="I21" i="5"/>
  <c r="J21" i="5"/>
  <c r="K21" i="5"/>
  <c r="L21" i="5"/>
  <c r="M21" i="5"/>
  <c r="N21" i="5"/>
  <c r="O21" i="5"/>
  <c r="P21" i="5"/>
  <c r="Q21" i="5"/>
  <c r="R21" i="5"/>
  <c r="S21" i="5"/>
  <c r="T21" i="5"/>
  <c r="H21" i="5"/>
  <c r="J9" i="7"/>
  <c r="K9" i="7"/>
  <c r="L9" i="7"/>
  <c r="M9" i="7"/>
  <c r="N9" i="7"/>
  <c r="O9" i="7"/>
  <c r="P9" i="7"/>
  <c r="Q9" i="7"/>
  <c r="R9" i="7"/>
  <c r="S9" i="7"/>
  <c r="T9" i="7"/>
  <c r="U9" i="7"/>
  <c r="I9" i="7"/>
  <c r="J4" i="7"/>
  <c r="K4" i="7"/>
  <c r="L4" i="7"/>
  <c r="M4" i="7"/>
  <c r="N4" i="7"/>
  <c r="O4" i="7"/>
  <c r="P4" i="7"/>
  <c r="Q4" i="7"/>
  <c r="R4" i="7"/>
  <c r="S4" i="7"/>
  <c r="T4" i="7"/>
  <c r="U4" i="7"/>
  <c r="I4" i="7"/>
  <c r="I13" i="6"/>
  <c r="J13" i="6"/>
  <c r="K13" i="6"/>
  <c r="L13" i="6"/>
  <c r="M13" i="6"/>
  <c r="N13" i="6"/>
  <c r="O13" i="6"/>
  <c r="P13" i="6"/>
  <c r="Q13" i="6"/>
  <c r="R13" i="6"/>
  <c r="S13" i="6"/>
  <c r="T13" i="6"/>
  <c r="H13" i="6"/>
  <c r="L4" i="9"/>
  <c r="M4" i="9"/>
  <c r="N4" i="9"/>
  <c r="O4" i="9"/>
  <c r="P4" i="9"/>
  <c r="Q4" i="9"/>
  <c r="R4" i="9"/>
  <c r="S4" i="9"/>
  <c r="T4" i="9"/>
  <c r="U4" i="9"/>
  <c r="V4" i="9"/>
  <c r="W4" i="9"/>
  <c r="K4" i="9"/>
  <c r="H20" i="9"/>
  <c r="I20" i="9"/>
  <c r="J20" i="9"/>
  <c r="K20" i="9"/>
  <c r="L20" i="9"/>
  <c r="M20" i="9"/>
  <c r="N20" i="9"/>
  <c r="O20" i="9"/>
  <c r="P20" i="9"/>
  <c r="Q20" i="9"/>
  <c r="R20" i="9"/>
  <c r="S20" i="9"/>
  <c r="G20" i="9"/>
  <c r="L40" i="8"/>
  <c r="M40" i="8"/>
  <c r="N40" i="8"/>
  <c r="O40" i="8"/>
  <c r="P40" i="8"/>
  <c r="Q40" i="8"/>
  <c r="R40" i="8"/>
  <c r="S40" i="8"/>
  <c r="T40" i="8"/>
  <c r="U40" i="8"/>
  <c r="V40" i="8"/>
  <c r="W40" i="8"/>
  <c r="K40" i="8"/>
  <c r="H12" i="10"/>
  <c r="I12" i="10"/>
  <c r="J12" i="10"/>
  <c r="K12" i="10"/>
  <c r="L12" i="10"/>
  <c r="M12" i="10"/>
  <c r="N12" i="10"/>
  <c r="O12" i="10"/>
  <c r="P12" i="10"/>
  <c r="Q12" i="10"/>
  <c r="R12" i="10"/>
  <c r="S12" i="10"/>
  <c r="G12" i="10"/>
  <c r="I50" i="4"/>
  <c r="J50" i="4"/>
  <c r="K50" i="4"/>
  <c r="L50" i="4"/>
  <c r="M50" i="4"/>
  <c r="N50" i="4"/>
  <c r="O50" i="4"/>
  <c r="P50" i="4"/>
  <c r="Q50" i="4"/>
  <c r="R50" i="4"/>
  <c r="S50" i="4"/>
  <c r="T50" i="4"/>
  <c r="I79" i="4"/>
  <c r="J79" i="4"/>
  <c r="K79" i="4"/>
  <c r="L79" i="4"/>
  <c r="M79" i="4"/>
  <c r="N79" i="4"/>
  <c r="O79" i="4"/>
  <c r="P79" i="4"/>
  <c r="Q79" i="4"/>
  <c r="R79" i="4"/>
  <c r="S79" i="4"/>
  <c r="T79" i="4"/>
  <c r="H79" i="4"/>
  <c r="I111" i="4"/>
  <c r="J111" i="4"/>
  <c r="K111" i="4"/>
  <c r="L111" i="4"/>
  <c r="M111" i="4"/>
  <c r="N111" i="4"/>
  <c r="O111" i="4"/>
  <c r="P111" i="4"/>
  <c r="Q111" i="4"/>
  <c r="R111" i="4"/>
  <c r="S111" i="4"/>
  <c r="T111" i="4"/>
  <c r="H111" i="4"/>
  <c r="H18" i="7" l="1"/>
  <c r="H19" i="7"/>
  <c r="H20" i="7"/>
  <c r="H21" i="7"/>
  <c r="H22" i="7"/>
  <c r="H17" i="7"/>
  <c r="D128" i="4" l="1"/>
  <c r="D127" i="4"/>
  <c r="D126" i="4"/>
  <c r="D125" i="4"/>
  <c r="D124" i="4"/>
  <c r="D123" i="4"/>
  <c r="D122" i="4"/>
  <c r="D121" i="4"/>
  <c r="D120" i="4"/>
  <c r="D119" i="4"/>
  <c r="D118" i="4"/>
  <c r="D115" i="4"/>
  <c r="D114" i="4"/>
  <c r="D113" i="4"/>
  <c r="D112" i="4"/>
  <c r="D96" i="4" l="1"/>
  <c r="D95" i="4"/>
  <c r="D94" i="4"/>
  <c r="D93" i="4"/>
  <c r="D92" i="4"/>
  <c r="D91" i="4"/>
  <c r="D90" i="4"/>
  <c r="D89" i="4"/>
  <c r="D88" i="4"/>
  <c r="D87" i="4"/>
  <c r="D86" i="4"/>
  <c r="D83" i="4"/>
  <c r="D82" i="4"/>
  <c r="D81" i="4"/>
  <c r="D80" i="4"/>
  <c r="K31" i="4"/>
  <c r="R17" i="4" l="1"/>
  <c r="R26" i="4" s="1"/>
  <c r="S4" i="4"/>
  <c r="S17" i="4" s="1"/>
  <c r="S26" i="4" s="1"/>
  <c r="T2" i="4"/>
  <c r="R6" i="4"/>
  <c r="S6" i="4" s="1"/>
  <c r="T6" i="4" s="1"/>
  <c r="U6" i="4" s="1"/>
  <c r="V6" i="4" s="1"/>
  <c r="W6" i="4" s="1"/>
  <c r="R7" i="4"/>
  <c r="S7" i="4" s="1"/>
  <c r="R8" i="4"/>
  <c r="R21" i="4" s="1"/>
  <c r="R9" i="4"/>
  <c r="S9" i="4" s="1"/>
  <c r="R10" i="4"/>
  <c r="R23" i="4" s="1"/>
  <c r="R11" i="4"/>
  <c r="S11" i="4" s="1"/>
  <c r="T11" i="4" s="1"/>
  <c r="U11" i="4" s="1"/>
  <c r="V11" i="4" s="1"/>
  <c r="W11" i="4" s="1"/>
  <c r="R12" i="4"/>
  <c r="S12" i="4" s="1"/>
  <c r="T12" i="4" s="1"/>
  <c r="T25" i="4" s="1"/>
  <c r="R5" i="4"/>
  <c r="R18" i="4" s="1"/>
  <c r="C35" i="2" l="1"/>
  <c r="C45" i="2" s="1"/>
  <c r="C55" i="2" s="1"/>
  <c r="C65" i="2" s="1"/>
  <c r="C75" i="2" s="1"/>
  <c r="C85" i="2" s="1"/>
  <c r="B25" i="2"/>
  <c r="B26" i="2" s="1"/>
  <c r="B27" i="2" s="1"/>
  <c r="B28" i="2" s="1"/>
  <c r="B29" i="2" s="1"/>
  <c r="B30" i="2" s="1"/>
  <c r="B31" i="2" s="1"/>
  <c r="B32" i="2" s="1"/>
  <c r="B33" i="2" s="1"/>
  <c r="B34" i="2" s="1"/>
  <c r="A26" i="17"/>
  <c r="A5" i="17"/>
  <c r="A27" i="17"/>
  <c r="A93" i="17"/>
  <c r="A53" i="17"/>
  <c r="A84" i="17"/>
  <c r="A52" i="17"/>
  <c r="A83" i="17"/>
  <c r="A51" i="17"/>
  <c r="A74" i="17"/>
  <c r="A97" i="17"/>
  <c r="A89" i="17"/>
  <c r="A81" i="17"/>
  <c r="A73" i="17"/>
  <c r="A65" i="17"/>
  <c r="A57" i="17"/>
  <c r="A49" i="17"/>
  <c r="A85" i="17"/>
  <c r="A69" i="17"/>
  <c r="A45" i="17"/>
  <c r="A92" i="17"/>
  <c r="A68" i="17"/>
  <c r="A99" i="17"/>
  <c r="A75" i="17"/>
  <c r="A59" i="17"/>
  <c r="A98" i="17"/>
  <c r="A82" i="17"/>
  <c r="A50" i="17"/>
  <c r="A96" i="17"/>
  <c r="A72" i="17"/>
  <c r="A56" i="17"/>
  <c r="A103" i="17"/>
  <c r="A95" i="17"/>
  <c r="A87" i="17"/>
  <c r="A79" i="17"/>
  <c r="A71" i="17"/>
  <c r="A63" i="17"/>
  <c r="A55" i="17"/>
  <c r="A47" i="17"/>
  <c r="A101" i="17"/>
  <c r="A77" i="17"/>
  <c r="A61" i="17"/>
  <c r="A100" i="17"/>
  <c r="A76" i="17"/>
  <c r="A60" i="17"/>
  <c r="A91" i="17"/>
  <c r="A67" i="17"/>
  <c r="A90" i="17"/>
  <c r="A66" i="17"/>
  <c r="A58" i="17"/>
  <c r="A104" i="17"/>
  <c r="A88" i="17"/>
  <c r="A80" i="17"/>
  <c r="A64" i="17"/>
  <c r="A48" i="17"/>
  <c r="A102" i="17"/>
  <c r="A94" i="17"/>
  <c r="A86" i="17"/>
  <c r="A78" i="17"/>
  <c r="A70" i="17"/>
  <c r="A62" i="17"/>
  <c r="A54" i="17"/>
  <c r="A46" i="17"/>
  <c r="A36" i="17"/>
  <c r="A20" i="17"/>
  <c r="A43" i="17"/>
  <c r="A35" i="17"/>
  <c r="A19" i="17"/>
  <c r="A11" i="17"/>
  <c r="A42" i="17"/>
  <c r="A34" i="17"/>
  <c r="A18" i="17"/>
  <c r="A10" i="17"/>
  <c r="A44" i="17"/>
  <c r="A28" i="17"/>
  <c r="A12" i="17"/>
  <c r="A41" i="17"/>
  <c r="A33" i="17"/>
  <c r="A25" i="17"/>
  <c r="A17" i="17"/>
  <c r="A9" i="17"/>
  <c r="A40" i="17"/>
  <c r="A32" i="17"/>
  <c r="A24" i="17"/>
  <c r="A16" i="17"/>
  <c r="A8" i="17"/>
  <c r="A39" i="17"/>
  <c r="A31" i="17"/>
  <c r="A23" i="17"/>
  <c r="A15" i="17"/>
  <c r="A7" i="17"/>
  <c r="A38" i="17"/>
  <c r="A30" i="17"/>
  <c r="A22" i="17"/>
  <c r="A14" i="17"/>
  <c r="A6" i="17"/>
  <c r="A37" i="17"/>
  <c r="A29" i="17"/>
  <c r="A21" i="17"/>
  <c r="A13" i="17"/>
  <c r="S25" i="4"/>
  <c r="R24" i="4"/>
  <c r="S10" i="4"/>
  <c r="T10" i="4" s="1"/>
  <c r="U10" i="4" s="1"/>
  <c r="V10" i="4" s="1"/>
  <c r="W10" i="4" s="1"/>
  <c r="R22" i="4"/>
  <c r="S19" i="4"/>
  <c r="S8" i="4"/>
  <c r="T8" i="4" s="1"/>
  <c r="U8" i="4" s="1"/>
  <c r="V8" i="4" s="1"/>
  <c r="W8" i="4" s="1"/>
  <c r="T9" i="4"/>
  <c r="S22" i="4"/>
  <c r="T7" i="4"/>
  <c r="S20" i="4"/>
  <c r="V24" i="4"/>
  <c r="V19" i="4"/>
  <c r="S5" i="4"/>
  <c r="T24" i="4"/>
  <c r="U19" i="4"/>
  <c r="R19" i="4"/>
  <c r="R20" i="4"/>
  <c r="U24" i="4"/>
  <c r="S24" i="4"/>
  <c r="T19" i="4"/>
  <c r="R25" i="4"/>
  <c r="U12" i="4"/>
  <c r="B35" i="2" l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S21" i="4"/>
  <c r="V23" i="4"/>
  <c r="U23" i="4"/>
  <c r="D105" i="17"/>
  <c r="T105" i="17" s="1"/>
  <c r="S23" i="4"/>
  <c r="T23" i="4"/>
  <c r="T21" i="4"/>
  <c r="U21" i="4"/>
  <c r="V21" i="4"/>
  <c r="U7" i="4"/>
  <c r="T20" i="4"/>
  <c r="U9" i="4"/>
  <c r="T22" i="4"/>
  <c r="T5" i="4"/>
  <c r="S18" i="4"/>
  <c r="V12" i="4"/>
  <c r="U25" i="4"/>
  <c r="C17" i="16" l="1"/>
  <c r="V7" i="4"/>
  <c r="U20" i="4"/>
  <c r="W12" i="4"/>
  <c r="V25" i="4"/>
  <c r="U5" i="4"/>
  <c r="T18" i="4"/>
  <c r="V9" i="4"/>
  <c r="U22" i="4"/>
  <c r="W7" i="4" l="1"/>
  <c r="V20" i="4"/>
  <c r="W9" i="4"/>
  <c r="V22" i="4"/>
  <c r="V5" i="4"/>
  <c r="U18" i="4"/>
  <c r="V18" i="4" l="1"/>
  <c r="W5" i="4"/>
  <c r="P6" i="15" l="1"/>
  <c r="J5" i="21" s="1"/>
  <c r="P7" i="15"/>
  <c r="J6" i="21" s="1"/>
  <c r="P8" i="15"/>
  <c r="J7" i="21" s="1"/>
  <c r="P9" i="15"/>
  <c r="J8" i="21" s="1"/>
  <c r="P10" i="15"/>
  <c r="J9" i="21" s="1"/>
  <c r="P11" i="15"/>
  <c r="J10" i="21" s="1"/>
  <c r="P12" i="15"/>
  <c r="J11" i="21" s="1"/>
  <c r="P13" i="15"/>
  <c r="J12" i="21" s="1"/>
  <c r="P14" i="15"/>
  <c r="J13" i="21" s="1"/>
  <c r="P15" i="15"/>
  <c r="J14" i="21" s="1"/>
  <c r="P16" i="15"/>
  <c r="J15" i="21" s="1"/>
  <c r="P17" i="15"/>
  <c r="J16" i="21" s="1"/>
  <c r="P18" i="15"/>
  <c r="J17" i="21" s="1"/>
  <c r="P19" i="15"/>
  <c r="J18" i="21" s="1"/>
  <c r="P20" i="15"/>
  <c r="J19" i="21" s="1"/>
  <c r="P21" i="15"/>
  <c r="J20" i="21" s="1"/>
  <c r="P22" i="15"/>
  <c r="J21" i="21" s="1"/>
  <c r="P23" i="15"/>
  <c r="J22" i="21" s="1"/>
  <c r="P24" i="15"/>
  <c r="J23" i="21" s="1"/>
  <c r="P25" i="15"/>
  <c r="J24" i="21" s="1"/>
  <c r="P26" i="15"/>
  <c r="J25" i="21" s="1"/>
  <c r="P27" i="15"/>
  <c r="J26" i="21" s="1"/>
  <c r="P28" i="15"/>
  <c r="J27" i="21" s="1"/>
  <c r="P29" i="15"/>
  <c r="J28" i="21" s="1"/>
  <c r="P30" i="15"/>
  <c r="J29" i="21" s="1"/>
  <c r="P31" i="15"/>
  <c r="J30" i="21" s="1"/>
  <c r="P32" i="15"/>
  <c r="J31" i="21" s="1"/>
  <c r="P33" i="15"/>
  <c r="J32" i="21" s="1"/>
  <c r="P34" i="15"/>
  <c r="J33" i="21" s="1"/>
  <c r="P35" i="15"/>
  <c r="J34" i="21" s="1"/>
  <c r="P36" i="15"/>
  <c r="J35" i="21" s="1"/>
  <c r="P37" i="15"/>
  <c r="J36" i="21" s="1"/>
  <c r="P38" i="15"/>
  <c r="J37" i="21" s="1"/>
  <c r="P39" i="15"/>
  <c r="J38" i="21" s="1"/>
  <c r="P40" i="15"/>
  <c r="J39" i="21" s="1"/>
  <c r="P41" i="15"/>
  <c r="J40" i="21" s="1"/>
  <c r="P42" i="15"/>
  <c r="J41" i="21" s="1"/>
  <c r="P43" i="15"/>
  <c r="J42" i="21" s="1"/>
  <c r="P44" i="15"/>
  <c r="J43" i="21" s="1"/>
  <c r="P45" i="15"/>
  <c r="J44" i="21" s="1"/>
  <c r="P46" i="15"/>
  <c r="J45" i="21" s="1"/>
  <c r="P47" i="15"/>
  <c r="J46" i="21" s="1"/>
  <c r="P48" i="15"/>
  <c r="J47" i="21" s="1"/>
  <c r="P49" i="15"/>
  <c r="J48" i="21" s="1"/>
  <c r="P50" i="15"/>
  <c r="J49" i="21" s="1"/>
  <c r="P51" i="15"/>
  <c r="J50" i="21" s="1"/>
  <c r="P52" i="15"/>
  <c r="J51" i="21" s="1"/>
  <c r="P53" i="15"/>
  <c r="J52" i="21" s="1"/>
  <c r="P54" i="15"/>
  <c r="J53" i="21" s="1"/>
  <c r="P55" i="15"/>
  <c r="J54" i="21" s="1"/>
  <c r="P56" i="15"/>
  <c r="J55" i="21" s="1"/>
  <c r="P57" i="15"/>
  <c r="J56" i="21" s="1"/>
  <c r="P58" i="15"/>
  <c r="J57" i="21" s="1"/>
  <c r="P59" i="15"/>
  <c r="J58" i="21" s="1"/>
  <c r="P60" i="15"/>
  <c r="J59" i="21" s="1"/>
  <c r="P61" i="15"/>
  <c r="J60" i="21" s="1"/>
  <c r="P62" i="15"/>
  <c r="J61" i="21" s="1"/>
  <c r="P63" i="15"/>
  <c r="J62" i="21" s="1"/>
  <c r="P64" i="15"/>
  <c r="J63" i="21" s="1"/>
  <c r="P65" i="15"/>
  <c r="J64" i="21" s="1"/>
  <c r="P66" i="15"/>
  <c r="J65" i="21" s="1"/>
  <c r="P67" i="15"/>
  <c r="J66" i="21" s="1"/>
  <c r="P68" i="15"/>
  <c r="J67" i="21" s="1"/>
  <c r="P69" i="15"/>
  <c r="J68" i="21" s="1"/>
  <c r="P70" i="15"/>
  <c r="J69" i="21" s="1"/>
  <c r="P71" i="15"/>
  <c r="J70" i="21" s="1"/>
  <c r="P72" i="15"/>
  <c r="J71" i="21" s="1"/>
  <c r="P73" i="15"/>
  <c r="J72" i="21" s="1"/>
  <c r="P74" i="15"/>
  <c r="J73" i="21" s="1"/>
  <c r="P75" i="15"/>
  <c r="J74" i="21" s="1"/>
  <c r="P76" i="15"/>
  <c r="J75" i="21" s="1"/>
  <c r="P77" i="15"/>
  <c r="J76" i="21" s="1"/>
  <c r="P78" i="15"/>
  <c r="J77" i="21" s="1"/>
  <c r="P79" i="15"/>
  <c r="J78" i="21" s="1"/>
  <c r="P80" i="15"/>
  <c r="J79" i="21" s="1"/>
  <c r="P81" i="15"/>
  <c r="J80" i="21" s="1"/>
  <c r="P82" i="15"/>
  <c r="J81" i="21" s="1"/>
  <c r="P83" i="15"/>
  <c r="J82" i="21" s="1"/>
  <c r="P84" i="15"/>
  <c r="J83" i="21" s="1"/>
  <c r="P85" i="15"/>
  <c r="J84" i="21" s="1"/>
  <c r="P86" i="15"/>
  <c r="J85" i="21" s="1"/>
  <c r="P87" i="15"/>
  <c r="J86" i="21" s="1"/>
  <c r="P88" i="15"/>
  <c r="J87" i="21" s="1"/>
  <c r="P89" i="15"/>
  <c r="J88" i="21" s="1"/>
  <c r="P90" i="15"/>
  <c r="J89" i="21" s="1"/>
  <c r="P91" i="15"/>
  <c r="J90" i="21" s="1"/>
  <c r="P92" i="15"/>
  <c r="J91" i="21" s="1"/>
  <c r="P93" i="15"/>
  <c r="J92" i="21" s="1"/>
  <c r="P94" i="15"/>
  <c r="J93" i="21" s="1"/>
  <c r="P95" i="15"/>
  <c r="J94" i="21" s="1"/>
  <c r="P96" i="15"/>
  <c r="J95" i="21" s="1"/>
  <c r="P97" i="15"/>
  <c r="J96" i="21" s="1"/>
  <c r="P98" i="15"/>
  <c r="J97" i="21" s="1"/>
  <c r="P99" i="15"/>
  <c r="J98" i="21" s="1"/>
  <c r="P100" i="15"/>
  <c r="J99" i="21" s="1"/>
  <c r="P101" i="15"/>
  <c r="J100" i="21" s="1"/>
  <c r="P102" i="15"/>
  <c r="J101" i="21" s="1"/>
  <c r="P103" i="15"/>
  <c r="J102" i="21" s="1"/>
  <c r="P5" i="15"/>
  <c r="J4" i="21" s="1"/>
  <c r="N6" i="15"/>
  <c r="N7" i="15"/>
  <c r="H6" i="21" s="1"/>
  <c r="N8" i="15"/>
  <c r="H7" i="21" s="1"/>
  <c r="N9" i="15"/>
  <c r="H8" i="21" s="1"/>
  <c r="N10" i="15"/>
  <c r="H9" i="21" s="1"/>
  <c r="N11" i="15"/>
  <c r="H10" i="21" s="1"/>
  <c r="N12" i="15"/>
  <c r="H11" i="21" s="1"/>
  <c r="N13" i="15"/>
  <c r="H12" i="21" s="1"/>
  <c r="N14" i="15"/>
  <c r="H13" i="21" s="1"/>
  <c r="N15" i="15"/>
  <c r="H14" i="21" s="1"/>
  <c r="N16" i="15"/>
  <c r="H15" i="21" s="1"/>
  <c r="N17" i="15"/>
  <c r="H16" i="21" s="1"/>
  <c r="N18" i="15"/>
  <c r="H17" i="21" s="1"/>
  <c r="N19" i="15"/>
  <c r="H18" i="21" s="1"/>
  <c r="N20" i="15"/>
  <c r="H19" i="21" s="1"/>
  <c r="N21" i="15"/>
  <c r="H20" i="21" s="1"/>
  <c r="N22" i="15"/>
  <c r="H21" i="21" s="1"/>
  <c r="N23" i="15"/>
  <c r="H22" i="21" s="1"/>
  <c r="N24" i="15"/>
  <c r="H23" i="21" s="1"/>
  <c r="N25" i="15"/>
  <c r="H24" i="21" s="1"/>
  <c r="N26" i="15"/>
  <c r="H25" i="21" s="1"/>
  <c r="N27" i="15"/>
  <c r="H26" i="21" s="1"/>
  <c r="N28" i="15"/>
  <c r="H27" i="21" s="1"/>
  <c r="N29" i="15"/>
  <c r="H28" i="21" s="1"/>
  <c r="N30" i="15"/>
  <c r="H29" i="21" s="1"/>
  <c r="N31" i="15"/>
  <c r="H30" i="21" s="1"/>
  <c r="N32" i="15"/>
  <c r="H31" i="21" s="1"/>
  <c r="N33" i="15"/>
  <c r="H32" i="21" s="1"/>
  <c r="N34" i="15"/>
  <c r="H33" i="21" s="1"/>
  <c r="N35" i="15"/>
  <c r="H34" i="21" s="1"/>
  <c r="N36" i="15"/>
  <c r="H35" i="21" s="1"/>
  <c r="N37" i="15"/>
  <c r="H36" i="21" s="1"/>
  <c r="N38" i="15"/>
  <c r="H37" i="21" s="1"/>
  <c r="N39" i="15"/>
  <c r="H38" i="21" s="1"/>
  <c r="N40" i="15"/>
  <c r="H39" i="21" s="1"/>
  <c r="N41" i="15"/>
  <c r="H40" i="21" s="1"/>
  <c r="N42" i="15"/>
  <c r="H41" i="21" s="1"/>
  <c r="N43" i="15"/>
  <c r="H42" i="21" s="1"/>
  <c r="N44" i="15"/>
  <c r="H43" i="21" s="1"/>
  <c r="N45" i="15"/>
  <c r="H44" i="21" s="1"/>
  <c r="N46" i="15"/>
  <c r="H45" i="21" s="1"/>
  <c r="N47" i="15"/>
  <c r="H46" i="21" s="1"/>
  <c r="N48" i="15"/>
  <c r="H47" i="21" s="1"/>
  <c r="N49" i="15"/>
  <c r="H48" i="21" s="1"/>
  <c r="N50" i="15"/>
  <c r="H49" i="21" s="1"/>
  <c r="N51" i="15"/>
  <c r="H50" i="21" s="1"/>
  <c r="N52" i="15"/>
  <c r="H51" i="21" s="1"/>
  <c r="N53" i="15"/>
  <c r="H52" i="21" s="1"/>
  <c r="N54" i="15"/>
  <c r="H53" i="21" s="1"/>
  <c r="N55" i="15"/>
  <c r="H54" i="21" s="1"/>
  <c r="N56" i="15"/>
  <c r="H55" i="21" s="1"/>
  <c r="N57" i="15"/>
  <c r="H56" i="21" s="1"/>
  <c r="N58" i="15"/>
  <c r="H57" i="21" s="1"/>
  <c r="N59" i="15"/>
  <c r="H58" i="21" s="1"/>
  <c r="N60" i="15"/>
  <c r="H59" i="21" s="1"/>
  <c r="N61" i="15"/>
  <c r="H60" i="21" s="1"/>
  <c r="N62" i="15"/>
  <c r="H61" i="21" s="1"/>
  <c r="N63" i="15"/>
  <c r="H62" i="21" s="1"/>
  <c r="N64" i="15"/>
  <c r="H63" i="21" s="1"/>
  <c r="N65" i="15"/>
  <c r="H64" i="21" s="1"/>
  <c r="N66" i="15"/>
  <c r="H65" i="21" s="1"/>
  <c r="N67" i="15"/>
  <c r="H66" i="21" s="1"/>
  <c r="N68" i="15"/>
  <c r="H67" i="21" s="1"/>
  <c r="N69" i="15"/>
  <c r="H68" i="21" s="1"/>
  <c r="N70" i="15"/>
  <c r="H69" i="21" s="1"/>
  <c r="N71" i="15"/>
  <c r="H70" i="21" s="1"/>
  <c r="N72" i="15"/>
  <c r="H71" i="21" s="1"/>
  <c r="N73" i="15"/>
  <c r="H72" i="21" s="1"/>
  <c r="N74" i="15"/>
  <c r="H73" i="21" s="1"/>
  <c r="N75" i="15"/>
  <c r="H74" i="21" s="1"/>
  <c r="N76" i="15"/>
  <c r="H75" i="21" s="1"/>
  <c r="N77" i="15"/>
  <c r="H76" i="21" s="1"/>
  <c r="N78" i="15"/>
  <c r="H77" i="21" s="1"/>
  <c r="N79" i="15"/>
  <c r="H78" i="21" s="1"/>
  <c r="N80" i="15"/>
  <c r="H79" i="21" s="1"/>
  <c r="N81" i="15"/>
  <c r="H80" i="21" s="1"/>
  <c r="N82" i="15"/>
  <c r="H81" i="21" s="1"/>
  <c r="N83" i="15"/>
  <c r="H82" i="21" s="1"/>
  <c r="N84" i="15"/>
  <c r="H83" i="21" s="1"/>
  <c r="N85" i="15"/>
  <c r="H84" i="21" s="1"/>
  <c r="N86" i="15"/>
  <c r="H85" i="21" s="1"/>
  <c r="N87" i="15"/>
  <c r="H86" i="21" s="1"/>
  <c r="N88" i="15"/>
  <c r="H87" i="21" s="1"/>
  <c r="N89" i="15"/>
  <c r="H88" i="21" s="1"/>
  <c r="N90" i="15"/>
  <c r="H89" i="21" s="1"/>
  <c r="N91" i="15"/>
  <c r="H90" i="21" s="1"/>
  <c r="N92" i="15"/>
  <c r="H91" i="21" s="1"/>
  <c r="N93" i="15"/>
  <c r="H92" i="21" s="1"/>
  <c r="N94" i="15"/>
  <c r="H93" i="21" s="1"/>
  <c r="N95" i="15"/>
  <c r="H94" i="21" s="1"/>
  <c r="N96" i="15"/>
  <c r="H95" i="21" s="1"/>
  <c r="N97" i="15"/>
  <c r="H96" i="21" s="1"/>
  <c r="N98" i="15"/>
  <c r="H97" i="21" s="1"/>
  <c r="N99" i="15"/>
  <c r="H98" i="21" s="1"/>
  <c r="N100" i="15"/>
  <c r="H99" i="21" s="1"/>
  <c r="N101" i="15"/>
  <c r="H100" i="21" s="1"/>
  <c r="N102" i="15"/>
  <c r="H101" i="21" s="1"/>
  <c r="N103" i="15"/>
  <c r="H102" i="21" s="1"/>
  <c r="N5" i="15"/>
  <c r="M6" i="15"/>
  <c r="G5" i="21" s="1"/>
  <c r="M7" i="15"/>
  <c r="G6" i="21" s="1"/>
  <c r="M8" i="15"/>
  <c r="G7" i="21" s="1"/>
  <c r="M9" i="15"/>
  <c r="G8" i="21" s="1"/>
  <c r="M10" i="15"/>
  <c r="G9" i="21" s="1"/>
  <c r="M11" i="15"/>
  <c r="G10" i="21" s="1"/>
  <c r="M12" i="15"/>
  <c r="G11" i="21" s="1"/>
  <c r="M13" i="15"/>
  <c r="G12" i="21" s="1"/>
  <c r="M14" i="15"/>
  <c r="G13" i="21" s="1"/>
  <c r="M15" i="15"/>
  <c r="G14" i="21" s="1"/>
  <c r="M16" i="15"/>
  <c r="G15" i="21" s="1"/>
  <c r="M17" i="15"/>
  <c r="G16" i="21" s="1"/>
  <c r="M18" i="15"/>
  <c r="G17" i="21" s="1"/>
  <c r="M19" i="15"/>
  <c r="G18" i="21" s="1"/>
  <c r="M20" i="15"/>
  <c r="G19" i="21" s="1"/>
  <c r="M21" i="15"/>
  <c r="G20" i="21" s="1"/>
  <c r="M22" i="15"/>
  <c r="G21" i="21" s="1"/>
  <c r="M23" i="15"/>
  <c r="G22" i="21" s="1"/>
  <c r="M24" i="15"/>
  <c r="G23" i="21" s="1"/>
  <c r="M25" i="15"/>
  <c r="G24" i="21" s="1"/>
  <c r="M26" i="15"/>
  <c r="G25" i="21" s="1"/>
  <c r="M27" i="15"/>
  <c r="G26" i="21" s="1"/>
  <c r="M28" i="15"/>
  <c r="G27" i="21" s="1"/>
  <c r="M29" i="15"/>
  <c r="G28" i="21" s="1"/>
  <c r="M30" i="15"/>
  <c r="G29" i="21" s="1"/>
  <c r="M31" i="15"/>
  <c r="G30" i="21" s="1"/>
  <c r="M32" i="15"/>
  <c r="G31" i="21" s="1"/>
  <c r="M33" i="15"/>
  <c r="G32" i="21" s="1"/>
  <c r="M34" i="15"/>
  <c r="G33" i="21" s="1"/>
  <c r="M35" i="15"/>
  <c r="G34" i="21" s="1"/>
  <c r="M36" i="15"/>
  <c r="G35" i="21" s="1"/>
  <c r="M37" i="15"/>
  <c r="G36" i="21" s="1"/>
  <c r="M38" i="15"/>
  <c r="G37" i="21" s="1"/>
  <c r="M39" i="15"/>
  <c r="G38" i="21" s="1"/>
  <c r="M40" i="15"/>
  <c r="G39" i="21" s="1"/>
  <c r="M41" i="15"/>
  <c r="G40" i="21" s="1"/>
  <c r="M42" i="15"/>
  <c r="G41" i="21" s="1"/>
  <c r="M43" i="15"/>
  <c r="G42" i="21" s="1"/>
  <c r="M44" i="15"/>
  <c r="G43" i="21" s="1"/>
  <c r="M45" i="15"/>
  <c r="G44" i="21" s="1"/>
  <c r="M46" i="15"/>
  <c r="G45" i="21" s="1"/>
  <c r="M47" i="15"/>
  <c r="G46" i="21" s="1"/>
  <c r="M48" i="15"/>
  <c r="G47" i="21" s="1"/>
  <c r="M49" i="15"/>
  <c r="G48" i="21" s="1"/>
  <c r="M50" i="15"/>
  <c r="G49" i="21" s="1"/>
  <c r="M51" i="15"/>
  <c r="G50" i="21" s="1"/>
  <c r="M52" i="15"/>
  <c r="G51" i="21" s="1"/>
  <c r="M53" i="15"/>
  <c r="G52" i="21" s="1"/>
  <c r="M54" i="15"/>
  <c r="G53" i="21" s="1"/>
  <c r="M55" i="15"/>
  <c r="G54" i="21" s="1"/>
  <c r="M56" i="15"/>
  <c r="G55" i="21" s="1"/>
  <c r="M57" i="15"/>
  <c r="G56" i="21" s="1"/>
  <c r="M58" i="15"/>
  <c r="G57" i="21" s="1"/>
  <c r="M59" i="15"/>
  <c r="G58" i="21" s="1"/>
  <c r="M60" i="15"/>
  <c r="G59" i="21" s="1"/>
  <c r="M61" i="15"/>
  <c r="G60" i="21" s="1"/>
  <c r="M62" i="15"/>
  <c r="G61" i="21" s="1"/>
  <c r="M63" i="15"/>
  <c r="G62" i="21" s="1"/>
  <c r="M64" i="15"/>
  <c r="G63" i="21" s="1"/>
  <c r="M65" i="15"/>
  <c r="G64" i="21" s="1"/>
  <c r="M66" i="15"/>
  <c r="G65" i="21" s="1"/>
  <c r="M67" i="15"/>
  <c r="G66" i="21" s="1"/>
  <c r="M68" i="15"/>
  <c r="G67" i="21" s="1"/>
  <c r="M69" i="15"/>
  <c r="G68" i="21" s="1"/>
  <c r="M70" i="15"/>
  <c r="G69" i="21" s="1"/>
  <c r="M71" i="15"/>
  <c r="G70" i="21" s="1"/>
  <c r="M72" i="15"/>
  <c r="G71" i="21" s="1"/>
  <c r="M73" i="15"/>
  <c r="G72" i="21" s="1"/>
  <c r="M74" i="15"/>
  <c r="G73" i="21" s="1"/>
  <c r="M75" i="15"/>
  <c r="G74" i="21" s="1"/>
  <c r="M76" i="15"/>
  <c r="G75" i="21" s="1"/>
  <c r="M77" i="15"/>
  <c r="G76" i="21" s="1"/>
  <c r="M78" i="15"/>
  <c r="G77" i="21" s="1"/>
  <c r="M79" i="15"/>
  <c r="G78" i="21" s="1"/>
  <c r="M80" i="15"/>
  <c r="G79" i="21" s="1"/>
  <c r="M81" i="15"/>
  <c r="G80" i="21" s="1"/>
  <c r="M82" i="15"/>
  <c r="G81" i="21" s="1"/>
  <c r="M83" i="15"/>
  <c r="G82" i="21" s="1"/>
  <c r="M84" i="15"/>
  <c r="G83" i="21" s="1"/>
  <c r="M85" i="15"/>
  <c r="G84" i="21" s="1"/>
  <c r="M86" i="15"/>
  <c r="G85" i="21" s="1"/>
  <c r="M87" i="15"/>
  <c r="G86" i="21" s="1"/>
  <c r="M88" i="15"/>
  <c r="G87" i="21" s="1"/>
  <c r="M89" i="15"/>
  <c r="G88" i="21" s="1"/>
  <c r="M90" i="15"/>
  <c r="G89" i="21" s="1"/>
  <c r="M91" i="15"/>
  <c r="G90" i="21" s="1"/>
  <c r="M92" i="15"/>
  <c r="G91" i="21" s="1"/>
  <c r="M93" i="15"/>
  <c r="G92" i="21" s="1"/>
  <c r="M94" i="15"/>
  <c r="G93" i="21" s="1"/>
  <c r="M95" i="15"/>
  <c r="G94" i="21" s="1"/>
  <c r="M96" i="15"/>
  <c r="G95" i="21" s="1"/>
  <c r="M97" i="15"/>
  <c r="G96" i="21" s="1"/>
  <c r="M98" i="15"/>
  <c r="G97" i="21" s="1"/>
  <c r="M99" i="15"/>
  <c r="G98" i="21" s="1"/>
  <c r="M100" i="15"/>
  <c r="G99" i="21" s="1"/>
  <c r="M101" i="15"/>
  <c r="G100" i="21" s="1"/>
  <c r="M102" i="15"/>
  <c r="G101" i="21" s="1"/>
  <c r="M103" i="15"/>
  <c r="G102" i="21" s="1"/>
  <c r="M5" i="15"/>
  <c r="G4" i="21" s="1"/>
  <c r="L6" i="15"/>
  <c r="L7" i="15"/>
  <c r="F6" i="21" s="1"/>
  <c r="L8" i="15"/>
  <c r="F7" i="21" s="1"/>
  <c r="L9" i="15"/>
  <c r="F8" i="21" s="1"/>
  <c r="L10" i="15"/>
  <c r="F9" i="21" s="1"/>
  <c r="L11" i="15"/>
  <c r="F10" i="21" s="1"/>
  <c r="L12" i="15"/>
  <c r="F11" i="21" s="1"/>
  <c r="L13" i="15"/>
  <c r="F12" i="21" s="1"/>
  <c r="L14" i="15"/>
  <c r="F13" i="21" s="1"/>
  <c r="L15" i="15"/>
  <c r="F14" i="21" s="1"/>
  <c r="L16" i="15"/>
  <c r="F15" i="21" s="1"/>
  <c r="L17" i="15"/>
  <c r="F16" i="21" s="1"/>
  <c r="L18" i="15"/>
  <c r="F17" i="21" s="1"/>
  <c r="L19" i="15"/>
  <c r="F18" i="21" s="1"/>
  <c r="L20" i="15"/>
  <c r="F19" i="21" s="1"/>
  <c r="L21" i="15"/>
  <c r="F20" i="21" s="1"/>
  <c r="L22" i="15"/>
  <c r="F21" i="21" s="1"/>
  <c r="L23" i="15"/>
  <c r="F22" i="21" s="1"/>
  <c r="L24" i="15"/>
  <c r="F23" i="21" s="1"/>
  <c r="L25" i="15"/>
  <c r="F24" i="21" s="1"/>
  <c r="L26" i="15"/>
  <c r="F25" i="21" s="1"/>
  <c r="L27" i="15"/>
  <c r="F26" i="21" s="1"/>
  <c r="L28" i="15"/>
  <c r="F27" i="21" s="1"/>
  <c r="L29" i="15"/>
  <c r="F28" i="21" s="1"/>
  <c r="L30" i="15"/>
  <c r="F29" i="21" s="1"/>
  <c r="L31" i="15"/>
  <c r="F30" i="21" s="1"/>
  <c r="L32" i="15"/>
  <c r="F31" i="21" s="1"/>
  <c r="L33" i="15"/>
  <c r="F32" i="21" s="1"/>
  <c r="L34" i="15"/>
  <c r="F33" i="21" s="1"/>
  <c r="L35" i="15"/>
  <c r="F34" i="21" s="1"/>
  <c r="L36" i="15"/>
  <c r="F35" i="21" s="1"/>
  <c r="L37" i="15"/>
  <c r="F36" i="21" s="1"/>
  <c r="L38" i="15"/>
  <c r="F37" i="21" s="1"/>
  <c r="L39" i="15"/>
  <c r="F38" i="21" s="1"/>
  <c r="L40" i="15"/>
  <c r="F39" i="21" s="1"/>
  <c r="L41" i="15"/>
  <c r="F40" i="21" s="1"/>
  <c r="L42" i="15"/>
  <c r="F41" i="21" s="1"/>
  <c r="L43" i="15"/>
  <c r="F42" i="21" s="1"/>
  <c r="L44" i="15"/>
  <c r="F43" i="21" s="1"/>
  <c r="L45" i="15"/>
  <c r="F44" i="21" s="1"/>
  <c r="L46" i="15"/>
  <c r="F45" i="21" s="1"/>
  <c r="L47" i="15"/>
  <c r="F46" i="21" s="1"/>
  <c r="L48" i="15"/>
  <c r="F47" i="21" s="1"/>
  <c r="L49" i="15"/>
  <c r="F48" i="21" s="1"/>
  <c r="L50" i="15"/>
  <c r="F49" i="21" s="1"/>
  <c r="L51" i="15"/>
  <c r="F50" i="21" s="1"/>
  <c r="L52" i="15"/>
  <c r="F51" i="21" s="1"/>
  <c r="L53" i="15"/>
  <c r="F52" i="21" s="1"/>
  <c r="L54" i="15"/>
  <c r="F53" i="21" s="1"/>
  <c r="L55" i="15"/>
  <c r="F54" i="21" s="1"/>
  <c r="L56" i="15"/>
  <c r="F55" i="21" s="1"/>
  <c r="L57" i="15"/>
  <c r="F56" i="21" s="1"/>
  <c r="L58" i="15"/>
  <c r="F57" i="21" s="1"/>
  <c r="L59" i="15"/>
  <c r="F58" i="21" s="1"/>
  <c r="L60" i="15"/>
  <c r="F59" i="21" s="1"/>
  <c r="L61" i="15"/>
  <c r="F60" i="21" s="1"/>
  <c r="L62" i="15"/>
  <c r="F61" i="21" s="1"/>
  <c r="L63" i="15"/>
  <c r="F62" i="21" s="1"/>
  <c r="L64" i="15"/>
  <c r="F63" i="21" s="1"/>
  <c r="L65" i="15"/>
  <c r="F64" i="21" s="1"/>
  <c r="L66" i="15"/>
  <c r="F65" i="21" s="1"/>
  <c r="L67" i="15"/>
  <c r="F66" i="21" s="1"/>
  <c r="L68" i="15"/>
  <c r="F67" i="21" s="1"/>
  <c r="L69" i="15"/>
  <c r="F68" i="21" s="1"/>
  <c r="L70" i="15"/>
  <c r="F69" i="21" s="1"/>
  <c r="L71" i="15"/>
  <c r="F70" i="21" s="1"/>
  <c r="L72" i="15"/>
  <c r="F71" i="21" s="1"/>
  <c r="L73" i="15"/>
  <c r="F72" i="21" s="1"/>
  <c r="L74" i="15"/>
  <c r="F73" i="21" s="1"/>
  <c r="L75" i="15"/>
  <c r="F74" i="21" s="1"/>
  <c r="L76" i="15"/>
  <c r="F75" i="21" s="1"/>
  <c r="L77" i="15"/>
  <c r="F76" i="21" s="1"/>
  <c r="L78" i="15"/>
  <c r="F77" i="21" s="1"/>
  <c r="L79" i="15"/>
  <c r="F78" i="21" s="1"/>
  <c r="L80" i="15"/>
  <c r="F79" i="21" s="1"/>
  <c r="L81" i="15"/>
  <c r="F80" i="21" s="1"/>
  <c r="L82" i="15"/>
  <c r="F81" i="21" s="1"/>
  <c r="L83" i="15"/>
  <c r="F82" i="21" s="1"/>
  <c r="L84" i="15"/>
  <c r="F83" i="21" s="1"/>
  <c r="L85" i="15"/>
  <c r="F84" i="21" s="1"/>
  <c r="L86" i="15"/>
  <c r="F85" i="21" s="1"/>
  <c r="L87" i="15"/>
  <c r="F86" i="21" s="1"/>
  <c r="L88" i="15"/>
  <c r="F87" i="21" s="1"/>
  <c r="L89" i="15"/>
  <c r="F88" i="21" s="1"/>
  <c r="L90" i="15"/>
  <c r="F89" i="21" s="1"/>
  <c r="L91" i="15"/>
  <c r="F90" i="21" s="1"/>
  <c r="L92" i="15"/>
  <c r="F91" i="21" s="1"/>
  <c r="L93" i="15"/>
  <c r="F92" i="21" s="1"/>
  <c r="L94" i="15"/>
  <c r="F93" i="21" s="1"/>
  <c r="L95" i="15"/>
  <c r="F94" i="21" s="1"/>
  <c r="L96" i="15"/>
  <c r="F95" i="21" s="1"/>
  <c r="L97" i="15"/>
  <c r="F96" i="21" s="1"/>
  <c r="L98" i="15"/>
  <c r="F97" i="21" s="1"/>
  <c r="L99" i="15"/>
  <c r="F98" i="21" s="1"/>
  <c r="L100" i="15"/>
  <c r="F99" i="21" s="1"/>
  <c r="L101" i="15"/>
  <c r="F100" i="21" s="1"/>
  <c r="L102" i="15"/>
  <c r="F101" i="21" s="1"/>
  <c r="L103" i="15"/>
  <c r="F102" i="21" s="1"/>
  <c r="L5" i="15"/>
  <c r="H5" i="21" l="1"/>
  <c r="H4" i="21"/>
  <c r="F5" i="21"/>
  <c r="F4" i="21"/>
  <c r="L104" i="15"/>
  <c r="F103" i="21" s="1"/>
  <c r="N104" i="15"/>
  <c r="H103" i="21" s="1"/>
  <c r="M104" i="15"/>
  <c r="P104" i="15"/>
  <c r="J103" i="21" l="1"/>
  <c r="G103" i="21"/>
  <c r="I58" i="1"/>
  <c r="G77" i="1"/>
  <c r="G78" i="1"/>
  <c r="G79" i="1"/>
  <c r="G80" i="1"/>
  <c r="G81" i="1"/>
  <c r="G82" i="1"/>
  <c r="G83" i="1"/>
  <c r="G84" i="1"/>
  <c r="G85" i="1"/>
  <c r="G86" i="1"/>
  <c r="D71" i="4" l="1"/>
  <c r="D72" i="4"/>
  <c r="D75" i="4"/>
  <c r="D76" i="4"/>
  <c r="D53" i="4"/>
  <c r="D54" i="4"/>
  <c r="D57" i="4"/>
  <c r="D58" i="4"/>
  <c r="D62" i="4"/>
  <c r="D63" i="4"/>
  <c r="D66" i="4"/>
  <c r="D67" i="4"/>
  <c r="D68" i="4"/>
  <c r="D70" i="4"/>
  <c r="D51" i="4"/>
  <c r="F16" i="19" l="1"/>
  <c r="F17" i="19"/>
  <c r="F18" i="19"/>
  <c r="F19" i="19"/>
  <c r="E7" i="19"/>
  <c r="E9" i="19" s="1"/>
  <c r="F22" i="19" s="1"/>
  <c r="B1" i="19"/>
  <c r="R3" i="12"/>
  <c r="R5" i="12"/>
  <c r="E8" i="19" l="1"/>
  <c r="E11" i="19"/>
  <c r="E10" i="19"/>
  <c r="F24" i="19" s="1"/>
  <c r="F23" i="19"/>
  <c r="F20" i="19" l="1"/>
  <c r="F21" i="19"/>
  <c r="F25" i="19"/>
  <c r="F26" i="19"/>
  <c r="H7" i="2"/>
  <c r="H8" i="2"/>
  <c r="H9" i="2"/>
  <c r="H10" i="2"/>
  <c r="H6" i="2"/>
  <c r="H5" i="2"/>
  <c r="H11" i="2" s="1"/>
  <c r="I5" i="2"/>
  <c r="J5" i="2"/>
  <c r="J30" i="2" s="1"/>
  <c r="K5" i="2"/>
  <c r="K17" i="2" s="1"/>
  <c r="L5" i="2"/>
  <c r="L34" i="2" s="1"/>
  <c r="M5" i="2"/>
  <c r="M50" i="2" s="1"/>
  <c r="G5" i="2"/>
  <c r="G15" i="2" s="1"/>
  <c r="K58" i="2"/>
  <c r="K72" i="2"/>
  <c r="K75" i="2"/>
  <c r="K99" i="2"/>
  <c r="K102" i="2"/>
  <c r="K104" i="2"/>
  <c r="K88" i="2" l="1"/>
  <c r="K42" i="2"/>
  <c r="K97" i="2"/>
  <c r="K44" i="2"/>
  <c r="K85" i="2"/>
  <c r="K40" i="2"/>
  <c r="K84" i="2"/>
  <c r="K38" i="2"/>
  <c r="K81" i="2"/>
  <c r="K11" i="2"/>
  <c r="K96" i="2"/>
  <c r="K68" i="2"/>
  <c r="K24" i="2"/>
  <c r="K67" i="2"/>
  <c r="K22" i="2"/>
  <c r="K86" i="2"/>
  <c r="K59" i="2"/>
  <c r="K13" i="2"/>
  <c r="L31" i="2"/>
  <c r="K51" i="2"/>
  <c r="K14" i="2"/>
  <c r="K69" i="2"/>
  <c r="K41" i="2"/>
  <c r="K8" i="2"/>
  <c r="M86" i="2"/>
  <c r="M77" i="2"/>
  <c r="M41" i="2"/>
  <c r="L103" i="2"/>
  <c r="L87" i="2"/>
  <c r="L82" i="2"/>
  <c r="L74" i="2"/>
  <c r="L47" i="2"/>
  <c r="L42" i="2"/>
  <c r="L39" i="2"/>
  <c r="K57" i="2"/>
  <c r="K30" i="2"/>
  <c r="K53" i="2"/>
  <c r="K29" i="2"/>
  <c r="M40" i="2"/>
  <c r="M76" i="2"/>
  <c r="M39" i="2"/>
  <c r="M99" i="2"/>
  <c r="M75" i="2"/>
  <c r="M30" i="2"/>
  <c r="M98" i="2"/>
  <c r="M66" i="2"/>
  <c r="M28" i="2"/>
  <c r="M64" i="2"/>
  <c r="M97" i="2"/>
  <c r="M65" i="2"/>
  <c r="M15" i="2"/>
  <c r="M90" i="2"/>
  <c r="M14" i="2"/>
  <c r="M89" i="2"/>
  <c r="L71" i="2"/>
  <c r="L15" i="2"/>
  <c r="L66" i="2"/>
  <c r="L7" i="2"/>
  <c r="L50" i="2"/>
  <c r="L79" i="2"/>
  <c r="K26" i="2"/>
  <c r="I11" i="2"/>
  <c r="I19" i="2"/>
  <c r="I27" i="2"/>
  <c r="I35" i="2"/>
  <c r="I43" i="2"/>
  <c r="I51" i="2"/>
  <c r="I59" i="2"/>
  <c r="I67" i="2"/>
  <c r="I75" i="2"/>
  <c r="I83" i="2"/>
  <c r="I91" i="2"/>
  <c r="I99" i="2"/>
  <c r="I12" i="2"/>
  <c r="I20" i="2"/>
  <c r="I28" i="2"/>
  <c r="I36" i="2"/>
  <c r="I44" i="2"/>
  <c r="I52" i="2"/>
  <c r="I60" i="2"/>
  <c r="I68" i="2"/>
  <c r="I76" i="2"/>
  <c r="I84" i="2"/>
  <c r="I92" i="2"/>
  <c r="I100" i="2"/>
  <c r="I15" i="2"/>
  <c r="I39" i="2"/>
  <c r="I55" i="2"/>
  <c r="I71" i="2"/>
  <c r="I87" i="2"/>
  <c r="I103" i="2"/>
  <c r="I8" i="2"/>
  <c r="I32" i="2"/>
  <c r="I48" i="2"/>
  <c r="I64" i="2"/>
  <c r="I80" i="2"/>
  <c r="I96" i="2"/>
  <c r="I17" i="2"/>
  <c r="I33" i="2"/>
  <c r="I41" i="2"/>
  <c r="I57" i="2"/>
  <c r="I73" i="2"/>
  <c r="I89" i="2"/>
  <c r="I105" i="2"/>
  <c r="I10" i="2"/>
  <c r="I34" i="2"/>
  <c r="I50" i="2"/>
  <c r="I66" i="2"/>
  <c r="I82" i="2"/>
  <c r="I98" i="2"/>
  <c r="I13" i="2"/>
  <c r="I21" i="2"/>
  <c r="I29" i="2"/>
  <c r="I37" i="2"/>
  <c r="I45" i="2"/>
  <c r="I53" i="2"/>
  <c r="I61" i="2"/>
  <c r="I69" i="2"/>
  <c r="I77" i="2"/>
  <c r="I85" i="2"/>
  <c r="I93" i="2"/>
  <c r="I101" i="2"/>
  <c r="I14" i="2"/>
  <c r="I22" i="2"/>
  <c r="I30" i="2"/>
  <c r="I38" i="2"/>
  <c r="I46" i="2"/>
  <c r="I54" i="2"/>
  <c r="I62" i="2"/>
  <c r="I70" i="2"/>
  <c r="I78" i="2"/>
  <c r="I86" i="2"/>
  <c r="I94" i="2"/>
  <c r="I102" i="2"/>
  <c r="I7" i="2"/>
  <c r="I23" i="2"/>
  <c r="I31" i="2"/>
  <c r="I47" i="2"/>
  <c r="I63" i="2"/>
  <c r="I79" i="2"/>
  <c r="I95" i="2"/>
  <c r="I16" i="2"/>
  <c r="I24" i="2"/>
  <c r="I40" i="2"/>
  <c r="I56" i="2"/>
  <c r="I72" i="2"/>
  <c r="I88" i="2"/>
  <c r="I104" i="2"/>
  <c r="I9" i="2"/>
  <c r="I25" i="2"/>
  <c r="I49" i="2"/>
  <c r="I65" i="2"/>
  <c r="I81" i="2"/>
  <c r="I97" i="2"/>
  <c r="I18" i="2"/>
  <c r="I26" i="2"/>
  <c r="I42" i="2"/>
  <c r="I58" i="2"/>
  <c r="I74" i="2"/>
  <c r="I90" i="2"/>
  <c r="I6" i="2"/>
  <c r="H84" i="2"/>
  <c r="H52" i="2"/>
  <c r="H97" i="2"/>
  <c r="G48" i="2"/>
  <c r="G21" i="2"/>
  <c r="G11" i="2"/>
  <c r="G99" i="2"/>
  <c r="G45" i="2"/>
  <c r="G105" i="2"/>
  <c r="G81" i="2"/>
  <c r="G80" i="2"/>
  <c r="G71" i="2"/>
  <c r="G8" i="2"/>
  <c r="G97" i="2"/>
  <c r="G70" i="2"/>
  <c r="G34" i="2"/>
  <c r="G7" i="2"/>
  <c r="G6" i="2"/>
  <c r="G96" i="2"/>
  <c r="G69" i="2"/>
  <c r="G33" i="2"/>
  <c r="G43" i="2"/>
  <c r="G95" i="2"/>
  <c r="G32" i="2"/>
  <c r="G94" i="2"/>
  <c r="G58" i="2"/>
  <c r="G23" i="2"/>
  <c r="G59" i="2"/>
  <c r="G85" i="2"/>
  <c r="G57" i="2"/>
  <c r="G22" i="2"/>
  <c r="H81" i="2"/>
  <c r="H69" i="2"/>
  <c r="H67" i="2"/>
  <c r="H41" i="2"/>
  <c r="H53" i="2"/>
  <c r="H95" i="2"/>
  <c r="H26" i="2"/>
  <c r="H39" i="2"/>
  <c r="H25" i="2"/>
  <c r="H94" i="2"/>
  <c r="H66" i="2"/>
  <c r="H38" i="2"/>
  <c r="H23" i="2"/>
  <c r="H77" i="2"/>
  <c r="H50" i="2"/>
  <c r="H103" i="2"/>
  <c r="H76" i="2"/>
  <c r="H49" i="2"/>
  <c r="H34" i="2"/>
  <c r="H87" i="2"/>
  <c r="H60" i="2"/>
  <c r="H33" i="2"/>
  <c r="H99" i="2"/>
  <c r="H86" i="2"/>
  <c r="H71" i="2"/>
  <c r="H59" i="2"/>
  <c r="H44" i="2"/>
  <c r="H30" i="2"/>
  <c r="H13" i="2"/>
  <c r="H78" i="2"/>
  <c r="H51" i="2"/>
  <c r="H90" i="2"/>
  <c r="H62" i="2"/>
  <c r="H35" i="2"/>
  <c r="H22" i="2"/>
  <c r="H89" i="2"/>
  <c r="H61" i="2"/>
  <c r="H21" i="2"/>
  <c r="H102" i="2"/>
  <c r="H75" i="2"/>
  <c r="H47" i="2"/>
  <c r="H15" i="2"/>
  <c r="H98" i="2"/>
  <c r="H85" i="2"/>
  <c r="H70" i="2"/>
  <c r="H58" i="2"/>
  <c r="H42" i="2"/>
  <c r="H29" i="2"/>
  <c r="J76" i="2"/>
  <c r="J12" i="2"/>
  <c r="J64" i="2"/>
  <c r="K94" i="2"/>
  <c r="K78" i="2"/>
  <c r="K66" i="2"/>
  <c r="K50" i="2"/>
  <c r="K35" i="2"/>
  <c r="K21" i="2"/>
  <c r="J62" i="2"/>
  <c r="K93" i="2"/>
  <c r="K77" i="2"/>
  <c r="K62" i="2"/>
  <c r="K49" i="2"/>
  <c r="K33" i="2"/>
  <c r="K20" i="2"/>
  <c r="M6" i="2"/>
  <c r="M13" i="2"/>
  <c r="M21" i="2"/>
  <c r="M29" i="2"/>
  <c r="M37" i="2"/>
  <c r="M45" i="2"/>
  <c r="M53" i="2"/>
  <c r="M61" i="2"/>
  <c r="M69" i="2"/>
  <c r="M7" i="2"/>
  <c r="M16" i="2"/>
  <c r="M25" i="2"/>
  <c r="M34" i="2"/>
  <c r="M43" i="2"/>
  <c r="M52" i="2"/>
  <c r="M62" i="2"/>
  <c r="M71" i="2"/>
  <c r="M79" i="2"/>
  <c r="M87" i="2"/>
  <c r="M95" i="2"/>
  <c r="M103" i="2"/>
  <c r="M8" i="2"/>
  <c r="M17" i="2"/>
  <c r="M26" i="2"/>
  <c r="M35" i="2"/>
  <c r="M44" i="2"/>
  <c r="M54" i="2"/>
  <c r="M63" i="2"/>
  <c r="M72" i="2"/>
  <c r="M80" i="2"/>
  <c r="M88" i="2"/>
  <c r="M96" i="2"/>
  <c r="M104" i="2"/>
  <c r="M19" i="2"/>
  <c r="M31" i="2"/>
  <c r="M42" i="2"/>
  <c r="M56" i="2"/>
  <c r="M67" i="2"/>
  <c r="M9" i="2"/>
  <c r="M20" i="2"/>
  <c r="M32" i="2"/>
  <c r="M46" i="2"/>
  <c r="M57" i="2"/>
  <c r="M68" i="2"/>
  <c r="M81" i="2"/>
  <c r="M91" i="2"/>
  <c r="M101" i="2"/>
  <c r="M10" i="2"/>
  <c r="M22" i="2"/>
  <c r="M33" i="2"/>
  <c r="M47" i="2"/>
  <c r="M58" i="2"/>
  <c r="M70" i="2"/>
  <c r="M82" i="2"/>
  <c r="M92" i="2"/>
  <c r="M11" i="2"/>
  <c r="M23" i="2"/>
  <c r="M36" i="2"/>
  <c r="M48" i="2"/>
  <c r="M59" i="2"/>
  <c r="M73" i="2"/>
  <c r="M83" i="2"/>
  <c r="M93" i="2"/>
  <c r="M105" i="2"/>
  <c r="M12" i="2"/>
  <c r="M24" i="2"/>
  <c r="M38" i="2"/>
  <c r="M49" i="2"/>
  <c r="M60" i="2"/>
  <c r="M74" i="2"/>
  <c r="M84" i="2"/>
  <c r="M94" i="2"/>
  <c r="M102" i="2"/>
  <c r="M85" i="2"/>
  <c r="M55" i="2"/>
  <c r="M27" i="2"/>
  <c r="J48" i="2"/>
  <c r="K105" i="2"/>
  <c r="K90" i="2"/>
  <c r="K76" i="2"/>
  <c r="K60" i="2"/>
  <c r="K48" i="2"/>
  <c r="K32" i="2"/>
  <c r="L11" i="2"/>
  <c r="L26" i="2"/>
  <c r="L58" i="2"/>
  <c r="L90" i="2"/>
  <c r="L6" i="2"/>
  <c r="L10" i="2"/>
  <c r="L18" i="2"/>
  <c r="L55" i="2"/>
  <c r="L95" i="2"/>
  <c r="L23" i="2"/>
  <c r="L63" i="2"/>
  <c r="L98" i="2"/>
  <c r="M100" i="2"/>
  <c r="M78" i="2"/>
  <c r="M51" i="2"/>
  <c r="M18" i="2"/>
  <c r="J46" i="2"/>
  <c r="K7" i="2"/>
  <c r="K15" i="2"/>
  <c r="K23" i="2"/>
  <c r="K31" i="2"/>
  <c r="K39" i="2"/>
  <c r="K47" i="2"/>
  <c r="K55" i="2"/>
  <c r="K63" i="2"/>
  <c r="K71" i="2"/>
  <c r="K79" i="2"/>
  <c r="K87" i="2"/>
  <c r="K95" i="2"/>
  <c r="K103" i="2"/>
  <c r="K16" i="2"/>
  <c r="K25" i="2"/>
  <c r="K34" i="2"/>
  <c r="K43" i="2"/>
  <c r="K52" i="2"/>
  <c r="K61" i="2"/>
  <c r="K70" i="2"/>
  <c r="K80" i="2"/>
  <c r="K89" i="2"/>
  <c r="K98" i="2"/>
  <c r="K9" i="2"/>
  <c r="K18" i="2"/>
  <c r="K27" i="2"/>
  <c r="K36" i="2"/>
  <c r="K45" i="2"/>
  <c r="K54" i="2"/>
  <c r="K64" i="2"/>
  <c r="K73" i="2"/>
  <c r="K82" i="2"/>
  <c r="K91" i="2"/>
  <c r="K100" i="2"/>
  <c r="K10" i="2"/>
  <c r="K19" i="2"/>
  <c r="K28" i="2"/>
  <c r="K37" i="2"/>
  <c r="K46" i="2"/>
  <c r="K56" i="2"/>
  <c r="K65" i="2"/>
  <c r="K74" i="2"/>
  <c r="K83" i="2"/>
  <c r="K92" i="2"/>
  <c r="K101" i="2"/>
  <c r="J97" i="2"/>
  <c r="J7" i="2"/>
  <c r="J15" i="2"/>
  <c r="J23" i="2"/>
  <c r="J31" i="2"/>
  <c r="J39" i="2"/>
  <c r="J47" i="2"/>
  <c r="J55" i="2"/>
  <c r="J63" i="2"/>
  <c r="J71" i="2"/>
  <c r="J79" i="2"/>
  <c r="J87" i="2"/>
  <c r="J95" i="2"/>
  <c r="J103" i="2"/>
  <c r="J13" i="2"/>
  <c r="J21" i="2"/>
  <c r="J29" i="2"/>
  <c r="J37" i="2"/>
  <c r="J45" i="2"/>
  <c r="J53" i="2"/>
  <c r="J61" i="2"/>
  <c r="J69" i="2"/>
  <c r="J77" i="2"/>
  <c r="J85" i="2"/>
  <c r="J93" i="2"/>
  <c r="J101" i="2"/>
  <c r="J8" i="2"/>
  <c r="J18" i="2"/>
  <c r="J28" i="2"/>
  <c r="J40" i="2"/>
  <c r="J50" i="2"/>
  <c r="J60" i="2"/>
  <c r="J72" i="2"/>
  <c r="J82" i="2"/>
  <c r="J92" i="2"/>
  <c r="J104" i="2"/>
  <c r="J19" i="2"/>
  <c r="J32" i="2"/>
  <c r="J43" i="2"/>
  <c r="J56" i="2"/>
  <c r="J67" i="2"/>
  <c r="J80" i="2"/>
  <c r="J91" i="2"/>
  <c r="J105" i="2"/>
  <c r="J9" i="2"/>
  <c r="J20" i="2"/>
  <c r="J33" i="2"/>
  <c r="J44" i="2"/>
  <c r="J57" i="2"/>
  <c r="J68" i="2"/>
  <c r="J81" i="2"/>
  <c r="J94" i="2"/>
  <c r="J16" i="2"/>
  <c r="J34" i="2"/>
  <c r="J49" i="2"/>
  <c r="J65" i="2"/>
  <c r="J83" i="2"/>
  <c r="J98" i="2"/>
  <c r="J17" i="2"/>
  <c r="J35" i="2"/>
  <c r="J51" i="2"/>
  <c r="J66" i="2"/>
  <c r="J84" i="2"/>
  <c r="J99" i="2"/>
  <c r="J6" i="2"/>
  <c r="J22" i="2"/>
  <c r="J36" i="2"/>
  <c r="J52" i="2"/>
  <c r="J70" i="2"/>
  <c r="J86" i="2"/>
  <c r="J100" i="2"/>
  <c r="J24" i="2"/>
  <c r="J38" i="2"/>
  <c r="J54" i="2"/>
  <c r="J73" i="2"/>
  <c r="J88" i="2"/>
  <c r="J102" i="2"/>
  <c r="J10" i="2"/>
  <c r="J25" i="2"/>
  <c r="J41" i="2"/>
  <c r="J58" i="2"/>
  <c r="J74" i="2"/>
  <c r="J89" i="2"/>
  <c r="J11" i="2"/>
  <c r="J26" i="2"/>
  <c r="J42" i="2"/>
  <c r="J59" i="2"/>
  <c r="J75" i="2"/>
  <c r="J90" i="2"/>
  <c r="J96" i="2"/>
  <c r="J27" i="2"/>
  <c r="K12" i="2"/>
  <c r="K6" i="2"/>
  <c r="J78" i="2"/>
  <c r="J14" i="2"/>
  <c r="G104" i="2"/>
  <c r="G90" i="2"/>
  <c r="G79" i="2"/>
  <c r="G67" i="2"/>
  <c r="G54" i="2"/>
  <c r="G42" i="2"/>
  <c r="G31" i="2"/>
  <c r="G17" i="2"/>
  <c r="H12" i="2"/>
  <c r="H20" i="2"/>
  <c r="H18" i="2"/>
  <c r="H14" i="2"/>
  <c r="H24" i="2"/>
  <c r="H32" i="2"/>
  <c r="H40" i="2"/>
  <c r="H48" i="2"/>
  <c r="H56" i="2"/>
  <c r="H64" i="2"/>
  <c r="H72" i="2"/>
  <c r="H80" i="2"/>
  <c r="H88" i="2"/>
  <c r="H96" i="2"/>
  <c r="H104" i="2"/>
  <c r="H16" i="2"/>
  <c r="H27" i="2"/>
  <c r="H36" i="2"/>
  <c r="H45" i="2"/>
  <c r="H54" i="2"/>
  <c r="H63" i="2"/>
  <c r="H73" i="2"/>
  <c r="H82" i="2"/>
  <c r="H91" i="2"/>
  <c r="H100" i="2"/>
  <c r="H17" i="2"/>
  <c r="H28" i="2"/>
  <c r="H37" i="2"/>
  <c r="H46" i="2"/>
  <c r="H55" i="2"/>
  <c r="H65" i="2"/>
  <c r="H74" i="2"/>
  <c r="H83" i="2"/>
  <c r="H92" i="2"/>
  <c r="H101" i="2"/>
  <c r="G103" i="2"/>
  <c r="G89" i="2"/>
  <c r="G78" i="2"/>
  <c r="G66" i="2"/>
  <c r="G53" i="2"/>
  <c r="G41" i="2"/>
  <c r="G30" i="2"/>
  <c r="G16" i="2"/>
  <c r="H105" i="2"/>
  <c r="H93" i="2"/>
  <c r="H79" i="2"/>
  <c r="H68" i="2"/>
  <c r="H57" i="2"/>
  <c r="H43" i="2"/>
  <c r="H31" i="2"/>
  <c r="H19" i="2"/>
  <c r="G88" i="2"/>
  <c r="G77" i="2"/>
  <c r="G63" i="2"/>
  <c r="G51" i="2"/>
  <c r="G40" i="2"/>
  <c r="G26" i="2"/>
  <c r="G12" i="2"/>
  <c r="G20" i="2"/>
  <c r="G28" i="2"/>
  <c r="G36" i="2"/>
  <c r="G44" i="2"/>
  <c r="G52" i="2"/>
  <c r="G60" i="2"/>
  <c r="G68" i="2"/>
  <c r="G76" i="2"/>
  <c r="G84" i="2"/>
  <c r="G92" i="2"/>
  <c r="G100" i="2"/>
  <c r="G9" i="2"/>
  <c r="G18" i="2"/>
  <c r="G27" i="2"/>
  <c r="G37" i="2"/>
  <c r="G46" i="2"/>
  <c r="G55" i="2"/>
  <c r="G64" i="2"/>
  <c r="G73" i="2"/>
  <c r="G82" i="2"/>
  <c r="G91" i="2"/>
  <c r="G101" i="2"/>
  <c r="G10" i="2"/>
  <c r="G19" i="2"/>
  <c r="G29" i="2"/>
  <c r="G38" i="2"/>
  <c r="G47" i="2"/>
  <c r="G56" i="2"/>
  <c r="G65" i="2"/>
  <c r="G74" i="2"/>
  <c r="G83" i="2"/>
  <c r="G93" i="2"/>
  <c r="G102" i="2"/>
  <c r="G98" i="2"/>
  <c r="G87" i="2"/>
  <c r="G75" i="2"/>
  <c r="G62" i="2"/>
  <c r="G50" i="2"/>
  <c r="G39" i="2"/>
  <c r="G25" i="2"/>
  <c r="G14" i="2"/>
  <c r="G86" i="2"/>
  <c r="G72" i="2"/>
  <c r="G61" i="2"/>
  <c r="G49" i="2"/>
  <c r="G35" i="2"/>
  <c r="G24" i="2"/>
  <c r="G13" i="2"/>
  <c r="L105" i="2"/>
  <c r="L97" i="2"/>
  <c r="L89" i="2"/>
  <c r="L81" i="2"/>
  <c r="L73" i="2"/>
  <c r="L65" i="2"/>
  <c r="L57" i="2"/>
  <c r="L49" i="2"/>
  <c r="L41" i="2"/>
  <c r="L33" i="2"/>
  <c r="L25" i="2"/>
  <c r="L17" i="2"/>
  <c r="L9" i="2"/>
  <c r="L104" i="2"/>
  <c r="L96" i="2"/>
  <c r="L88" i="2"/>
  <c r="L80" i="2"/>
  <c r="L72" i="2"/>
  <c r="L64" i="2"/>
  <c r="L56" i="2"/>
  <c r="L48" i="2"/>
  <c r="L40" i="2"/>
  <c r="L32" i="2"/>
  <c r="L24" i="2"/>
  <c r="L16" i="2"/>
  <c r="L8" i="2"/>
  <c r="L102" i="2"/>
  <c r="L94" i="2"/>
  <c r="L86" i="2"/>
  <c r="L78" i="2"/>
  <c r="L70" i="2"/>
  <c r="L62" i="2"/>
  <c r="L54" i="2"/>
  <c r="L46" i="2"/>
  <c r="L38" i="2"/>
  <c r="L30" i="2"/>
  <c r="L22" i="2"/>
  <c r="L14" i="2"/>
  <c r="L101" i="2"/>
  <c r="L93" i="2"/>
  <c r="L85" i="2"/>
  <c r="L77" i="2"/>
  <c r="L69" i="2"/>
  <c r="L61" i="2"/>
  <c r="L53" i="2"/>
  <c r="L45" i="2"/>
  <c r="L37" i="2"/>
  <c r="L29" i="2"/>
  <c r="L21" i="2"/>
  <c r="L13" i="2"/>
  <c r="L100" i="2"/>
  <c r="L92" i="2"/>
  <c r="L84" i="2"/>
  <c r="L76" i="2"/>
  <c r="L68" i="2"/>
  <c r="L60" i="2"/>
  <c r="L52" i="2"/>
  <c r="L44" i="2"/>
  <c r="L36" i="2"/>
  <c r="L28" i="2"/>
  <c r="L20" i="2"/>
  <c r="L12" i="2"/>
  <c r="L99" i="2"/>
  <c r="L91" i="2"/>
  <c r="L83" i="2"/>
  <c r="L75" i="2"/>
  <c r="L67" i="2"/>
  <c r="L59" i="2"/>
  <c r="L51" i="2"/>
  <c r="L43" i="2"/>
  <c r="L35" i="2"/>
  <c r="L27" i="2"/>
  <c r="L19" i="2"/>
  <c r="I1" i="12"/>
  <c r="D3" i="12"/>
  <c r="G3" i="12" s="1"/>
  <c r="E3" i="12"/>
  <c r="E4" i="12"/>
  <c r="D4" i="12"/>
  <c r="I3" i="12" l="1"/>
  <c r="F65" i="1" l="1"/>
  <c r="F66" i="1"/>
  <c r="F67" i="1"/>
  <c r="F68" i="1"/>
  <c r="F69" i="1"/>
  <c r="F70" i="1"/>
  <c r="F71" i="1"/>
  <c r="F72" i="1"/>
  <c r="F73" i="1"/>
  <c r="F74" i="1"/>
  <c r="C3" i="12" s="1"/>
  <c r="H3" i="12" l="1"/>
  <c r="J3" i="12" s="1"/>
  <c r="F3" i="12"/>
  <c r="I85" i="1"/>
  <c r="F85" i="1" s="1"/>
  <c r="I48" i="1"/>
  <c r="I57" i="1"/>
  <c r="I54" i="1"/>
  <c r="I55" i="1"/>
  <c r="I56" i="1"/>
  <c r="I77" i="1"/>
  <c r="R11" i="12" l="1"/>
  <c r="R12" i="12"/>
  <c r="I81" i="1"/>
  <c r="F81" i="1" s="1"/>
  <c r="I79" i="1"/>
  <c r="F79" i="1" s="1"/>
  <c r="D85" i="1"/>
  <c r="F77" i="1"/>
  <c r="I83" i="1"/>
  <c r="D79" i="1" l="1"/>
  <c r="D81" i="1"/>
  <c r="D77" i="1"/>
  <c r="F83" i="1"/>
  <c r="D83" i="1" l="1"/>
  <c r="B6" i="2"/>
  <c r="P24" i="12"/>
  <c r="P26" i="12"/>
  <c r="E6" i="6"/>
  <c r="F17" i="6" s="1"/>
  <c r="F15" i="6"/>
  <c r="O5" i="2"/>
  <c r="N31" i="4"/>
  <c r="L31" i="4"/>
  <c r="M31" i="4"/>
  <c r="O12" i="2" l="1"/>
  <c r="O20" i="2"/>
  <c r="O28" i="2"/>
  <c r="O36" i="2"/>
  <c r="O44" i="2"/>
  <c r="O52" i="2"/>
  <c r="O60" i="2"/>
  <c r="O68" i="2"/>
  <c r="O76" i="2"/>
  <c r="O84" i="2"/>
  <c r="O92" i="2"/>
  <c r="O13" i="2"/>
  <c r="O21" i="2"/>
  <c r="O29" i="2"/>
  <c r="O37" i="2"/>
  <c r="O45" i="2"/>
  <c r="O53" i="2"/>
  <c r="O61" i="2"/>
  <c r="O69" i="2"/>
  <c r="O77" i="2"/>
  <c r="O85" i="2"/>
  <c r="O93" i="2"/>
  <c r="O101" i="2"/>
  <c r="O14" i="2"/>
  <c r="O24" i="2"/>
  <c r="O34" i="2"/>
  <c r="O46" i="2"/>
  <c r="O56" i="2"/>
  <c r="O66" i="2"/>
  <c r="O78" i="2"/>
  <c r="O88" i="2"/>
  <c r="O98" i="2"/>
  <c r="O16" i="2"/>
  <c r="O26" i="2"/>
  <c r="O38" i="2"/>
  <c r="O48" i="2"/>
  <c r="O58" i="2"/>
  <c r="O70" i="2"/>
  <c r="O80" i="2"/>
  <c r="O90" i="2"/>
  <c r="O100" i="2"/>
  <c r="O7" i="2"/>
  <c r="O17" i="2"/>
  <c r="O27" i="2"/>
  <c r="O39" i="2"/>
  <c r="O49" i="2"/>
  <c r="O59" i="2"/>
  <c r="O71" i="2"/>
  <c r="O81" i="2"/>
  <c r="O91" i="2"/>
  <c r="O102" i="2"/>
  <c r="O11" i="2"/>
  <c r="O31" i="2"/>
  <c r="O47" i="2"/>
  <c r="O64" i="2"/>
  <c r="O82" i="2"/>
  <c r="O97" i="2"/>
  <c r="O75" i="2"/>
  <c r="O10" i="2"/>
  <c r="O63" i="2"/>
  <c r="O96" i="2"/>
  <c r="O15" i="2"/>
  <c r="O32" i="2"/>
  <c r="O50" i="2"/>
  <c r="O65" i="2"/>
  <c r="O83" i="2"/>
  <c r="O99" i="2"/>
  <c r="O18" i="2"/>
  <c r="O33" i="2"/>
  <c r="O51" i="2"/>
  <c r="O67" i="2"/>
  <c r="O86" i="2"/>
  <c r="O103" i="2"/>
  <c r="O62" i="2"/>
  <c r="O43" i="2"/>
  <c r="O79" i="2"/>
  <c r="O19" i="2"/>
  <c r="O35" i="2"/>
  <c r="O54" i="2"/>
  <c r="O72" i="2"/>
  <c r="O87" i="2"/>
  <c r="O104" i="2"/>
  <c r="O22" i="2"/>
  <c r="O40" i="2"/>
  <c r="O55" i="2"/>
  <c r="O73" i="2"/>
  <c r="O89" i="2"/>
  <c r="O105" i="2"/>
  <c r="O8" i="2"/>
  <c r="O23" i="2"/>
  <c r="O41" i="2"/>
  <c r="O57" i="2"/>
  <c r="O74" i="2"/>
  <c r="O94" i="2"/>
  <c r="O6" i="2"/>
  <c r="O9" i="2"/>
  <c r="O25" i="2"/>
  <c r="O42" i="2"/>
  <c r="O95" i="2"/>
  <c r="O30" i="2"/>
  <c r="F16" i="6"/>
  <c r="B7" i="2"/>
  <c r="D6" i="2"/>
  <c r="D7" i="2" l="1"/>
  <c r="G10" i="4"/>
  <c r="D8" i="2" l="1"/>
  <c r="D9" i="2" l="1"/>
  <c r="I50" i="1"/>
  <c r="I51" i="1"/>
  <c r="I52" i="1"/>
  <c r="I53" i="1"/>
  <c r="I49" i="1"/>
  <c r="I47" i="1"/>
  <c r="D10" i="2" l="1"/>
  <c r="O10" i="1"/>
  <c r="O11" i="1"/>
  <c r="O12" i="1"/>
  <c r="O13" i="1"/>
  <c r="O14" i="1"/>
  <c r="O15" i="1"/>
  <c r="O16" i="1"/>
  <c r="O17" i="1"/>
  <c r="O18" i="1"/>
  <c r="O19" i="1"/>
  <c r="O9" i="1"/>
  <c r="N10" i="1"/>
  <c r="N11" i="1"/>
  <c r="N12" i="1"/>
  <c r="N13" i="1"/>
  <c r="N14" i="1"/>
  <c r="N15" i="1"/>
  <c r="N16" i="1"/>
  <c r="N17" i="1"/>
  <c r="N18" i="1"/>
  <c r="N19" i="1"/>
  <c r="N9" i="1"/>
  <c r="D11" i="2" l="1"/>
  <c r="D12" i="2" l="1"/>
  <c r="D13" i="2" l="1"/>
  <c r="P3" i="2"/>
  <c r="P25" i="12"/>
  <c r="P27" i="12"/>
  <c r="P23" i="12"/>
  <c r="P20" i="12"/>
  <c r="P19" i="12"/>
  <c r="O30" i="12" l="1"/>
  <c r="O35" i="12" s="1"/>
  <c r="N30" i="12"/>
  <c r="N35" i="12" s="1"/>
  <c r="Q20" i="12"/>
  <c r="C30" i="12"/>
  <c r="Q21" i="12"/>
  <c r="Q3" i="2"/>
  <c r="M30" i="12"/>
  <c r="U1" i="15"/>
  <c r="G30" i="12"/>
  <c r="G33" i="12" s="1"/>
  <c r="J30" i="12"/>
  <c r="J35" i="12" s="1"/>
  <c r="F30" i="12"/>
  <c r="F40" i="12" s="1"/>
  <c r="H30" i="12"/>
  <c r="H35" i="12" s="1"/>
  <c r="E30" i="12"/>
  <c r="E40" i="12" s="1"/>
  <c r="D30" i="12"/>
  <c r="D14" i="2"/>
  <c r="Q24" i="12"/>
  <c r="Q26" i="12"/>
  <c r="Q19" i="12"/>
  <c r="Q25" i="12"/>
  <c r="Q27" i="12"/>
  <c r="Q23" i="12"/>
  <c r="Q22" i="12"/>
  <c r="C34" i="12" l="1"/>
  <c r="C32" i="12"/>
  <c r="C35" i="12"/>
  <c r="M35" i="12"/>
  <c r="M34" i="12"/>
  <c r="J32" i="12"/>
  <c r="C33" i="12"/>
  <c r="M36" i="12"/>
  <c r="M39" i="12"/>
  <c r="M32" i="12"/>
  <c r="M33" i="12"/>
  <c r="M37" i="12"/>
  <c r="M38" i="12"/>
  <c r="M40" i="12"/>
  <c r="N32" i="12"/>
  <c r="N40" i="12"/>
  <c r="N33" i="12"/>
  <c r="N36" i="12"/>
  <c r="N34" i="12"/>
  <c r="N39" i="12"/>
  <c r="N38" i="12"/>
  <c r="N37" i="12"/>
  <c r="O32" i="12"/>
  <c r="O40" i="12"/>
  <c r="O39" i="12"/>
  <c r="O34" i="12"/>
  <c r="O33" i="12"/>
  <c r="O36" i="12"/>
  <c r="O37" i="12"/>
  <c r="O38" i="12"/>
  <c r="J33" i="12"/>
  <c r="J38" i="12"/>
  <c r="G34" i="12"/>
  <c r="E36" i="12"/>
  <c r="C38" i="12"/>
  <c r="H32" i="12"/>
  <c r="H33" i="12"/>
  <c r="G32" i="12"/>
  <c r="G35" i="12"/>
  <c r="H34" i="12"/>
  <c r="C40" i="12"/>
  <c r="D37" i="12"/>
  <c r="D39" i="12"/>
  <c r="D38" i="12"/>
  <c r="D32" i="12"/>
  <c r="E32" i="12"/>
  <c r="D34" i="12"/>
  <c r="G38" i="12"/>
  <c r="D33" i="12"/>
  <c r="F37" i="12"/>
  <c r="F39" i="12"/>
  <c r="E34" i="12"/>
  <c r="G40" i="12"/>
  <c r="J36" i="12"/>
  <c r="J37" i="12"/>
  <c r="J39" i="12"/>
  <c r="F36" i="12"/>
  <c r="F35" i="12"/>
  <c r="J34" i="12"/>
  <c r="D40" i="12"/>
  <c r="D36" i="12"/>
  <c r="F32" i="12"/>
  <c r="H36" i="12"/>
  <c r="F34" i="12"/>
  <c r="F38" i="12"/>
  <c r="G39" i="12"/>
  <c r="G37" i="12"/>
  <c r="F33" i="12"/>
  <c r="C37" i="12"/>
  <c r="C39" i="12"/>
  <c r="C36" i="12"/>
  <c r="E38" i="12"/>
  <c r="E39" i="12"/>
  <c r="E37" i="12"/>
  <c r="E35" i="12"/>
  <c r="E33" i="12"/>
  <c r="H39" i="12"/>
  <c r="H37" i="12"/>
  <c r="G36" i="12"/>
  <c r="D35" i="12"/>
  <c r="H38" i="12"/>
  <c r="H40" i="12"/>
  <c r="J40" i="12"/>
  <c r="D15" i="2"/>
  <c r="O53" i="12" l="1"/>
  <c r="N53" i="12"/>
  <c r="O50" i="12"/>
  <c r="T17" i="19" s="1"/>
  <c r="N51" i="12"/>
  <c r="M51" i="12"/>
  <c r="M49" i="12"/>
  <c r="O45" i="12"/>
  <c r="N45" i="12"/>
  <c r="M47" i="12"/>
  <c r="O51" i="12"/>
  <c r="N50" i="12"/>
  <c r="M53" i="12"/>
  <c r="O49" i="12"/>
  <c r="N52" i="12"/>
  <c r="M50" i="12"/>
  <c r="O48" i="12"/>
  <c r="O46" i="12"/>
  <c r="M46" i="12"/>
  <c r="N48" i="12"/>
  <c r="N49" i="12"/>
  <c r="M45" i="12"/>
  <c r="O52" i="12"/>
  <c r="N46" i="12"/>
  <c r="M52" i="12"/>
  <c r="M48" i="12"/>
  <c r="H52" i="12"/>
  <c r="E47" i="12"/>
  <c r="F45" i="12"/>
  <c r="H49" i="12"/>
  <c r="J45" i="12"/>
  <c r="G50" i="12"/>
  <c r="G49" i="12"/>
  <c r="F46" i="12"/>
  <c r="J51" i="12"/>
  <c r="C47" i="12"/>
  <c r="G53" i="12"/>
  <c r="F48" i="12"/>
  <c r="H53" i="12"/>
  <c r="C46" i="12"/>
  <c r="D19" i="18" s="1"/>
  <c r="H45" i="12"/>
  <c r="J52" i="12"/>
  <c r="H48" i="12"/>
  <c r="E49" i="12"/>
  <c r="J48" i="12"/>
  <c r="J49" i="12"/>
  <c r="D47" i="12"/>
  <c r="F51" i="12"/>
  <c r="G52" i="12"/>
  <c r="J53" i="12"/>
  <c r="C48" i="12"/>
  <c r="D21" i="18" s="1"/>
  <c r="E46" i="12"/>
  <c r="G45" i="12"/>
  <c r="E51" i="12"/>
  <c r="G48" i="12"/>
  <c r="D45" i="12"/>
  <c r="G46" i="12"/>
  <c r="D49" i="12"/>
  <c r="G47" i="12"/>
  <c r="E48" i="12"/>
  <c r="H46" i="12"/>
  <c r="H50" i="12"/>
  <c r="C53" i="12"/>
  <c r="D26" i="18" s="1"/>
  <c r="C49" i="12"/>
  <c r="D22" i="18" s="1"/>
  <c r="E50" i="12"/>
  <c r="C45" i="12"/>
  <c r="G51" i="12"/>
  <c r="C50" i="12"/>
  <c r="D23" i="18" s="1"/>
  <c r="J50" i="12"/>
  <c r="C51" i="12"/>
  <c r="D24" i="18" s="1"/>
  <c r="D51" i="12"/>
  <c r="D50" i="12"/>
  <c r="D48" i="12"/>
  <c r="F49" i="12"/>
  <c r="C52" i="12"/>
  <c r="D25" i="18" s="1"/>
  <c r="D52" i="12"/>
  <c r="E45" i="12"/>
  <c r="E52" i="12"/>
  <c r="F52" i="12"/>
  <c r="F50" i="12"/>
  <c r="H51" i="12"/>
  <c r="J46" i="12"/>
  <c r="D46" i="12"/>
  <c r="D53" i="12"/>
  <c r="E53" i="12"/>
  <c r="F53" i="12"/>
  <c r="D16" i="2"/>
  <c r="S24" i="5" l="1"/>
  <c r="S23" i="5"/>
  <c r="D20" i="18"/>
  <c r="R24" i="5"/>
  <c r="R23" i="5"/>
  <c r="T24" i="5"/>
  <c r="T23" i="5"/>
  <c r="D18" i="18"/>
  <c r="T23" i="19"/>
  <c r="T20" i="19"/>
  <c r="T21" i="19"/>
  <c r="T19" i="19"/>
  <c r="T24" i="19"/>
  <c r="T18" i="19"/>
  <c r="T26" i="19"/>
  <c r="O8" i="18" s="1"/>
  <c r="T25" i="19"/>
  <c r="T22" i="19"/>
  <c r="S20" i="19"/>
  <c r="S23" i="19"/>
  <c r="S18" i="19"/>
  <c r="S26" i="19"/>
  <c r="N8" i="18" s="1"/>
  <c r="S21" i="19"/>
  <c r="S19" i="19"/>
  <c r="S17" i="19"/>
  <c r="S22" i="19"/>
  <c r="S24" i="19"/>
  <c r="S25" i="19"/>
  <c r="R23" i="19"/>
  <c r="R18" i="19"/>
  <c r="R26" i="19"/>
  <c r="M8" i="18" s="1"/>
  <c r="R21" i="19"/>
  <c r="R24" i="19"/>
  <c r="R22" i="19"/>
  <c r="R25" i="19"/>
  <c r="R17" i="19"/>
  <c r="R19" i="19"/>
  <c r="R20" i="19"/>
  <c r="D17" i="2"/>
  <c r="H47" i="1"/>
  <c r="F64" i="1" s="1"/>
  <c r="D18" i="2" l="1"/>
  <c r="D19" i="2" l="1"/>
  <c r="D20" i="2" l="1"/>
  <c r="D21" i="2" l="1"/>
  <c r="D22" i="2" l="1"/>
  <c r="D23" i="2" l="1"/>
  <c r="D24" i="2" l="1"/>
  <c r="D25" i="2" l="1"/>
  <c r="D26" i="2" l="1"/>
  <c r="D27" i="2" l="1"/>
  <c r="D28" i="2" l="1"/>
  <c r="D29" i="2" l="1"/>
  <c r="D30" i="2" l="1"/>
  <c r="D31" i="2" l="1"/>
  <c r="D32" i="2" l="1"/>
  <c r="D33" i="2" l="1"/>
  <c r="D34" i="2" l="1"/>
  <c r="D35" i="2" l="1"/>
  <c r="D36" i="2" l="1"/>
  <c r="D37" i="2" l="1"/>
  <c r="D38" i="2" l="1"/>
  <c r="D39" i="2" l="1"/>
  <c r="D40" i="2" l="1"/>
  <c r="D41" i="2" l="1"/>
  <c r="D42" i="2" l="1"/>
  <c r="D43" i="2" l="1"/>
  <c r="D44" i="2" l="1"/>
  <c r="D45" i="2" l="1"/>
  <c r="D46" i="2" l="1"/>
  <c r="D47" i="2" l="1"/>
  <c r="D48" i="2" l="1"/>
  <c r="D49" i="2" l="1"/>
  <c r="D50" i="2" l="1"/>
  <c r="D51" i="2" l="1"/>
  <c r="D52" i="2" l="1"/>
  <c r="D53" i="2" l="1"/>
  <c r="D54" i="2" l="1"/>
  <c r="D55" i="2" l="1"/>
  <c r="D56" i="2" l="1"/>
  <c r="D57" i="2" l="1"/>
  <c r="D58" i="2" l="1"/>
  <c r="D59" i="2" l="1"/>
  <c r="D60" i="2" l="1"/>
  <c r="D61" i="2" l="1"/>
  <c r="D62" i="2" l="1"/>
  <c r="D63" i="2" l="1"/>
  <c r="D64" i="2" l="1"/>
  <c r="D65" i="2" l="1"/>
  <c r="D66" i="2" l="1"/>
  <c r="D67" i="2" l="1"/>
  <c r="D68" i="2" l="1"/>
  <c r="D69" i="2" l="1"/>
  <c r="D70" i="2" l="1"/>
  <c r="D71" i="2" l="1"/>
  <c r="D72" i="2" l="1"/>
  <c r="D73" i="2" l="1"/>
  <c r="D74" i="2" l="1"/>
  <c r="D75" i="2" l="1"/>
  <c r="D76" i="2" l="1"/>
  <c r="D77" i="2" l="1"/>
  <c r="D78" i="2" l="1"/>
  <c r="D79" i="2" l="1"/>
  <c r="D80" i="2" l="1"/>
  <c r="D81" i="2" l="1"/>
  <c r="D82" i="2" l="1"/>
  <c r="D83" i="2" l="1"/>
  <c r="D84" i="2" l="1"/>
  <c r="D85" i="2" l="1"/>
  <c r="D86" i="2" l="1"/>
  <c r="D87" i="2" l="1"/>
  <c r="D88" i="2" l="1"/>
  <c r="D89" i="2" l="1"/>
  <c r="D90" i="2" l="1"/>
  <c r="D91" i="2" l="1"/>
  <c r="D92" i="2" l="1"/>
  <c r="D93" i="2" l="1"/>
  <c r="D94" i="2" l="1"/>
  <c r="D95" i="2" l="1"/>
  <c r="D96" i="2" l="1"/>
  <c r="D97" i="2" l="1"/>
  <c r="D98" i="2" l="1"/>
  <c r="D99" i="2" l="1"/>
  <c r="D100" i="2" l="1"/>
  <c r="D101" i="2" l="1"/>
  <c r="D102" i="2" l="1"/>
  <c r="D103" i="2" l="1"/>
  <c r="D105" i="2" l="1"/>
  <c r="D104" i="2"/>
  <c r="I10" i="1" l="1"/>
  <c r="J23" i="1" s="1"/>
  <c r="I11" i="1"/>
  <c r="J24" i="1" s="1"/>
  <c r="I12" i="1"/>
  <c r="J25" i="1" s="1"/>
  <c r="I13" i="1"/>
  <c r="J26" i="1" s="1"/>
  <c r="I14" i="1"/>
  <c r="J27" i="1" s="1"/>
  <c r="I15" i="1"/>
  <c r="J28" i="1" s="1"/>
  <c r="I16" i="1"/>
  <c r="J29" i="1" s="1"/>
  <c r="I17" i="1"/>
  <c r="J30" i="1" s="1"/>
  <c r="I18" i="1"/>
  <c r="J31" i="1" s="1"/>
  <c r="I19" i="1"/>
  <c r="I9" i="1"/>
  <c r="J22" i="1" s="1"/>
  <c r="H10" i="1"/>
  <c r="G23" i="1" s="1"/>
  <c r="H11" i="1"/>
  <c r="G24" i="1" s="1"/>
  <c r="H12" i="1"/>
  <c r="G25" i="1" s="1"/>
  <c r="H13" i="1"/>
  <c r="G26" i="1" s="1"/>
  <c r="H14" i="1"/>
  <c r="G27" i="1" s="1"/>
  <c r="H15" i="1"/>
  <c r="G28" i="1" s="1"/>
  <c r="H16" i="1"/>
  <c r="H17" i="1"/>
  <c r="H18" i="1"/>
  <c r="H19" i="1"/>
  <c r="H9" i="1"/>
  <c r="G32" i="1" l="1"/>
  <c r="F32" i="1"/>
  <c r="J32" i="1"/>
  <c r="I32" i="1"/>
  <c r="G22" i="1"/>
  <c r="F22" i="1"/>
  <c r="G29" i="1"/>
  <c r="F29" i="1"/>
  <c r="G30" i="1"/>
  <c r="F30" i="1"/>
  <c r="G31" i="1"/>
  <c r="F31" i="1"/>
  <c r="I82" i="1"/>
  <c r="I84" i="1"/>
  <c r="F82" i="1" l="1"/>
  <c r="F84" i="1"/>
  <c r="K32" i="1"/>
  <c r="I80" i="1"/>
  <c r="I78" i="1"/>
  <c r="H32" i="1"/>
  <c r="I86" i="1"/>
  <c r="I76" i="1"/>
  <c r="F76" i="1" s="1"/>
  <c r="D82" i="1" l="1"/>
  <c r="C82" i="1" s="1"/>
  <c r="D84" i="1"/>
  <c r="F80" i="1"/>
  <c r="F78" i="1"/>
  <c r="F86" i="1"/>
  <c r="C4" i="12" s="1"/>
  <c r="D76" i="1"/>
  <c r="C77" i="1" s="1"/>
  <c r="C83" i="1" l="1"/>
  <c r="K5" i="12"/>
  <c r="K6" i="12" s="1"/>
  <c r="I5" i="12"/>
  <c r="I6" i="12" s="1"/>
  <c r="C5" i="12"/>
  <c r="C6" i="12" s="1"/>
  <c r="F5" i="12"/>
  <c r="F6" i="12" s="1"/>
  <c r="H5" i="12"/>
  <c r="H6" i="12" s="1"/>
  <c r="D5" i="12"/>
  <c r="D6" i="12" s="1"/>
  <c r="E5" i="12"/>
  <c r="E6" i="12" s="1"/>
  <c r="J5" i="12"/>
  <c r="J6" i="12" s="1"/>
  <c r="G5" i="12"/>
  <c r="G6" i="12" s="1"/>
  <c r="D86" i="1"/>
  <c r="C86" i="1" s="1"/>
  <c r="C84" i="1"/>
  <c r="C85" i="1"/>
  <c r="D80" i="1"/>
  <c r="D78" i="1"/>
  <c r="H87" i="1"/>
  <c r="F87" i="1"/>
  <c r="G87" i="1"/>
  <c r="J6" i="9"/>
  <c r="J5" i="9"/>
  <c r="B1" i="9"/>
  <c r="D8" i="5"/>
  <c r="G8" i="5" s="1"/>
  <c r="E6" i="5"/>
  <c r="G11" i="4"/>
  <c r="G12" i="4"/>
  <c r="F14" i="9" l="1"/>
  <c r="C81" i="1"/>
  <c r="C80" i="1"/>
  <c r="C79" i="1"/>
  <c r="C78" i="1"/>
  <c r="J15" i="9" l="1"/>
  <c r="J14" i="9"/>
  <c r="J16" i="9"/>
  <c r="J13" i="9"/>
  <c r="J12" i="9"/>
  <c r="F29" i="9"/>
  <c r="F30" i="9"/>
  <c r="B11" i="4"/>
  <c r="F14" i="10"/>
  <c r="F15" i="10"/>
  <c r="F13" i="10"/>
  <c r="B2" i="10"/>
  <c r="F8" i="10" s="1"/>
  <c r="V15" i="9" l="1"/>
  <c r="O15" i="9"/>
  <c r="W15" i="9"/>
  <c r="R15" i="9"/>
  <c r="P15" i="9"/>
  <c r="N15" i="9"/>
  <c r="U15" i="9"/>
  <c r="S30" i="9"/>
  <c r="R30" i="9"/>
  <c r="Q30" i="9"/>
  <c r="S29" i="9"/>
  <c r="Q29" i="9"/>
  <c r="R29" i="9"/>
  <c r="U12" i="9"/>
  <c r="W12" i="9"/>
  <c r="R12" i="9"/>
  <c r="V12" i="9"/>
  <c r="N12" i="9"/>
  <c r="O12" i="9"/>
  <c r="P12" i="9"/>
  <c r="U13" i="9"/>
  <c r="R13" i="9"/>
  <c r="V13" i="9"/>
  <c r="O13" i="9"/>
  <c r="N13" i="9"/>
  <c r="P13" i="9"/>
  <c r="W13" i="9"/>
  <c r="P16" i="9"/>
  <c r="V16" i="9"/>
  <c r="N6" i="18" s="1"/>
  <c r="N16" i="9"/>
  <c r="W16" i="9"/>
  <c r="O6" i="18" s="1"/>
  <c r="R16" i="9"/>
  <c r="O16" i="9"/>
  <c r="U16" i="9"/>
  <c r="M6" i="18" s="1"/>
  <c r="R14" i="9"/>
  <c r="W14" i="9"/>
  <c r="N14" i="9"/>
  <c r="P14" i="9"/>
  <c r="U14" i="9"/>
  <c r="V14" i="9"/>
  <c r="O14" i="9"/>
  <c r="Q15" i="10"/>
  <c r="S15" i="10"/>
  <c r="R15" i="10"/>
  <c r="Q14" i="10"/>
  <c r="S14" i="10"/>
  <c r="R14" i="10"/>
  <c r="E26" i="4"/>
  <c r="J11" i="9"/>
  <c r="F28" i="9"/>
  <c r="L30" i="9"/>
  <c r="K30" i="9"/>
  <c r="N30" i="9"/>
  <c r="J30" i="9"/>
  <c r="N29" i="9"/>
  <c r="J29" i="9"/>
  <c r="L29" i="9"/>
  <c r="K29" i="9"/>
  <c r="H10" i="4"/>
  <c r="F7" i="10"/>
  <c r="F18" i="10" s="1"/>
  <c r="H12" i="4"/>
  <c r="O13" i="4" s="1"/>
  <c r="H11" i="4"/>
  <c r="F24" i="10"/>
  <c r="F23" i="10"/>
  <c r="F22" i="10"/>
  <c r="F21" i="10"/>
  <c r="F20" i="10"/>
  <c r="F19" i="10"/>
  <c r="E21" i="4" l="1"/>
  <c r="E19" i="4"/>
  <c r="E20" i="4"/>
  <c r="G76" i="4"/>
  <c r="O12" i="4"/>
  <c r="O8" i="4"/>
  <c r="K8" i="4" s="1"/>
  <c r="M13" i="4"/>
  <c r="G74" i="4" s="1"/>
  <c r="O10" i="4"/>
  <c r="L13" i="4"/>
  <c r="G73" i="4" s="1"/>
  <c r="O7" i="4"/>
  <c r="O9" i="4"/>
  <c r="N13" i="4"/>
  <c r="G75" i="4" s="1"/>
  <c r="O26" i="4"/>
  <c r="O27" i="4"/>
  <c r="K27" i="4" s="1"/>
  <c r="O28" i="4"/>
  <c r="K28" i="4" s="1"/>
  <c r="O23" i="4"/>
  <c r="O25" i="4"/>
  <c r="O21" i="4"/>
  <c r="O22" i="4"/>
  <c r="O24" i="4"/>
  <c r="O20" i="4"/>
  <c r="R11" i="9"/>
  <c r="O11" i="9"/>
  <c r="V11" i="9"/>
  <c r="N11" i="9"/>
  <c r="U11" i="9"/>
  <c r="P11" i="9"/>
  <c r="W11" i="9"/>
  <c r="Q28" i="9"/>
  <c r="S28" i="9"/>
  <c r="R28" i="9"/>
  <c r="R24" i="10"/>
  <c r="N7" i="18" s="1"/>
  <c r="Q24" i="10"/>
  <c r="M7" i="18" s="1"/>
  <c r="S24" i="10"/>
  <c r="O7" i="18" s="1"/>
  <c r="Q21" i="10"/>
  <c r="S21" i="10"/>
  <c r="R21" i="10"/>
  <c r="Q23" i="10"/>
  <c r="R23" i="10"/>
  <c r="S23" i="10"/>
  <c r="R22" i="10"/>
  <c r="Q22" i="10"/>
  <c r="S22" i="10"/>
  <c r="S19" i="10"/>
  <c r="Q19" i="10"/>
  <c r="R19" i="10"/>
  <c r="R18" i="10"/>
  <c r="Q18" i="10"/>
  <c r="S18" i="10"/>
  <c r="S20" i="10"/>
  <c r="R20" i="10"/>
  <c r="Q20" i="10"/>
  <c r="E27" i="4"/>
  <c r="E28" i="4" s="1"/>
  <c r="O40" i="4"/>
  <c r="G105" i="4" s="1"/>
  <c r="O41" i="4"/>
  <c r="O42" i="4"/>
  <c r="K42" i="4" s="1"/>
  <c r="O36" i="4"/>
  <c r="G89" i="4" s="1"/>
  <c r="O37" i="4"/>
  <c r="G93" i="4" s="1"/>
  <c r="O34" i="4"/>
  <c r="O38" i="4"/>
  <c r="G97" i="4" s="1"/>
  <c r="O39" i="4"/>
  <c r="G101" i="4" s="1"/>
  <c r="O35" i="4"/>
  <c r="F27" i="9"/>
  <c r="K28" i="9"/>
  <c r="L28" i="9"/>
  <c r="N28" i="9"/>
  <c r="J28" i="9"/>
  <c r="F6" i="10"/>
  <c r="N11" i="4" l="1"/>
  <c r="G67" i="4" s="1"/>
  <c r="L11" i="4"/>
  <c r="G65" i="4" s="1"/>
  <c r="G68" i="4"/>
  <c r="M11" i="4"/>
  <c r="G66" i="4" s="1"/>
  <c r="K11" i="4"/>
  <c r="G64" i="4"/>
  <c r="M10" i="4"/>
  <c r="G62" i="4" s="1"/>
  <c r="K10" i="4"/>
  <c r="N10" i="4"/>
  <c r="G63" i="4" s="1"/>
  <c r="L10" i="4"/>
  <c r="G61" i="4" s="1"/>
  <c r="G72" i="4"/>
  <c r="M12" i="4"/>
  <c r="G70" i="4" s="1"/>
  <c r="K12" i="4"/>
  <c r="L12" i="4"/>
  <c r="G69" i="4" s="1"/>
  <c r="N12" i="4"/>
  <c r="G71" i="4" s="1"/>
  <c r="L8" i="4"/>
  <c r="G53" i="4" s="1"/>
  <c r="H53" i="4" s="1"/>
  <c r="N8" i="4"/>
  <c r="G56" i="4" s="1"/>
  <c r="M8" i="4"/>
  <c r="K9" i="4"/>
  <c r="G60" i="4"/>
  <c r="N9" i="4"/>
  <c r="G59" i="4" s="1"/>
  <c r="L9" i="4"/>
  <c r="G57" i="4" s="1"/>
  <c r="M9" i="4"/>
  <c r="G58" i="4" s="1"/>
  <c r="L7" i="4"/>
  <c r="G52" i="4" s="1"/>
  <c r="H52" i="4" s="1"/>
  <c r="N7" i="4"/>
  <c r="M7" i="4"/>
  <c r="K7" i="4"/>
  <c r="G51" i="4" s="1"/>
  <c r="Q27" i="9"/>
  <c r="R27" i="9"/>
  <c r="S27" i="9"/>
  <c r="L93" i="4"/>
  <c r="T93" i="4"/>
  <c r="M93" i="4"/>
  <c r="R93" i="4"/>
  <c r="S93" i="4"/>
  <c r="K93" i="4"/>
  <c r="O93" i="4"/>
  <c r="R89" i="4"/>
  <c r="S89" i="4"/>
  <c r="T89" i="4"/>
  <c r="K89" i="4"/>
  <c r="L89" i="4"/>
  <c r="O89" i="4"/>
  <c r="M89" i="4"/>
  <c r="R105" i="4"/>
  <c r="T105" i="4"/>
  <c r="O105" i="4"/>
  <c r="S105" i="4"/>
  <c r="M105" i="4"/>
  <c r="K105" i="4"/>
  <c r="L105" i="4"/>
  <c r="N42" i="4"/>
  <c r="L101" i="4"/>
  <c r="T101" i="4"/>
  <c r="M101" i="4"/>
  <c r="S101" i="4"/>
  <c r="R101" i="4"/>
  <c r="O101" i="4"/>
  <c r="K101" i="4"/>
  <c r="R97" i="4"/>
  <c r="O97" i="4"/>
  <c r="S97" i="4"/>
  <c r="T97" i="4"/>
  <c r="K97" i="4"/>
  <c r="L97" i="4"/>
  <c r="M97" i="4"/>
  <c r="G137" i="4"/>
  <c r="K26" i="4"/>
  <c r="M42" i="4"/>
  <c r="R76" i="4"/>
  <c r="T76" i="4"/>
  <c r="M76" i="4"/>
  <c r="K76" i="4"/>
  <c r="S76" i="4"/>
  <c r="L76" i="4"/>
  <c r="O76" i="4"/>
  <c r="L42" i="4"/>
  <c r="N28" i="4"/>
  <c r="J10" i="9"/>
  <c r="F26" i="9"/>
  <c r="K27" i="9"/>
  <c r="L27" i="9"/>
  <c r="N27" i="9"/>
  <c r="J27" i="9"/>
  <c r="I17" i="12"/>
  <c r="F17" i="12"/>
  <c r="G17" i="12"/>
  <c r="E17" i="12"/>
  <c r="D17" i="12"/>
  <c r="C17" i="12"/>
  <c r="F16" i="10"/>
  <c r="F17" i="10"/>
  <c r="G55" i="4" l="1"/>
  <c r="Q55" i="4" s="1"/>
  <c r="T56" i="4"/>
  <c r="N56" i="4"/>
  <c r="S56" i="4"/>
  <c r="M56" i="4"/>
  <c r="K56" i="4"/>
  <c r="R56" i="4"/>
  <c r="P56" i="4"/>
  <c r="Q56" i="4"/>
  <c r="L56" i="4"/>
  <c r="O56" i="4"/>
  <c r="M55" i="4"/>
  <c r="L55" i="4"/>
  <c r="S55" i="4"/>
  <c r="K55" i="4"/>
  <c r="R55" i="4"/>
  <c r="O55" i="4"/>
  <c r="G54" i="4"/>
  <c r="R26" i="9"/>
  <c r="S26" i="9"/>
  <c r="Q26" i="9"/>
  <c r="W10" i="9"/>
  <c r="U10" i="9"/>
  <c r="N10" i="9"/>
  <c r="P10" i="9"/>
  <c r="V10" i="9"/>
  <c r="R10" i="9"/>
  <c r="O10" i="9"/>
  <c r="S17" i="10"/>
  <c r="Q17" i="10"/>
  <c r="R17" i="10"/>
  <c r="R16" i="10"/>
  <c r="S16" i="10"/>
  <c r="Q16" i="10"/>
  <c r="G133" i="4"/>
  <c r="K25" i="4"/>
  <c r="R137" i="4"/>
  <c r="K137" i="4"/>
  <c r="S137" i="4"/>
  <c r="L137" i="4"/>
  <c r="T137" i="4"/>
  <c r="M137" i="4"/>
  <c r="O137" i="4"/>
  <c r="O72" i="4"/>
  <c r="R72" i="4"/>
  <c r="K72" i="4"/>
  <c r="S72" i="4"/>
  <c r="M72" i="4"/>
  <c r="T72" i="4"/>
  <c r="L72" i="4"/>
  <c r="L37" i="4"/>
  <c r="G90" i="4" s="1"/>
  <c r="N27" i="4"/>
  <c r="M38" i="4"/>
  <c r="G95" i="4" s="1"/>
  <c r="K39" i="4"/>
  <c r="L39" i="4"/>
  <c r="G98" i="4" s="1"/>
  <c r="M39" i="4"/>
  <c r="G99" i="4" s="1"/>
  <c r="N39" i="4"/>
  <c r="G100" i="4" s="1"/>
  <c r="L40" i="4"/>
  <c r="G102" i="4" s="1"/>
  <c r="M40" i="4"/>
  <c r="G103" i="4" s="1"/>
  <c r="K40" i="4"/>
  <c r="N40" i="4"/>
  <c r="G104" i="4" s="1"/>
  <c r="K37" i="4"/>
  <c r="M37" i="4"/>
  <c r="G91" i="4" s="1"/>
  <c r="K41" i="4"/>
  <c r="L41" i="4"/>
  <c r="M41" i="4"/>
  <c r="N41" i="4"/>
  <c r="F25" i="9"/>
  <c r="N26" i="9"/>
  <c r="K26" i="9"/>
  <c r="L26" i="9"/>
  <c r="J26" i="9"/>
  <c r="L27" i="4"/>
  <c r="M27" i="4"/>
  <c r="M28" i="4"/>
  <c r="L28" i="4"/>
  <c r="L17" i="12"/>
  <c r="J17" i="12"/>
  <c r="K17" i="12"/>
  <c r="H17" i="12"/>
  <c r="N55" i="4" l="1"/>
  <c r="T55" i="4"/>
  <c r="P55" i="4"/>
  <c r="R25" i="9"/>
  <c r="Q25" i="9"/>
  <c r="S25" i="9"/>
  <c r="R95" i="4"/>
  <c r="K95" i="4"/>
  <c r="S95" i="4"/>
  <c r="L95" i="4"/>
  <c r="T95" i="4"/>
  <c r="O95" i="4"/>
  <c r="M95" i="4"/>
  <c r="R103" i="4"/>
  <c r="K103" i="4"/>
  <c r="S103" i="4"/>
  <c r="L103" i="4"/>
  <c r="T103" i="4"/>
  <c r="O103" i="4"/>
  <c r="M103" i="4"/>
  <c r="K90" i="4"/>
  <c r="S90" i="4"/>
  <c r="L90" i="4"/>
  <c r="T90" i="4"/>
  <c r="M90" i="4"/>
  <c r="R90" i="4"/>
  <c r="O90" i="4"/>
  <c r="O102" i="4"/>
  <c r="T102" i="4"/>
  <c r="R102" i="4"/>
  <c r="S102" i="4"/>
  <c r="K102" i="4"/>
  <c r="L102" i="4"/>
  <c r="M102" i="4"/>
  <c r="M104" i="4"/>
  <c r="O104" i="4"/>
  <c r="S104" i="4"/>
  <c r="R104" i="4"/>
  <c r="L104" i="4"/>
  <c r="T104" i="4"/>
  <c r="K104" i="4"/>
  <c r="R100" i="4"/>
  <c r="K100" i="4"/>
  <c r="S100" i="4"/>
  <c r="O100" i="4"/>
  <c r="T100" i="4"/>
  <c r="L100" i="4"/>
  <c r="M100" i="4"/>
  <c r="O99" i="4"/>
  <c r="T99" i="4"/>
  <c r="R99" i="4"/>
  <c r="S99" i="4"/>
  <c r="M99" i="4"/>
  <c r="K99" i="4"/>
  <c r="L99" i="4"/>
  <c r="O91" i="4"/>
  <c r="R91" i="4"/>
  <c r="S91" i="4"/>
  <c r="T91" i="4"/>
  <c r="K91" i="4"/>
  <c r="L91" i="4"/>
  <c r="M91" i="4"/>
  <c r="K98" i="4"/>
  <c r="S98" i="4"/>
  <c r="L98" i="4"/>
  <c r="T98" i="4"/>
  <c r="M98" i="4"/>
  <c r="R98" i="4"/>
  <c r="O98" i="4"/>
  <c r="O133" i="4"/>
  <c r="S133" i="4"/>
  <c r="T133" i="4"/>
  <c r="K133" i="4"/>
  <c r="L133" i="4"/>
  <c r="R133" i="4"/>
  <c r="M133" i="4"/>
  <c r="G129" i="4"/>
  <c r="K24" i="4"/>
  <c r="R68" i="4"/>
  <c r="T68" i="4"/>
  <c r="M68" i="4"/>
  <c r="K68" i="4"/>
  <c r="S68" i="4"/>
  <c r="L68" i="4"/>
  <c r="O68" i="4"/>
  <c r="L38" i="4"/>
  <c r="G94" i="4" s="1"/>
  <c r="K38" i="4"/>
  <c r="N38" i="4"/>
  <c r="G96" i="4" s="1"/>
  <c r="N37" i="4"/>
  <c r="G92" i="4" s="1"/>
  <c r="N26" i="4"/>
  <c r="G136" i="4" s="1"/>
  <c r="L26" i="4"/>
  <c r="G134" i="4" s="1"/>
  <c r="M26" i="4"/>
  <c r="G135" i="4" s="1"/>
  <c r="L25" i="9"/>
  <c r="N25" i="9"/>
  <c r="J25" i="9"/>
  <c r="K25" i="9"/>
  <c r="J9" i="9"/>
  <c r="F24" i="9"/>
  <c r="F45" i="8"/>
  <c r="F46" i="8"/>
  <c r="F47" i="8"/>
  <c r="F48" i="8"/>
  <c r="F49" i="8"/>
  <c r="F50" i="8"/>
  <c r="F51" i="8"/>
  <c r="F44" i="8"/>
  <c r="D15" i="8"/>
  <c r="G26" i="8" s="1"/>
  <c r="G31" i="8" s="1"/>
  <c r="D16" i="8"/>
  <c r="D17" i="8"/>
  <c r="D14" i="8"/>
  <c r="G25" i="8" l="1"/>
  <c r="G30" i="8" s="1"/>
  <c r="G24" i="8"/>
  <c r="G29" i="8" s="1"/>
  <c r="R24" i="9"/>
  <c r="Q24" i="9"/>
  <c r="S24" i="9"/>
  <c r="V9" i="9"/>
  <c r="R9" i="9"/>
  <c r="N9" i="9"/>
  <c r="P9" i="9"/>
  <c r="O9" i="9"/>
  <c r="W9" i="9"/>
  <c r="U9" i="9"/>
  <c r="R92" i="4"/>
  <c r="K92" i="4"/>
  <c r="S92" i="4"/>
  <c r="T92" i="4"/>
  <c r="M92" i="4"/>
  <c r="L92" i="4"/>
  <c r="O92" i="4"/>
  <c r="M96" i="4"/>
  <c r="O96" i="4"/>
  <c r="T96" i="4"/>
  <c r="R96" i="4"/>
  <c r="S96" i="4"/>
  <c r="K96" i="4"/>
  <c r="L96" i="4"/>
  <c r="R134" i="4"/>
  <c r="K134" i="4"/>
  <c r="S134" i="4"/>
  <c r="T134" i="4"/>
  <c r="L134" i="4"/>
  <c r="O134" i="4"/>
  <c r="M134" i="4"/>
  <c r="R129" i="4"/>
  <c r="K129" i="4"/>
  <c r="S129" i="4"/>
  <c r="L129" i="4"/>
  <c r="T129" i="4"/>
  <c r="M129" i="4"/>
  <c r="O129" i="4"/>
  <c r="O136" i="4"/>
  <c r="S136" i="4"/>
  <c r="T136" i="4"/>
  <c r="K136" i="4"/>
  <c r="M136" i="4"/>
  <c r="L136" i="4"/>
  <c r="R136" i="4"/>
  <c r="O94" i="4"/>
  <c r="R94" i="4"/>
  <c r="S94" i="4"/>
  <c r="T94" i="4"/>
  <c r="L94" i="4"/>
  <c r="M94" i="4"/>
  <c r="K94" i="4"/>
  <c r="G125" i="4"/>
  <c r="K23" i="4"/>
  <c r="L135" i="4"/>
  <c r="T135" i="4"/>
  <c r="M135" i="4"/>
  <c r="R135" i="4"/>
  <c r="S135" i="4"/>
  <c r="O135" i="4"/>
  <c r="K135" i="4"/>
  <c r="O67" i="4"/>
  <c r="R67" i="4"/>
  <c r="K67" i="4"/>
  <c r="S67" i="4"/>
  <c r="L67" i="4"/>
  <c r="T67" i="4"/>
  <c r="M67" i="4"/>
  <c r="K63" i="4"/>
  <c r="S63" i="4"/>
  <c r="L63" i="4"/>
  <c r="T63" i="4"/>
  <c r="M63" i="4"/>
  <c r="O63" i="4"/>
  <c r="R63" i="4"/>
  <c r="K71" i="4"/>
  <c r="S71" i="4"/>
  <c r="M71" i="4"/>
  <c r="L71" i="4"/>
  <c r="T71" i="4"/>
  <c r="O71" i="4"/>
  <c r="R71" i="4"/>
  <c r="O64" i="4"/>
  <c r="R64" i="4"/>
  <c r="K64" i="4"/>
  <c r="S64" i="4"/>
  <c r="T64" i="4"/>
  <c r="L64" i="4"/>
  <c r="M64" i="4"/>
  <c r="O75" i="4"/>
  <c r="R75" i="4"/>
  <c r="K75" i="4"/>
  <c r="S75" i="4"/>
  <c r="L75" i="4"/>
  <c r="T75" i="4"/>
  <c r="M75" i="4"/>
  <c r="N36" i="4"/>
  <c r="G88" i="4" s="1"/>
  <c r="L36" i="4"/>
  <c r="G86" i="4" s="1"/>
  <c r="K36" i="4"/>
  <c r="M36" i="4"/>
  <c r="G87" i="4" s="1"/>
  <c r="N25" i="4"/>
  <c r="G132" i="4" s="1"/>
  <c r="L25" i="4"/>
  <c r="G130" i="4" s="1"/>
  <c r="M25" i="4"/>
  <c r="G131" i="4" s="1"/>
  <c r="F23" i="9"/>
  <c r="L24" i="9"/>
  <c r="N24" i="9"/>
  <c r="J24" i="9"/>
  <c r="K24" i="9"/>
  <c r="B2" i="8"/>
  <c r="B2" i="7"/>
  <c r="G10" i="7" s="1"/>
  <c r="B3" i="6"/>
  <c r="F17" i="5"/>
  <c r="F16" i="5"/>
  <c r="F15" i="5"/>
  <c r="F14" i="5"/>
  <c r="R23" i="9" l="1"/>
  <c r="S23" i="9"/>
  <c r="Q23" i="9"/>
  <c r="S17" i="6"/>
  <c r="S15" i="6"/>
  <c r="R17" i="6"/>
  <c r="T16" i="6"/>
  <c r="T15" i="6"/>
  <c r="S16" i="6"/>
  <c r="T17" i="6"/>
  <c r="R15" i="6"/>
  <c r="O16" i="6"/>
  <c r="O17" i="6"/>
  <c r="R16" i="6"/>
  <c r="O125" i="4"/>
  <c r="T125" i="4"/>
  <c r="L125" i="4"/>
  <c r="M125" i="4"/>
  <c r="K125" i="4"/>
  <c r="S125" i="4"/>
  <c r="R125" i="4"/>
  <c r="G121" i="4"/>
  <c r="K22" i="4"/>
  <c r="R87" i="4"/>
  <c r="K87" i="4"/>
  <c r="S87" i="4"/>
  <c r="L87" i="4"/>
  <c r="T87" i="4"/>
  <c r="M87" i="4"/>
  <c r="O87" i="4"/>
  <c r="M88" i="4"/>
  <c r="O88" i="4"/>
  <c r="R88" i="4"/>
  <c r="S88" i="4"/>
  <c r="T88" i="4"/>
  <c r="L88" i="4"/>
  <c r="K88" i="4"/>
  <c r="R131" i="4"/>
  <c r="T131" i="4"/>
  <c r="L131" i="4"/>
  <c r="M131" i="4"/>
  <c r="K131" i="4"/>
  <c r="S131" i="4"/>
  <c r="O131" i="4"/>
  <c r="M130" i="4"/>
  <c r="O130" i="4"/>
  <c r="S130" i="4"/>
  <c r="T130" i="4"/>
  <c r="K130" i="4"/>
  <c r="L130" i="4"/>
  <c r="R130" i="4"/>
  <c r="K132" i="4"/>
  <c r="S132" i="4"/>
  <c r="L132" i="4"/>
  <c r="T132" i="4"/>
  <c r="M132" i="4"/>
  <c r="R132" i="4"/>
  <c r="O132" i="4"/>
  <c r="O86" i="4"/>
  <c r="S86" i="4"/>
  <c r="T86" i="4"/>
  <c r="K86" i="4"/>
  <c r="M86" i="4"/>
  <c r="R86" i="4"/>
  <c r="L86" i="4"/>
  <c r="O54" i="4"/>
  <c r="R54" i="4"/>
  <c r="K54" i="4"/>
  <c r="S54" i="4"/>
  <c r="L54" i="4"/>
  <c r="T54" i="4"/>
  <c r="M54" i="4"/>
  <c r="L74" i="4"/>
  <c r="T74" i="4"/>
  <c r="M74" i="4"/>
  <c r="O74" i="4"/>
  <c r="S74" i="4"/>
  <c r="K74" i="4"/>
  <c r="R74" i="4"/>
  <c r="O59" i="4"/>
  <c r="R59" i="4"/>
  <c r="K59" i="4"/>
  <c r="S59" i="4"/>
  <c r="L59" i="4"/>
  <c r="T59" i="4"/>
  <c r="M59" i="4"/>
  <c r="L66" i="4"/>
  <c r="T66" i="4"/>
  <c r="M66" i="4"/>
  <c r="O66" i="4"/>
  <c r="K66" i="4"/>
  <c r="R66" i="4"/>
  <c r="S66" i="4"/>
  <c r="L58" i="4"/>
  <c r="T58" i="4"/>
  <c r="M58" i="4"/>
  <c r="O58" i="4"/>
  <c r="R58" i="4"/>
  <c r="K58" i="4"/>
  <c r="S58" i="4"/>
  <c r="S70" i="4"/>
  <c r="R70" i="4"/>
  <c r="K70" i="4"/>
  <c r="L70" i="4"/>
  <c r="T70" i="4"/>
  <c r="M70" i="4"/>
  <c r="O70" i="4"/>
  <c r="R62" i="4"/>
  <c r="K62" i="4"/>
  <c r="S62" i="4"/>
  <c r="L62" i="4"/>
  <c r="T62" i="4"/>
  <c r="M62" i="4"/>
  <c r="O62" i="4"/>
  <c r="R60" i="4"/>
  <c r="L60" i="4"/>
  <c r="M60" i="4"/>
  <c r="K60" i="4"/>
  <c r="S60" i="4"/>
  <c r="T60" i="4"/>
  <c r="O60" i="4"/>
  <c r="N35" i="4"/>
  <c r="G85" i="4" s="1"/>
  <c r="K35" i="4"/>
  <c r="L35" i="4"/>
  <c r="G82" i="4" s="1"/>
  <c r="M35" i="4"/>
  <c r="N24" i="4"/>
  <c r="G128" i="4" s="1"/>
  <c r="L24" i="4"/>
  <c r="G126" i="4" s="1"/>
  <c r="M24" i="4"/>
  <c r="G127" i="4" s="1"/>
  <c r="G13" i="5"/>
  <c r="G17" i="5"/>
  <c r="W43" i="8"/>
  <c r="W42" i="8"/>
  <c r="V43" i="8"/>
  <c r="V42" i="8"/>
  <c r="U42" i="8"/>
  <c r="U43" i="8"/>
  <c r="N33" i="7"/>
  <c r="H3" i="18" s="1"/>
  <c r="P33" i="7"/>
  <c r="J3" i="18" s="1"/>
  <c r="L33" i="7"/>
  <c r="F3" i="18" s="1"/>
  <c r="M33" i="7"/>
  <c r="G3" i="18" s="1"/>
  <c r="G11" i="7"/>
  <c r="G12" i="7"/>
  <c r="G15" i="7"/>
  <c r="G13" i="7"/>
  <c r="G14" i="7"/>
  <c r="L23" i="9"/>
  <c r="N23" i="9"/>
  <c r="J23" i="9"/>
  <c r="K23" i="9"/>
  <c r="J8" i="9"/>
  <c r="F22" i="9"/>
  <c r="B8" i="8"/>
  <c r="E27" i="8"/>
  <c r="J27" i="8" s="1"/>
  <c r="E10" i="6"/>
  <c r="F6" i="6"/>
  <c r="T85" i="4" l="1"/>
  <c r="N85" i="4"/>
  <c r="M85" i="4"/>
  <c r="R85" i="4"/>
  <c r="L85" i="4"/>
  <c r="O85" i="4"/>
  <c r="K85" i="4"/>
  <c r="Q85" i="4"/>
  <c r="S85" i="4"/>
  <c r="P85" i="4"/>
  <c r="G83" i="4"/>
  <c r="O83" i="4" s="1"/>
  <c r="G84" i="4"/>
  <c r="J32" i="8"/>
  <c r="S22" i="9"/>
  <c r="Q22" i="9"/>
  <c r="R22" i="9"/>
  <c r="V8" i="9"/>
  <c r="R8" i="9"/>
  <c r="O8" i="9"/>
  <c r="N8" i="9"/>
  <c r="P8" i="9"/>
  <c r="W8" i="9"/>
  <c r="U8" i="9"/>
  <c r="R121" i="4"/>
  <c r="K121" i="4"/>
  <c r="S121" i="4"/>
  <c r="L121" i="4"/>
  <c r="T121" i="4"/>
  <c r="M121" i="4"/>
  <c r="O121" i="4"/>
  <c r="K20" i="4"/>
  <c r="G112" i="4" s="1"/>
  <c r="K21" i="4"/>
  <c r="L127" i="4"/>
  <c r="T127" i="4"/>
  <c r="M127" i="4"/>
  <c r="S127" i="4"/>
  <c r="K127" i="4"/>
  <c r="O127" i="4"/>
  <c r="R127" i="4"/>
  <c r="O128" i="4"/>
  <c r="T128" i="4"/>
  <c r="M128" i="4"/>
  <c r="K128" i="4"/>
  <c r="L128" i="4"/>
  <c r="R128" i="4"/>
  <c r="S128" i="4"/>
  <c r="L83" i="4"/>
  <c r="M83" i="4"/>
  <c r="R126" i="4"/>
  <c r="K126" i="4"/>
  <c r="S126" i="4"/>
  <c r="L126" i="4"/>
  <c r="M126" i="4"/>
  <c r="O126" i="4"/>
  <c r="T126" i="4"/>
  <c r="R82" i="4"/>
  <c r="K82" i="4"/>
  <c r="S82" i="4"/>
  <c r="T82" i="4"/>
  <c r="L82" i="4"/>
  <c r="O82" i="4"/>
  <c r="M82" i="4"/>
  <c r="M61" i="4"/>
  <c r="O61" i="4"/>
  <c r="R61" i="4"/>
  <c r="K61" i="4"/>
  <c r="L61" i="4"/>
  <c r="S61" i="4"/>
  <c r="T61" i="4"/>
  <c r="K73" i="4"/>
  <c r="T73" i="4"/>
  <c r="R73" i="4"/>
  <c r="S73" i="4"/>
  <c r="L73" i="4"/>
  <c r="M73" i="4"/>
  <c r="O73" i="4"/>
  <c r="S57" i="4"/>
  <c r="T57" i="4"/>
  <c r="R57" i="4"/>
  <c r="K57" i="4"/>
  <c r="L57" i="4"/>
  <c r="M57" i="4"/>
  <c r="O57" i="4"/>
  <c r="K53" i="4"/>
  <c r="S53" i="4"/>
  <c r="M53" i="4"/>
  <c r="L53" i="4"/>
  <c r="T53" i="4"/>
  <c r="O53" i="4"/>
  <c r="R53" i="4"/>
  <c r="R52" i="4"/>
  <c r="S52" i="4"/>
  <c r="K52" i="4"/>
  <c r="L52" i="4"/>
  <c r="T52" i="4"/>
  <c r="M52" i="4"/>
  <c r="O52" i="4"/>
  <c r="K65" i="4"/>
  <c r="T65" i="4"/>
  <c r="R65" i="4"/>
  <c r="S65" i="4"/>
  <c r="L65" i="4"/>
  <c r="M65" i="4"/>
  <c r="O65" i="4"/>
  <c r="M69" i="4"/>
  <c r="O69" i="4"/>
  <c r="R69" i="4"/>
  <c r="T69" i="4"/>
  <c r="S69" i="4"/>
  <c r="K69" i="4"/>
  <c r="L69" i="4"/>
  <c r="M34" i="4"/>
  <c r="K34" i="4"/>
  <c r="G80" i="4" s="1"/>
  <c r="L34" i="4"/>
  <c r="G81" i="4" s="1"/>
  <c r="N34" i="4"/>
  <c r="N23" i="4"/>
  <c r="G124" i="4" s="1"/>
  <c r="L23" i="4"/>
  <c r="G122" i="4" s="1"/>
  <c r="M23" i="4"/>
  <c r="G123" i="4" s="1"/>
  <c r="G17" i="7"/>
  <c r="S10" i="7"/>
  <c r="P47" i="7" s="1"/>
  <c r="U10" i="7"/>
  <c r="R47" i="7" s="1"/>
  <c r="T10" i="7"/>
  <c r="Q47" i="7" s="1"/>
  <c r="G19" i="7"/>
  <c r="S12" i="7"/>
  <c r="P49" i="7" s="1"/>
  <c r="U12" i="7"/>
  <c r="R49" i="7" s="1"/>
  <c r="T12" i="7"/>
  <c r="Q49" i="7" s="1"/>
  <c r="G21" i="7"/>
  <c r="U14" i="7"/>
  <c r="R51" i="7" s="1"/>
  <c r="T14" i="7"/>
  <c r="Q51" i="7" s="1"/>
  <c r="S14" i="7"/>
  <c r="P51" i="7" s="1"/>
  <c r="G22" i="7"/>
  <c r="S15" i="7"/>
  <c r="P52" i="7" s="1"/>
  <c r="U15" i="7"/>
  <c r="R52" i="7" s="1"/>
  <c r="T15" i="7"/>
  <c r="Q52" i="7" s="1"/>
  <c r="G18" i="7"/>
  <c r="U11" i="7"/>
  <c r="R48" i="7" s="1"/>
  <c r="T11" i="7"/>
  <c r="Q48" i="7" s="1"/>
  <c r="S11" i="7"/>
  <c r="P48" i="7" s="1"/>
  <c r="G20" i="7"/>
  <c r="S13" i="7"/>
  <c r="P50" i="7" s="1"/>
  <c r="T13" i="7"/>
  <c r="Q50" i="7" s="1"/>
  <c r="U13" i="7"/>
  <c r="R50" i="7" s="1"/>
  <c r="J26" i="8"/>
  <c r="E24" i="8"/>
  <c r="I24" i="8" s="1"/>
  <c r="E25" i="8"/>
  <c r="E26" i="8"/>
  <c r="I26" i="8" s="1"/>
  <c r="P10" i="7"/>
  <c r="M37" i="7" s="1"/>
  <c r="L10" i="7"/>
  <c r="I37" i="7" s="1"/>
  <c r="N10" i="7"/>
  <c r="M10" i="7"/>
  <c r="P14" i="7"/>
  <c r="M51" i="7" s="1"/>
  <c r="L14" i="7"/>
  <c r="I51" i="7" s="1"/>
  <c r="N14" i="7"/>
  <c r="K51" i="7" s="1"/>
  <c r="M14" i="7"/>
  <c r="J51" i="7" s="1"/>
  <c r="L15" i="7"/>
  <c r="P15" i="7"/>
  <c r="M52" i="7" s="1"/>
  <c r="M15" i="7"/>
  <c r="J52" i="7" s="1"/>
  <c r="N15" i="7"/>
  <c r="K52" i="7" s="1"/>
  <c r="P12" i="7"/>
  <c r="M49" i="7" s="1"/>
  <c r="N12" i="7"/>
  <c r="K49" i="7" s="1"/>
  <c r="L12" i="7"/>
  <c r="M12" i="7"/>
  <c r="M13" i="7"/>
  <c r="J50" i="7" s="1"/>
  <c r="L13" i="7"/>
  <c r="I50" i="7" s="1"/>
  <c r="N13" i="7"/>
  <c r="P13" i="7"/>
  <c r="M50" i="7" s="1"/>
  <c r="M11" i="7"/>
  <c r="N11" i="7"/>
  <c r="K48" i="7" s="1"/>
  <c r="L11" i="7"/>
  <c r="I48" i="7" s="1"/>
  <c r="P11" i="7"/>
  <c r="M48" i="7" s="1"/>
  <c r="J7" i="9"/>
  <c r="F21" i="9"/>
  <c r="L22" i="9"/>
  <c r="K22" i="9"/>
  <c r="J22" i="9"/>
  <c r="N22" i="9"/>
  <c r="F23" i="6"/>
  <c r="F24" i="6"/>
  <c r="F10" i="6"/>
  <c r="E8" i="6"/>
  <c r="E9" i="6"/>
  <c r="E7" i="6"/>
  <c r="G15" i="5"/>
  <c r="G16" i="5"/>
  <c r="G14" i="5"/>
  <c r="K83" i="4" l="1"/>
  <c r="S83" i="4"/>
  <c r="R83" i="4"/>
  <c r="T83" i="4"/>
  <c r="O84" i="4"/>
  <c r="Q84" i="4"/>
  <c r="N84" i="4"/>
  <c r="P84" i="4"/>
  <c r="L84" i="4"/>
  <c r="K84" i="4"/>
  <c r="M84" i="4"/>
  <c r="T84" i="4"/>
  <c r="S84" i="4"/>
  <c r="R84" i="4"/>
  <c r="J31" i="8"/>
  <c r="H25" i="8"/>
  <c r="S21" i="9"/>
  <c r="R21" i="9"/>
  <c r="Q21" i="9"/>
  <c r="P7" i="9"/>
  <c r="O7" i="9"/>
  <c r="U7" i="9"/>
  <c r="R7" i="9"/>
  <c r="W7" i="9"/>
  <c r="N7" i="9"/>
  <c r="V7" i="9"/>
  <c r="O24" i="6"/>
  <c r="T24" i="6"/>
  <c r="O9" i="18" s="1"/>
  <c r="R24" i="6"/>
  <c r="M9" i="18" s="1"/>
  <c r="S24" i="6"/>
  <c r="N9" i="18" s="1"/>
  <c r="O23" i="6"/>
  <c r="R23" i="6"/>
  <c r="T23" i="6"/>
  <c r="S23" i="6"/>
  <c r="K124" i="4"/>
  <c r="S124" i="4"/>
  <c r="L124" i="4"/>
  <c r="T124" i="4"/>
  <c r="M124" i="4"/>
  <c r="O124" i="4"/>
  <c r="R124" i="4"/>
  <c r="O81" i="4"/>
  <c r="S81" i="4"/>
  <c r="T81" i="4"/>
  <c r="K81" i="4"/>
  <c r="L81" i="4"/>
  <c r="R81" i="4"/>
  <c r="M81" i="4"/>
  <c r="O112" i="4"/>
  <c r="S112" i="4"/>
  <c r="T112" i="4"/>
  <c r="K112" i="4"/>
  <c r="L112" i="4"/>
  <c r="M112" i="4"/>
  <c r="R112" i="4"/>
  <c r="L80" i="4"/>
  <c r="T80" i="4"/>
  <c r="M80" i="4"/>
  <c r="R80" i="4"/>
  <c r="S80" i="4"/>
  <c r="K80" i="4"/>
  <c r="O80" i="4"/>
  <c r="R123" i="4"/>
  <c r="K123" i="4"/>
  <c r="M123" i="4"/>
  <c r="L123" i="4"/>
  <c r="O123" i="4"/>
  <c r="S123" i="4"/>
  <c r="T123" i="4"/>
  <c r="M122" i="4"/>
  <c r="O122" i="4"/>
  <c r="T122" i="4"/>
  <c r="K122" i="4"/>
  <c r="L122" i="4"/>
  <c r="R122" i="4"/>
  <c r="S122" i="4"/>
  <c r="R51" i="4"/>
  <c r="O51" i="4"/>
  <c r="K51" i="4"/>
  <c r="S51" i="4"/>
  <c r="L51" i="4"/>
  <c r="T51" i="4"/>
  <c r="M51" i="4"/>
  <c r="I25" i="8"/>
  <c r="N22" i="4"/>
  <c r="G120" i="4" s="1"/>
  <c r="M22" i="4"/>
  <c r="G119" i="4" s="1"/>
  <c r="L22" i="4"/>
  <c r="G118" i="4" s="1"/>
  <c r="H24" i="8"/>
  <c r="Q67" i="7"/>
  <c r="Q70" i="7"/>
  <c r="Q65" i="7"/>
  <c r="Q69" i="7"/>
  <c r="Q66" i="7"/>
  <c r="Q68" i="7"/>
  <c r="P65" i="7"/>
  <c r="P67" i="7"/>
  <c r="P66" i="7"/>
  <c r="P70" i="7"/>
  <c r="P69" i="7"/>
  <c r="P68" i="7"/>
  <c r="R67" i="7"/>
  <c r="R66" i="7"/>
  <c r="R68" i="7"/>
  <c r="R70" i="7"/>
  <c r="R65" i="7"/>
  <c r="R69" i="7"/>
  <c r="H26" i="8"/>
  <c r="J25" i="8"/>
  <c r="J41" i="7"/>
  <c r="J40" i="7"/>
  <c r="M39" i="7"/>
  <c r="K47" i="7"/>
  <c r="K38" i="7"/>
  <c r="I47" i="7"/>
  <c r="J47" i="7"/>
  <c r="M47" i="7"/>
  <c r="I38" i="7"/>
  <c r="K39" i="7"/>
  <c r="K41" i="7"/>
  <c r="J42" i="7"/>
  <c r="I40" i="7"/>
  <c r="K42" i="7"/>
  <c r="M38" i="7"/>
  <c r="K37" i="7"/>
  <c r="I39" i="7"/>
  <c r="I49" i="7"/>
  <c r="M42" i="7"/>
  <c r="J38" i="7"/>
  <c r="J48" i="7"/>
  <c r="M40" i="7"/>
  <c r="M41" i="7"/>
  <c r="J39" i="7"/>
  <c r="J49" i="7"/>
  <c r="I42" i="7"/>
  <c r="I52" i="7"/>
  <c r="K40" i="7"/>
  <c r="K50" i="7"/>
  <c r="J37" i="7"/>
  <c r="I41" i="7"/>
  <c r="K21" i="9"/>
  <c r="N21" i="9"/>
  <c r="L21" i="9"/>
  <c r="J21" i="9"/>
  <c r="F18" i="6"/>
  <c r="F19" i="6"/>
  <c r="F9" i="6"/>
  <c r="F22" i="6"/>
  <c r="F7" i="6"/>
  <c r="F20" i="6"/>
  <c r="F8" i="6"/>
  <c r="F21" i="6"/>
  <c r="H17" i="5"/>
  <c r="G32" i="5" s="1"/>
  <c r="H14" i="5"/>
  <c r="H16" i="5"/>
  <c r="H15" i="5"/>
  <c r="G29" i="5" s="1"/>
  <c r="H13" i="5"/>
  <c r="J30" i="8" l="1"/>
  <c r="P37" i="8"/>
  <c r="P31" i="8" s="1"/>
  <c r="H31" i="8"/>
  <c r="N37" i="8"/>
  <c r="N31" i="8" s="1"/>
  <c r="H29" i="8"/>
  <c r="O37" i="8"/>
  <c r="O31" i="8" s="1"/>
  <c r="H30" i="8"/>
  <c r="O35" i="8"/>
  <c r="R22" i="6"/>
  <c r="T22" i="6"/>
  <c r="O22" i="6"/>
  <c r="S22" i="6"/>
  <c r="R19" i="6"/>
  <c r="T19" i="6"/>
  <c r="O19" i="6"/>
  <c r="S19" i="6"/>
  <c r="R21" i="6"/>
  <c r="S21" i="6"/>
  <c r="O21" i="6"/>
  <c r="T21" i="6"/>
  <c r="R20" i="6"/>
  <c r="S20" i="6"/>
  <c r="O20" i="6"/>
  <c r="T20" i="6"/>
  <c r="S18" i="6"/>
  <c r="R18" i="6"/>
  <c r="T18" i="6"/>
  <c r="O18" i="6"/>
  <c r="R118" i="4"/>
  <c r="K118" i="4"/>
  <c r="S118" i="4"/>
  <c r="O118" i="4"/>
  <c r="L118" i="4"/>
  <c r="M118" i="4"/>
  <c r="T118" i="4"/>
  <c r="L119" i="4"/>
  <c r="T119" i="4"/>
  <c r="M119" i="4"/>
  <c r="K119" i="4"/>
  <c r="O119" i="4"/>
  <c r="S119" i="4"/>
  <c r="R119" i="4"/>
  <c r="O120" i="4"/>
  <c r="K120" i="4"/>
  <c r="M120" i="4"/>
  <c r="L120" i="4"/>
  <c r="S120" i="4"/>
  <c r="T120" i="4"/>
  <c r="R120" i="4"/>
  <c r="N21" i="4"/>
  <c r="G117" i="4" s="1"/>
  <c r="M21" i="4"/>
  <c r="L21" i="4"/>
  <c r="G114" i="4" s="1"/>
  <c r="G25" i="5"/>
  <c r="G28" i="5"/>
  <c r="G26" i="5"/>
  <c r="G31" i="5"/>
  <c r="M66" i="7"/>
  <c r="M70" i="7"/>
  <c r="M69" i="7"/>
  <c r="M68" i="7"/>
  <c r="M65" i="7"/>
  <c r="M67" i="7"/>
  <c r="J65" i="7"/>
  <c r="J69" i="7"/>
  <c r="J66" i="7"/>
  <c r="J68" i="7"/>
  <c r="J70" i="7"/>
  <c r="J67" i="7"/>
  <c r="I65" i="7"/>
  <c r="I69" i="7"/>
  <c r="I66" i="7"/>
  <c r="I68" i="7"/>
  <c r="I67" i="7"/>
  <c r="I70" i="7"/>
  <c r="K66" i="7"/>
  <c r="K68" i="7"/>
  <c r="K70" i="7"/>
  <c r="K67" i="7"/>
  <c r="K69" i="7"/>
  <c r="K65" i="7"/>
  <c r="J24" i="8"/>
  <c r="I43" i="7"/>
  <c r="M43" i="7"/>
  <c r="J43" i="7"/>
  <c r="K43" i="7"/>
  <c r="G30" i="5"/>
  <c r="G27" i="5"/>
  <c r="O117" i="4" l="1"/>
  <c r="P117" i="4"/>
  <c r="N117" i="4"/>
  <c r="M117" i="4"/>
  <c r="T117" i="4"/>
  <c r="L117" i="4"/>
  <c r="S117" i="4"/>
  <c r="K117" i="4"/>
  <c r="R117" i="4"/>
  <c r="Q117" i="4"/>
  <c r="G115" i="4"/>
  <c r="M115" i="4" s="1"/>
  <c r="G116" i="4"/>
  <c r="N35" i="8"/>
  <c r="P33" i="8"/>
  <c r="J29" i="8"/>
  <c r="N33" i="8"/>
  <c r="N36" i="8"/>
  <c r="N34" i="8"/>
  <c r="P34" i="8"/>
  <c r="O36" i="8"/>
  <c r="O33" i="8"/>
  <c r="O34" i="8"/>
  <c r="P36" i="8"/>
  <c r="P35" i="8"/>
  <c r="K114" i="4"/>
  <c r="S114" i="4"/>
  <c r="L114" i="4"/>
  <c r="T114" i="4"/>
  <c r="M114" i="4"/>
  <c r="O114" i="4"/>
  <c r="R114" i="4"/>
  <c r="N20" i="4"/>
  <c r="L20" i="4"/>
  <c r="G113" i="4" s="1"/>
  <c r="M20" i="4"/>
  <c r="S27" i="5"/>
  <c r="T27" i="5"/>
  <c r="R27" i="5"/>
  <c r="T32" i="5"/>
  <c r="S32" i="5"/>
  <c r="R32" i="5"/>
  <c r="S28" i="5"/>
  <c r="R28" i="5"/>
  <c r="T28" i="5"/>
  <c r="R25" i="5"/>
  <c r="S25" i="5"/>
  <c r="T25" i="5"/>
  <c r="T31" i="5"/>
  <c r="S31" i="5"/>
  <c r="R31" i="5"/>
  <c r="R29" i="5"/>
  <c r="T29" i="5"/>
  <c r="S29" i="5"/>
  <c r="S30" i="5"/>
  <c r="T30" i="5"/>
  <c r="R30" i="5"/>
  <c r="R26" i="5"/>
  <c r="T26" i="5"/>
  <c r="S26" i="5"/>
  <c r="L115" i="4" l="1"/>
  <c r="K115" i="4"/>
  <c r="R115" i="4"/>
  <c r="O115" i="4"/>
  <c r="S115" i="4"/>
  <c r="T115" i="4"/>
  <c r="Q116" i="4"/>
  <c r="N116" i="4"/>
  <c r="T116" i="4"/>
  <c r="S116" i="4"/>
  <c r="P116" i="4"/>
  <c r="K116" i="4"/>
  <c r="O116" i="4"/>
  <c r="M116" i="4"/>
  <c r="L116" i="4"/>
  <c r="R116" i="4"/>
  <c r="R113" i="4"/>
  <c r="K113" i="4"/>
  <c r="L113" i="4"/>
  <c r="O113" i="4"/>
  <c r="M113" i="4"/>
  <c r="S113" i="4"/>
  <c r="T113" i="4"/>
  <c r="O4" i="18"/>
  <c r="M4" i="18"/>
  <c r="N4" i="18"/>
  <c r="M5" i="18"/>
  <c r="N5" i="18"/>
  <c r="O5" i="18"/>
  <c r="N19" i="4" l="1"/>
  <c r="F27" i="8"/>
  <c r="F32" i="8" s="1"/>
  <c r="G27" i="8"/>
  <c r="G32" i="8" s="1"/>
  <c r="H27" i="8"/>
  <c r="I27" i="8"/>
  <c r="Q37" i="8" l="1"/>
  <c r="Q31" i="8" s="1"/>
  <c r="H32" i="8"/>
  <c r="Q29" i="8"/>
  <c r="Q21" i="8" s="1"/>
  <c r="F26" i="8"/>
  <c r="F31" i="8" s="1"/>
  <c r="Q19" i="8"/>
  <c r="Q7" i="8" s="1"/>
  <c r="M19" i="4"/>
  <c r="L19" i="4" s="1"/>
  <c r="Q33" i="8"/>
  <c r="Q14" i="8" l="1"/>
  <c r="Q26" i="8"/>
  <c r="Q35" i="8"/>
  <c r="Q27" i="8"/>
  <c r="J52" i="8"/>
  <c r="U52" i="8" s="1"/>
  <c r="M11" i="18" s="1"/>
  <c r="M12" i="18" s="1"/>
  <c r="Q23" i="8"/>
  <c r="Q36" i="8"/>
  <c r="Q34" i="8"/>
  <c r="F25" i="8"/>
  <c r="F30" i="8" s="1"/>
  <c r="P29" i="8"/>
  <c r="P21" i="8" s="1"/>
  <c r="Q16" i="8"/>
  <c r="Q18" i="8"/>
  <c r="Q17" i="8"/>
  <c r="Q10" i="8"/>
  <c r="J51" i="8"/>
  <c r="W51" i="8" s="1"/>
  <c r="Q13" i="8"/>
  <c r="Q12" i="8"/>
  <c r="Q15" i="8"/>
  <c r="Q11" i="8"/>
  <c r="Q9" i="8"/>
  <c r="J50" i="8"/>
  <c r="V50" i="8" s="1"/>
  <c r="P19" i="8"/>
  <c r="P7" i="8" s="1"/>
  <c r="Q25" i="8"/>
  <c r="Q28" i="8"/>
  <c r="Q24" i="8"/>
  <c r="P5" i="2"/>
  <c r="W52" i="8" l="1"/>
  <c r="O11" i="18" s="1"/>
  <c r="O12" i="18" s="1"/>
  <c r="V52" i="8"/>
  <c r="N11" i="18" s="1"/>
  <c r="N12" i="18" s="1"/>
  <c r="V51" i="8"/>
  <c r="P23" i="8"/>
  <c r="P25" i="8"/>
  <c r="P27" i="8"/>
  <c r="P26" i="8"/>
  <c r="P28" i="8"/>
  <c r="P24" i="8"/>
  <c r="F24" i="8"/>
  <c r="O29" i="8"/>
  <c r="O21" i="8" s="1"/>
  <c r="U51" i="8"/>
  <c r="W50" i="8"/>
  <c r="U50" i="8"/>
  <c r="P9" i="8"/>
  <c r="J49" i="8"/>
  <c r="P11" i="8"/>
  <c r="P18" i="8"/>
  <c r="J48" i="8"/>
  <c r="P17" i="8"/>
  <c r="P10" i="8"/>
  <c r="P12" i="8"/>
  <c r="P14" i="8"/>
  <c r="P15" i="8"/>
  <c r="P13" i="8"/>
  <c r="P16" i="8"/>
  <c r="N19" i="8"/>
  <c r="N7" i="8" s="1"/>
  <c r="O19" i="8"/>
  <c r="O7" i="8" s="1"/>
  <c r="P60" i="2"/>
  <c r="P11" i="2"/>
  <c r="P12" i="2"/>
  <c r="P13" i="2"/>
  <c r="P7" i="2"/>
  <c r="P6" i="2"/>
  <c r="P9" i="2"/>
  <c r="P14" i="2"/>
  <c r="P8" i="2"/>
  <c r="P10" i="2"/>
  <c r="P58" i="2"/>
  <c r="P50" i="2"/>
  <c r="P93" i="2"/>
  <c r="P32" i="2"/>
  <c r="P81" i="2"/>
  <c r="P57" i="2"/>
  <c r="P85" i="2"/>
  <c r="P26" i="2"/>
  <c r="P65" i="2"/>
  <c r="P101" i="2"/>
  <c r="P62" i="2"/>
  <c r="P89" i="2"/>
  <c r="P15" i="2"/>
  <c r="P74" i="2"/>
  <c r="P88" i="2"/>
  <c r="P31" i="2"/>
  <c r="P71" i="2"/>
  <c r="P63" i="2"/>
  <c r="P55" i="2"/>
  <c r="P59" i="2"/>
  <c r="P66" i="2"/>
  <c r="P92" i="2"/>
  <c r="P25" i="2"/>
  <c r="P70" i="2"/>
  <c r="P87" i="2"/>
  <c r="P90" i="2"/>
  <c r="P28" i="2"/>
  <c r="P29" i="2"/>
  <c r="P68" i="2"/>
  <c r="P56" i="2"/>
  <c r="P64" i="2"/>
  <c r="P94" i="2"/>
  <c r="P27" i="2"/>
  <c r="P72" i="2"/>
  <c r="P86" i="2"/>
  <c r="P34" i="2"/>
  <c r="P69" i="2"/>
  <c r="P17" i="2"/>
  <c r="P33" i="2"/>
  <c r="P30" i="2"/>
  <c r="P67" i="2"/>
  <c r="P103" i="2"/>
  <c r="P61" i="2"/>
  <c r="P46" i="2"/>
  <c r="P48" i="2"/>
  <c r="P53" i="2"/>
  <c r="P37" i="2"/>
  <c r="P39" i="2"/>
  <c r="P24" i="2"/>
  <c r="P73" i="2"/>
  <c r="P16" i="2"/>
  <c r="P78" i="2"/>
  <c r="P100" i="2"/>
  <c r="P105" i="2"/>
  <c r="P38" i="2"/>
  <c r="P20" i="2"/>
  <c r="P21" i="2"/>
  <c r="P79" i="2"/>
  <c r="P97" i="2"/>
  <c r="P51" i="2"/>
  <c r="P47" i="2"/>
  <c r="P49" i="2"/>
  <c r="P54" i="2"/>
  <c r="P98" i="2"/>
  <c r="P41" i="2"/>
  <c r="P75" i="2"/>
  <c r="P83" i="2"/>
  <c r="P80" i="2"/>
  <c r="P19" i="2"/>
  <c r="P22" i="2"/>
  <c r="P77" i="2"/>
  <c r="P104" i="2"/>
  <c r="P42" i="2"/>
  <c r="P40" i="2"/>
  <c r="P82" i="2"/>
  <c r="P45" i="2"/>
  <c r="P52" i="2"/>
  <c r="P23" i="2"/>
  <c r="P18" i="2"/>
  <c r="P84" i="2"/>
  <c r="P95" i="2"/>
  <c r="P96" i="2"/>
  <c r="P35" i="2"/>
  <c r="P36" i="2"/>
  <c r="P43" i="2"/>
  <c r="P99" i="2"/>
  <c r="P44" i="2"/>
  <c r="P91" i="2"/>
  <c r="P76" i="2"/>
  <c r="P102" i="2"/>
  <c r="T5" i="2"/>
  <c r="W5" i="2"/>
  <c r="Q5" i="2"/>
  <c r="R5" i="2"/>
  <c r="S5" i="2"/>
  <c r="V5" i="2"/>
  <c r="Y5" i="2"/>
  <c r="U5" i="2"/>
  <c r="X5" i="2"/>
  <c r="N29" i="8" l="1"/>
  <c r="N21" i="8" s="1"/>
  <c r="F29" i="8"/>
  <c r="O25" i="8"/>
  <c r="O26" i="8"/>
  <c r="O28" i="8"/>
  <c r="O23" i="8"/>
  <c r="O24" i="8"/>
  <c r="O27" i="8"/>
  <c r="N23" i="8"/>
  <c r="N28" i="8"/>
  <c r="N27" i="8"/>
  <c r="N25" i="8"/>
  <c r="N24" i="8"/>
  <c r="N9" i="8"/>
  <c r="N18" i="8"/>
  <c r="N14" i="8"/>
  <c r="N16" i="8"/>
  <c r="N10" i="8"/>
  <c r="N12" i="8"/>
  <c r="N15" i="8"/>
  <c r="N11" i="8"/>
  <c r="N17" i="8"/>
  <c r="N13" i="8"/>
  <c r="V48" i="8"/>
  <c r="W48" i="8"/>
  <c r="U48" i="8"/>
  <c r="U49" i="8"/>
  <c r="V49" i="8"/>
  <c r="W49" i="8"/>
  <c r="J47" i="8"/>
  <c r="O14" i="8"/>
  <c r="O16" i="8"/>
  <c r="O13" i="8"/>
  <c r="O10" i="8"/>
  <c r="O18" i="8"/>
  <c r="O9" i="8"/>
  <c r="O11" i="8"/>
  <c r="O17" i="8"/>
  <c r="O12" i="8"/>
  <c r="J46" i="8"/>
  <c r="O15" i="8"/>
  <c r="Q99" i="2"/>
  <c r="Q49" i="2"/>
  <c r="Q52" i="2"/>
  <c r="Q91" i="2"/>
  <c r="Q84" i="2"/>
  <c r="Q104" i="2"/>
  <c r="Q98" i="2"/>
  <c r="Q20" i="2"/>
  <c r="Q39" i="2"/>
  <c r="Q11" i="2"/>
  <c r="Q44" i="2"/>
  <c r="Q18" i="2"/>
  <c r="Q77" i="2"/>
  <c r="Q54" i="2"/>
  <c r="Q38" i="2"/>
  <c r="Q37" i="2"/>
  <c r="Q8" i="2"/>
  <c r="Q22" i="2"/>
  <c r="Q19" i="2"/>
  <c r="Q9" i="2"/>
  <c r="Q80" i="2"/>
  <c r="Q83" i="2"/>
  <c r="Q16" i="2"/>
  <c r="Q7" i="2"/>
  <c r="Q53" i="2"/>
  <c r="Q100" i="2"/>
  <c r="Q36" i="2"/>
  <c r="Q78" i="2"/>
  <c r="Q35" i="2"/>
  <c r="Q96" i="2"/>
  <c r="Q79" i="2"/>
  <c r="Q103" i="2"/>
  <c r="Q50" i="2"/>
  <c r="Q13" i="2"/>
  <c r="Q23" i="2"/>
  <c r="Q105" i="2"/>
  <c r="Q17" i="2"/>
  <c r="Q43" i="2"/>
  <c r="Q47" i="2"/>
  <c r="Q48" i="2"/>
  <c r="Q81" i="2"/>
  <c r="Q45" i="2"/>
  <c r="Q51" i="2"/>
  <c r="Q46" i="2"/>
  <c r="Q82" i="2"/>
  <c r="Q97" i="2"/>
  <c r="Q102" i="2"/>
  <c r="Q40" i="2"/>
  <c r="Q75" i="2"/>
  <c r="Q73" i="2"/>
  <c r="Q76" i="2"/>
  <c r="Q95" i="2"/>
  <c r="Q42" i="2"/>
  <c r="Q41" i="2"/>
  <c r="Q21" i="2"/>
  <c r="Q24" i="2"/>
  <c r="Q71" i="2"/>
  <c r="Q6" i="2"/>
  <c r="Q63" i="2"/>
  <c r="Q65" i="2"/>
  <c r="Q64" i="2"/>
  <c r="Q85" i="2"/>
  <c r="Q89" i="2"/>
  <c r="Q10" i="2"/>
  <c r="Q74" i="2"/>
  <c r="Q32" i="2"/>
  <c r="Q57" i="2"/>
  <c r="Q15" i="2"/>
  <c r="Q88" i="2"/>
  <c r="Q58" i="2"/>
  <c r="Q66" i="2"/>
  <c r="Q62" i="2"/>
  <c r="Q72" i="2"/>
  <c r="Q34" i="2"/>
  <c r="Q70" i="2"/>
  <c r="Q29" i="2"/>
  <c r="Q93" i="2"/>
  <c r="Q30" i="2"/>
  <c r="Q25" i="2"/>
  <c r="Q31" i="2"/>
  <c r="Q69" i="2"/>
  <c r="Q68" i="2"/>
  <c r="Q14" i="2"/>
  <c r="Q28" i="2"/>
  <c r="Q92" i="2"/>
  <c r="Q56" i="2"/>
  <c r="Q87" i="2"/>
  <c r="Q61" i="2"/>
  <c r="Q101" i="2"/>
  <c r="Q55" i="2"/>
  <c r="Q12" i="2"/>
  <c r="Q67" i="2"/>
  <c r="Q59" i="2"/>
  <c r="Q86" i="2"/>
  <c r="Q33" i="2"/>
  <c r="Q94" i="2"/>
  <c r="Q60" i="2"/>
  <c r="Q26" i="2"/>
  <c r="Q27" i="2"/>
  <c r="Q90" i="2"/>
  <c r="J44" i="8" l="1"/>
  <c r="V44" i="8" s="1"/>
  <c r="N26" i="8"/>
  <c r="J45" i="8"/>
  <c r="V45" i="8" s="1"/>
  <c r="V46" i="8"/>
  <c r="U46" i="8"/>
  <c r="W46" i="8"/>
  <c r="W47" i="8"/>
  <c r="V47" i="8"/>
  <c r="U47" i="8"/>
  <c r="E24" i="2"/>
  <c r="G23" i="17" s="1"/>
  <c r="E103" i="2"/>
  <c r="G102" i="17" s="1"/>
  <c r="D102" i="17" s="1"/>
  <c r="E20" i="2"/>
  <c r="G19" i="17" s="1"/>
  <c r="E21" i="2"/>
  <c r="G20" i="17" s="1"/>
  <c r="E47" i="2"/>
  <c r="G46" i="17" s="1"/>
  <c r="E79" i="2"/>
  <c r="G78" i="17" s="1"/>
  <c r="E98" i="2"/>
  <c r="G97" i="17" s="1"/>
  <c r="Y97" i="15" s="1"/>
  <c r="E41" i="2"/>
  <c r="G40" i="17" s="1"/>
  <c r="E96" i="2"/>
  <c r="G95" i="17" s="1"/>
  <c r="Y95" i="15" s="1"/>
  <c r="E54" i="2"/>
  <c r="G53" i="17" s="1"/>
  <c r="E82" i="2"/>
  <c r="G81" i="17" s="1"/>
  <c r="E35" i="2"/>
  <c r="G34" i="17" s="1"/>
  <c r="E80" i="2"/>
  <c r="G79" i="17" s="1"/>
  <c r="E84" i="2"/>
  <c r="G83" i="17" s="1"/>
  <c r="E105" i="2"/>
  <c r="G104" i="17" s="1"/>
  <c r="Y104" i="15" s="1"/>
  <c r="E9" i="2"/>
  <c r="G8" i="17" s="1"/>
  <c r="E18" i="2"/>
  <c r="G17" i="17" s="1"/>
  <c r="E76" i="2"/>
  <c r="G75" i="17" s="1"/>
  <c r="Y75" i="15" s="1"/>
  <c r="E51" i="2"/>
  <c r="G50" i="17" s="1"/>
  <c r="E23" i="2"/>
  <c r="G22" i="17" s="1"/>
  <c r="E36" i="2"/>
  <c r="G35" i="17" s="1"/>
  <c r="E19" i="2"/>
  <c r="G18" i="17" s="1"/>
  <c r="E44" i="2"/>
  <c r="G43" i="17" s="1"/>
  <c r="E52" i="2"/>
  <c r="G51" i="17" s="1"/>
  <c r="E40" i="2"/>
  <c r="G39" i="17" s="1"/>
  <c r="E7" i="2"/>
  <c r="G6" i="17" s="1"/>
  <c r="E16" i="2"/>
  <c r="G15" i="17" s="1"/>
  <c r="E97" i="2"/>
  <c r="G96" i="17" s="1"/>
  <c r="Y96" i="15" s="1"/>
  <c r="E83" i="2"/>
  <c r="G82" i="17" s="1"/>
  <c r="E17" i="2"/>
  <c r="G16" i="17" s="1"/>
  <c r="E77" i="2"/>
  <c r="G76" i="17" s="1"/>
  <c r="E95" i="2"/>
  <c r="G94" i="17" s="1"/>
  <c r="D94" i="17" s="1"/>
  <c r="E46" i="2"/>
  <c r="G45" i="17" s="1"/>
  <c r="E78" i="2"/>
  <c r="G77" i="17" s="1"/>
  <c r="E91" i="2"/>
  <c r="G90" i="17" s="1"/>
  <c r="D90" i="17" s="1"/>
  <c r="E73" i="2"/>
  <c r="G72" i="17" s="1"/>
  <c r="E45" i="2"/>
  <c r="G44" i="17" s="1"/>
  <c r="E13" i="2"/>
  <c r="G12" i="17" s="1"/>
  <c r="E100" i="2"/>
  <c r="G99" i="17" s="1"/>
  <c r="D99" i="17" s="1"/>
  <c r="E22" i="2"/>
  <c r="G21" i="17" s="1"/>
  <c r="E11" i="2"/>
  <c r="G10" i="17" s="1"/>
  <c r="E49" i="2"/>
  <c r="G48" i="17" s="1"/>
  <c r="E48" i="2"/>
  <c r="G47" i="17" s="1"/>
  <c r="E37" i="2"/>
  <c r="G36" i="17" s="1"/>
  <c r="E102" i="2"/>
  <c r="G101" i="17" s="1"/>
  <c r="D101" i="17" s="1"/>
  <c r="E38" i="2"/>
  <c r="G37" i="17" s="1"/>
  <c r="E43" i="2"/>
  <c r="G42" i="17" s="1"/>
  <c r="E104" i="2"/>
  <c r="G103" i="17" s="1"/>
  <c r="Y103" i="15" s="1"/>
  <c r="E42" i="2"/>
  <c r="G41" i="17" s="1"/>
  <c r="E71" i="2"/>
  <c r="G70" i="17" s="1"/>
  <c r="E75" i="2"/>
  <c r="G74" i="17" s="1"/>
  <c r="E81" i="2"/>
  <c r="G80" i="17" s="1"/>
  <c r="E50" i="2"/>
  <c r="G49" i="17" s="1"/>
  <c r="E53" i="2"/>
  <c r="G52" i="17" s="1"/>
  <c r="E8" i="2"/>
  <c r="G7" i="17" s="1"/>
  <c r="E39" i="2"/>
  <c r="G38" i="17" s="1"/>
  <c r="E99" i="2"/>
  <c r="G98" i="17" s="1"/>
  <c r="D98" i="17" s="1"/>
  <c r="Y102" i="15"/>
  <c r="C3" i="2"/>
  <c r="E101" i="2"/>
  <c r="G100" i="17" s="1"/>
  <c r="E92" i="2"/>
  <c r="G91" i="17" s="1"/>
  <c r="E90" i="2"/>
  <c r="G89" i="17" s="1"/>
  <c r="E29" i="2"/>
  <c r="G28" i="17" s="1"/>
  <c r="E26" i="2"/>
  <c r="G25" i="17" s="1"/>
  <c r="E55" i="2"/>
  <c r="G54" i="17" s="1"/>
  <c r="E68" i="2"/>
  <c r="G67" i="17" s="1"/>
  <c r="E34" i="2"/>
  <c r="G33" i="17" s="1"/>
  <c r="E32" i="2"/>
  <c r="G31" i="17" s="1"/>
  <c r="E94" i="2"/>
  <c r="G93" i="17" s="1"/>
  <c r="E61" i="2"/>
  <c r="G60" i="17" s="1"/>
  <c r="E31" i="2"/>
  <c r="G30" i="17" s="1"/>
  <c r="E62" i="2"/>
  <c r="G61" i="17" s="1"/>
  <c r="E10" i="2"/>
  <c r="G9" i="17" s="1"/>
  <c r="E33" i="2"/>
  <c r="G32" i="17" s="1"/>
  <c r="E87" i="2"/>
  <c r="G86" i="17" s="1"/>
  <c r="E25" i="2"/>
  <c r="G24" i="17" s="1"/>
  <c r="E66" i="2"/>
  <c r="G65" i="17" s="1"/>
  <c r="E89" i="2"/>
  <c r="G88" i="17" s="1"/>
  <c r="E69" i="2"/>
  <c r="G68" i="17" s="1"/>
  <c r="E86" i="2"/>
  <c r="G85" i="17" s="1"/>
  <c r="E56" i="2"/>
  <c r="G55" i="17" s="1"/>
  <c r="E30" i="2"/>
  <c r="G29" i="17" s="1"/>
  <c r="E58" i="2"/>
  <c r="G57" i="17" s="1"/>
  <c r="E85" i="2"/>
  <c r="G84" i="17" s="1"/>
  <c r="E60" i="2"/>
  <c r="G59" i="17" s="1"/>
  <c r="E72" i="2"/>
  <c r="G71" i="17" s="1"/>
  <c r="E88" i="2"/>
  <c r="G87" i="17" s="1"/>
  <c r="E67" i="2"/>
  <c r="G66" i="17" s="1"/>
  <c r="E65" i="2"/>
  <c r="G64" i="17" s="1"/>
  <c r="E74" i="2"/>
  <c r="G73" i="17" s="1"/>
  <c r="E59" i="2"/>
  <c r="G58" i="17" s="1"/>
  <c r="E93" i="2"/>
  <c r="G92" i="17" s="1"/>
  <c r="E64" i="2"/>
  <c r="G63" i="17" s="1"/>
  <c r="E28" i="2"/>
  <c r="G27" i="17" s="1"/>
  <c r="E15" i="2"/>
  <c r="G14" i="17" s="1"/>
  <c r="E27" i="2"/>
  <c r="G26" i="17" s="1"/>
  <c r="E12" i="2"/>
  <c r="G11" i="17" s="1"/>
  <c r="E14" i="2"/>
  <c r="G13" i="17" s="1"/>
  <c r="E70" i="2"/>
  <c r="G69" i="17" s="1"/>
  <c r="E57" i="2"/>
  <c r="G56" i="17" s="1"/>
  <c r="E63" i="2"/>
  <c r="G62" i="17" s="1"/>
  <c r="E6" i="2"/>
  <c r="G5" i="17" s="1"/>
  <c r="W45" i="8" l="1"/>
  <c r="U45" i="8"/>
  <c r="U44" i="8"/>
  <c r="W44" i="8"/>
  <c r="D75" i="17"/>
  <c r="Y17" i="15"/>
  <c r="D95" i="17"/>
  <c r="V95" i="15" s="1"/>
  <c r="AC95" i="15" s="1"/>
  <c r="D21" i="17"/>
  <c r="D40" i="17"/>
  <c r="D7" i="17"/>
  <c r="Y52" i="15"/>
  <c r="AE52" i="15" s="1"/>
  <c r="Y37" i="15"/>
  <c r="AE37" i="15" s="1"/>
  <c r="D12" i="17"/>
  <c r="Y16" i="15"/>
  <c r="AF16" i="15" s="1"/>
  <c r="Y18" i="15"/>
  <c r="AE18" i="15" s="1"/>
  <c r="Y83" i="15"/>
  <c r="AE83" i="15" s="1"/>
  <c r="D78" i="17"/>
  <c r="Y44" i="15"/>
  <c r="AE44" i="15" s="1"/>
  <c r="Y82" i="15"/>
  <c r="AE82" i="15" s="1"/>
  <c r="D35" i="17"/>
  <c r="Y79" i="15"/>
  <c r="AD79" i="15" s="1"/>
  <c r="Y46" i="15"/>
  <c r="AE46" i="15" s="1"/>
  <c r="Y38" i="15"/>
  <c r="AD38" i="15" s="1"/>
  <c r="D51" i="17"/>
  <c r="D43" i="17"/>
  <c r="D20" i="17"/>
  <c r="D74" i="17"/>
  <c r="D47" i="17"/>
  <c r="D15" i="17"/>
  <c r="Y50" i="15"/>
  <c r="AD50" i="15" s="1"/>
  <c r="D81" i="17"/>
  <c r="D19" i="17"/>
  <c r="D76" i="17"/>
  <c r="D80" i="17"/>
  <c r="Y72" i="15"/>
  <c r="AD72" i="15" s="1"/>
  <c r="Y22" i="15"/>
  <c r="AD22" i="15" s="1"/>
  <c r="D70" i="17"/>
  <c r="Y48" i="15"/>
  <c r="AF48" i="15" s="1"/>
  <c r="Y53" i="15"/>
  <c r="AF53" i="15" s="1"/>
  <c r="Y8" i="15"/>
  <c r="AD8" i="15" s="1"/>
  <c r="Y42" i="15"/>
  <c r="AE42" i="15" s="1"/>
  <c r="Y34" i="15"/>
  <c r="AE34" i="15" s="1"/>
  <c r="D41" i="17"/>
  <c r="Y10" i="15"/>
  <c r="AF10" i="15" s="1"/>
  <c r="Y45" i="15"/>
  <c r="AF45" i="15" s="1"/>
  <c r="Y39" i="15"/>
  <c r="AE39" i="15" s="1"/>
  <c r="D17" i="17"/>
  <c r="Y23" i="15"/>
  <c r="AE23" i="15" s="1"/>
  <c r="Y74" i="15"/>
  <c r="AD74" i="15" s="1"/>
  <c r="Y78" i="15"/>
  <c r="AD78" i="15" s="1"/>
  <c r="D18" i="17"/>
  <c r="Y7" i="15"/>
  <c r="AF7" i="15" s="1"/>
  <c r="Y15" i="15"/>
  <c r="AF15" i="15" s="1"/>
  <c r="AD104" i="15"/>
  <c r="AE104" i="15"/>
  <c r="AD97" i="15"/>
  <c r="AE97" i="15"/>
  <c r="AD83" i="15"/>
  <c r="AD103" i="15"/>
  <c r="AE103" i="15"/>
  <c r="AE8" i="15"/>
  <c r="AD95" i="15"/>
  <c r="AE95" i="15"/>
  <c r="AD75" i="15"/>
  <c r="AE75" i="15"/>
  <c r="Y90" i="15"/>
  <c r="AE102" i="15"/>
  <c r="AD102" i="15"/>
  <c r="AD96" i="15"/>
  <c r="AE96" i="15"/>
  <c r="AD17" i="15"/>
  <c r="AE17" i="15"/>
  <c r="AD10" i="15"/>
  <c r="Y81" i="15"/>
  <c r="AF81" i="15" s="1"/>
  <c r="D50" i="17"/>
  <c r="Y19" i="15"/>
  <c r="D82" i="17"/>
  <c r="Y76" i="15"/>
  <c r="AF76" i="15" s="1"/>
  <c r="Y21" i="15"/>
  <c r="AF21" i="15" s="1"/>
  <c r="D34" i="17"/>
  <c r="D96" i="17"/>
  <c r="D8" i="17"/>
  <c r="D72" i="17"/>
  <c r="D16" i="17"/>
  <c r="Y94" i="15"/>
  <c r="AF94" i="15" s="1"/>
  <c r="D38" i="17"/>
  <c r="D10" i="17"/>
  <c r="D103" i="17"/>
  <c r="Y98" i="15"/>
  <c r="D104" i="17"/>
  <c r="D46" i="17"/>
  <c r="Y41" i="15"/>
  <c r="D97" i="17"/>
  <c r="Y80" i="15"/>
  <c r="Y51" i="15"/>
  <c r="D79" i="17"/>
  <c r="D23" i="17"/>
  <c r="D42" i="17"/>
  <c r="Y43" i="15"/>
  <c r="D45" i="17"/>
  <c r="D53" i="17"/>
  <c r="D39" i="17"/>
  <c r="F56" i="17"/>
  <c r="F31" i="17"/>
  <c r="V99" i="15"/>
  <c r="AC99" i="15" s="1"/>
  <c r="F99" i="17"/>
  <c r="F57" i="17"/>
  <c r="Y99" i="15"/>
  <c r="F36" i="17"/>
  <c r="F77" i="17"/>
  <c r="F83" i="17"/>
  <c r="F102" i="17"/>
  <c r="E102" i="17" s="1"/>
  <c r="T102" i="17" s="1"/>
  <c r="F73" i="17"/>
  <c r="F67" i="17"/>
  <c r="D52" i="17"/>
  <c r="F48" i="17"/>
  <c r="F55" i="17"/>
  <c r="Y40" i="15"/>
  <c r="D36" i="17"/>
  <c r="F49" i="17"/>
  <c r="F101" i="17"/>
  <c r="E101" i="17" s="1"/>
  <c r="T101" i="17" s="1"/>
  <c r="F6" i="17"/>
  <c r="F23" i="17"/>
  <c r="F85" i="17"/>
  <c r="Y101" i="15"/>
  <c r="F14" i="17"/>
  <c r="F87" i="17"/>
  <c r="F68" i="17"/>
  <c r="F30" i="17"/>
  <c r="F28" i="17"/>
  <c r="D44" i="17"/>
  <c r="V90" i="15"/>
  <c r="AC90" i="15" s="1"/>
  <c r="D77" i="17"/>
  <c r="V94" i="15"/>
  <c r="AC94" i="15" s="1"/>
  <c r="Y6" i="15"/>
  <c r="F38" i="17"/>
  <c r="F80" i="17"/>
  <c r="F41" i="17"/>
  <c r="F94" i="17"/>
  <c r="F76" i="17"/>
  <c r="F82" i="17"/>
  <c r="F15" i="17"/>
  <c r="F39" i="17"/>
  <c r="F43" i="17"/>
  <c r="F50" i="17"/>
  <c r="F17" i="17"/>
  <c r="F34" i="17"/>
  <c r="F53" i="17"/>
  <c r="F97" i="17"/>
  <c r="F84" i="17"/>
  <c r="F100" i="17"/>
  <c r="V102" i="15"/>
  <c r="AC102" i="15" s="1"/>
  <c r="F69" i="17"/>
  <c r="F86" i="17"/>
  <c r="F70" i="17"/>
  <c r="F37" i="17"/>
  <c r="F35" i="17"/>
  <c r="F46" i="17"/>
  <c r="F29" i="17"/>
  <c r="F12" i="17"/>
  <c r="F11" i="17"/>
  <c r="F54" i="17"/>
  <c r="Y35" i="15"/>
  <c r="F47" i="17"/>
  <c r="F22" i="17"/>
  <c r="F79" i="17"/>
  <c r="F26" i="17"/>
  <c r="F25" i="17"/>
  <c r="Y70" i="15"/>
  <c r="Y47" i="15"/>
  <c r="F10" i="17"/>
  <c r="F5" i="17"/>
  <c r="F27" i="17"/>
  <c r="F71" i="17"/>
  <c r="F88" i="17"/>
  <c r="F60" i="17"/>
  <c r="F89" i="17"/>
  <c r="D49" i="17"/>
  <c r="D22" i="17"/>
  <c r="D37" i="17"/>
  <c r="D6" i="17"/>
  <c r="F21" i="17"/>
  <c r="F72" i="17"/>
  <c r="F92" i="17"/>
  <c r="F24" i="17"/>
  <c r="F58" i="17"/>
  <c r="F33" i="17"/>
  <c r="V19" i="15"/>
  <c r="AC19" i="15" s="1"/>
  <c r="F52" i="17"/>
  <c r="F103" i="17"/>
  <c r="X103" i="15" s="1"/>
  <c r="AI103" i="15" s="1"/>
  <c r="F104" i="17"/>
  <c r="F106" i="17" s="1"/>
  <c r="F40" i="17"/>
  <c r="F13" i="17"/>
  <c r="F32" i="17"/>
  <c r="V98" i="15"/>
  <c r="AC98" i="15" s="1"/>
  <c r="V75" i="15"/>
  <c r="AC75" i="15" s="1"/>
  <c r="F64" i="17"/>
  <c r="F9" i="17"/>
  <c r="V51" i="15"/>
  <c r="AC51" i="15" s="1"/>
  <c r="V101" i="15"/>
  <c r="AC101" i="15" s="1"/>
  <c r="F98" i="17"/>
  <c r="F42" i="17"/>
  <c r="F45" i="17"/>
  <c r="F51" i="17"/>
  <c r="F20" i="17"/>
  <c r="F66" i="17"/>
  <c r="F61" i="17"/>
  <c r="Y49" i="15"/>
  <c r="Y12" i="15"/>
  <c r="Y36" i="15"/>
  <c r="F44" i="17"/>
  <c r="F62" i="17"/>
  <c r="F63" i="17"/>
  <c r="F59" i="17"/>
  <c r="F65" i="17"/>
  <c r="F93" i="17"/>
  <c r="E93" i="15" s="1"/>
  <c r="K93" i="15" s="1"/>
  <c r="E92" i="21" s="1"/>
  <c r="F91" i="17"/>
  <c r="D48" i="17"/>
  <c r="Y77" i="15"/>
  <c r="D83" i="17"/>
  <c r="Y20" i="15"/>
  <c r="F7" i="17"/>
  <c r="F74" i="17"/>
  <c r="F90" i="17"/>
  <c r="X90" i="15" s="1"/>
  <c r="AI90" i="15" s="1"/>
  <c r="F16" i="17"/>
  <c r="F96" i="17"/>
  <c r="F18" i="17"/>
  <c r="F75" i="17"/>
  <c r="F8" i="17"/>
  <c r="F81" i="17"/>
  <c r="F95" i="17"/>
  <c r="E95" i="17" s="1"/>
  <c r="T95" i="17" s="1"/>
  <c r="F78" i="17"/>
  <c r="F19" i="17"/>
  <c r="AF96" i="15"/>
  <c r="AF83" i="15"/>
  <c r="AF75" i="15"/>
  <c r="AF102" i="15"/>
  <c r="AF17" i="15"/>
  <c r="AF103" i="15"/>
  <c r="AF104" i="15"/>
  <c r="AF95" i="15"/>
  <c r="AF8" i="15"/>
  <c r="AF97" i="15"/>
  <c r="AF23" i="15"/>
  <c r="C95" i="15"/>
  <c r="C99" i="15"/>
  <c r="C90" i="15"/>
  <c r="C19" i="15"/>
  <c r="C21" i="15"/>
  <c r="C101" i="15"/>
  <c r="C51" i="15"/>
  <c r="C75" i="15"/>
  <c r="D11" i="17"/>
  <c r="Y11" i="15"/>
  <c r="Y9" i="15"/>
  <c r="D9" i="17"/>
  <c r="Y100" i="15"/>
  <c r="D100" i="17"/>
  <c r="Y61" i="15"/>
  <c r="D61" i="17"/>
  <c r="Y14" i="15"/>
  <c r="D14" i="17"/>
  <c r="Y84" i="15"/>
  <c r="D84" i="17"/>
  <c r="Y30" i="15"/>
  <c r="D30" i="17"/>
  <c r="D5" i="17"/>
  <c r="Y5" i="15"/>
  <c r="Y64" i="15"/>
  <c r="D64" i="17"/>
  <c r="D65" i="17"/>
  <c r="Y65" i="15"/>
  <c r="Y54" i="15"/>
  <c r="D54" i="17"/>
  <c r="Y62" i="15"/>
  <c r="D62" i="17"/>
  <c r="D66" i="17"/>
  <c r="Y66" i="15"/>
  <c r="Y24" i="15"/>
  <c r="D24" i="17"/>
  <c r="Y25" i="15"/>
  <c r="D25" i="17"/>
  <c r="Y56" i="15"/>
  <c r="D56" i="17"/>
  <c r="Y55" i="15"/>
  <c r="D55" i="17"/>
  <c r="C102" i="15"/>
  <c r="Y69" i="15"/>
  <c r="D69" i="17"/>
  <c r="Y58" i="15"/>
  <c r="D58" i="17"/>
  <c r="Y71" i="15"/>
  <c r="D71" i="17"/>
  <c r="Y85" i="15"/>
  <c r="D85" i="17"/>
  <c r="Y32" i="15"/>
  <c r="D32" i="17"/>
  <c r="Y89" i="15"/>
  <c r="D89" i="17"/>
  <c r="Y31" i="15"/>
  <c r="D31" i="17"/>
  <c r="Y26" i="15"/>
  <c r="D26" i="17"/>
  <c r="Y33" i="15"/>
  <c r="D33" i="17"/>
  <c r="Y88" i="15"/>
  <c r="D88" i="17"/>
  <c r="Y67" i="15"/>
  <c r="D67" i="17"/>
  <c r="D27" i="17"/>
  <c r="Y27" i="15"/>
  <c r="Y57" i="15"/>
  <c r="D57" i="17"/>
  <c r="Y60" i="15"/>
  <c r="D60" i="17"/>
  <c r="Y63" i="15"/>
  <c r="D63" i="17"/>
  <c r="Y29" i="15"/>
  <c r="D29" i="17"/>
  <c r="Y93" i="15"/>
  <c r="D93" i="17"/>
  <c r="Y92" i="15"/>
  <c r="D92" i="17"/>
  <c r="Y87" i="15"/>
  <c r="D87" i="17"/>
  <c r="D86" i="17"/>
  <c r="Y86" i="15"/>
  <c r="Y28" i="15"/>
  <c r="D28" i="17"/>
  <c r="Y13" i="15"/>
  <c r="D13" i="17"/>
  <c r="D73" i="17"/>
  <c r="Y73" i="15"/>
  <c r="D59" i="17"/>
  <c r="Y59" i="15"/>
  <c r="Y68" i="15"/>
  <c r="D68" i="17"/>
  <c r="D91" i="17"/>
  <c r="Y91" i="15"/>
  <c r="C98" i="15"/>
  <c r="C94" i="15"/>
  <c r="R6" i="2"/>
  <c r="V20" i="15" l="1"/>
  <c r="AC20" i="15" s="1"/>
  <c r="C7" i="15"/>
  <c r="V76" i="15"/>
  <c r="AC76" i="15" s="1"/>
  <c r="C43" i="15"/>
  <c r="V78" i="15"/>
  <c r="AC78" i="15" s="1"/>
  <c r="C40" i="15"/>
  <c r="V21" i="15"/>
  <c r="AC21" i="15" s="1"/>
  <c r="V70" i="15"/>
  <c r="AC70" i="15" s="1"/>
  <c r="V15" i="15"/>
  <c r="AC15" i="15" s="1"/>
  <c r="V12" i="15"/>
  <c r="AC12" i="15" s="1"/>
  <c r="C80" i="15"/>
  <c r="C81" i="15"/>
  <c r="AF38" i="15"/>
  <c r="V47" i="15"/>
  <c r="AC47" i="15" s="1"/>
  <c r="C35" i="15"/>
  <c r="C41" i="15"/>
  <c r="AD42" i="15"/>
  <c r="AF74" i="15"/>
  <c r="V43" i="15"/>
  <c r="AC43" i="15" s="1"/>
  <c r="V40" i="15"/>
  <c r="AC40" i="15" s="1"/>
  <c r="C78" i="15"/>
  <c r="AD23" i="15"/>
  <c r="C20" i="15"/>
  <c r="AF42" i="15"/>
  <c r="AD34" i="15"/>
  <c r="C47" i="15"/>
  <c r="AE22" i="15"/>
  <c r="V80" i="15"/>
  <c r="AC80" i="15" s="1"/>
  <c r="V7" i="15"/>
  <c r="AC7" i="15" s="1"/>
  <c r="AD44" i="15"/>
  <c r="AF34" i="15"/>
  <c r="AD45" i="15"/>
  <c r="AF44" i="15"/>
  <c r="AE45" i="15"/>
  <c r="C12" i="15"/>
  <c r="AF39" i="15"/>
  <c r="AE79" i="15"/>
  <c r="AF79" i="15"/>
  <c r="C15" i="15"/>
  <c r="AF37" i="15"/>
  <c r="AD48" i="15"/>
  <c r="AD82" i="15"/>
  <c r="AD52" i="15"/>
  <c r="V35" i="15"/>
  <c r="AC35" i="15" s="1"/>
  <c r="AE16" i="15"/>
  <c r="AF50" i="15"/>
  <c r="AD46" i="15"/>
  <c r="AD16" i="15"/>
  <c r="AE48" i="15"/>
  <c r="AD37" i="15"/>
  <c r="AF18" i="15"/>
  <c r="AD18" i="15"/>
  <c r="AF46" i="15"/>
  <c r="AE10" i="15"/>
  <c r="AF72" i="15"/>
  <c r="AD39" i="15"/>
  <c r="AE50" i="15"/>
  <c r="AE53" i="15"/>
  <c r="AF22" i="15"/>
  <c r="AD53" i="15"/>
  <c r="E20" i="17"/>
  <c r="E31" i="15"/>
  <c r="K31" i="15" s="1"/>
  <c r="E30" i="21" s="1"/>
  <c r="C74" i="15"/>
  <c r="AF82" i="15"/>
  <c r="AF52" i="15"/>
  <c r="E44" i="17"/>
  <c r="E45" i="17"/>
  <c r="V17" i="15"/>
  <c r="AC17" i="15" s="1"/>
  <c r="E21" i="17"/>
  <c r="X34" i="15"/>
  <c r="AI34" i="15" s="1"/>
  <c r="E48" i="17"/>
  <c r="X77" i="15"/>
  <c r="AI77" i="15" s="1"/>
  <c r="E56" i="15"/>
  <c r="K56" i="15" s="1"/>
  <c r="E55" i="21" s="1"/>
  <c r="C76" i="15"/>
  <c r="C70" i="15"/>
  <c r="X19" i="15"/>
  <c r="AI19" i="15" s="1"/>
  <c r="E16" i="17"/>
  <c r="V74" i="15"/>
  <c r="AC74" i="15" s="1"/>
  <c r="E69" i="15"/>
  <c r="K69" i="15" s="1"/>
  <c r="E68" i="21" s="1"/>
  <c r="AE72" i="15"/>
  <c r="V18" i="15"/>
  <c r="AC18" i="15" s="1"/>
  <c r="X51" i="15"/>
  <c r="AI51" i="15" s="1"/>
  <c r="E38" i="17"/>
  <c r="C17" i="15"/>
  <c r="E78" i="17"/>
  <c r="X50" i="15"/>
  <c r="AI50" i="15" s="1"/>
  <c r="E80" i="15"/>
  <c r="K80" i="15" s="1"/>
  <c r="E79" i="21" s="1"/>
  <c r="X6" i="15"/>
  <c r="AI6" i="15" s="1"/>
  <c r="E40" i="17"/>
  <c r="V81" i="15"/>
  <c r="AC81" i="15" s="1"/>
  <c r="E46" i="17"/>
  <c r="V41" i="15"/>
  <c r="AC41" i="15" s="1"/>
  <c r="X81" i="15"/>
  <c r="AI81" i="15" s="1"/>
  <c r="E7" i="17"/>
  <c r="E22" i="17"/>
  <c r="E35" i="17"/>
  <c r="E49" i="17"/>
  <c r="AE38" i="15"/>
  <c r="E75" i="17"/>
  <c r="E70" i="17"/>
  <c r="E18" i="15"/>
  <c r="K18" i="15" s="1"/>
  <c r="E17" i="21" s="1"/>
  <c r="E72" i="17"/>
  <c r="E8" i="17"/>
  <c r="E47" i="17"/>
  <c r="X37" i="15"/>
  <c r="AI37" i="15" s="1"/>
  <c r="E15" i="17"/>
  <c r="AE74" i="15"/>
  <c r="AE15" i="15"/>
  <c r="AE78" i="15"/>
  <c r="V45" i="15"/>
  <c r="AC45" i="15" s="1"/>
  <c r="V72" i="15"/>
  <c r="AC72" i="15" s="1"/>
  <c r="AD15" i="15"/>
  <c r="C6" i="15"/>
  <c r="V104" i="15"/>
  <c r="AC104" i="15" s="1"/>
  <c r="C37" i="15"/>
  <c r="V23" i="15"/>
  <c r="AC23" i="15" s="1"/>
  <c r="C96" i="15"/>
  <c r="X78" i="15"/>
  <c r="AI78" i="15" s="1"/>
  <c r="AF78" i="15"/>
  <c r="V79" i="15"/>
  <c r="AC79" i="15" s="1"/>
  <c r="V103" i="15"/>
  <c r="AC103" i="15" s="1"/>
  <c r="V34" i="15"/>
  <c r="AC34" i="15" s="1"/>
  <c r="V16" i="15"/>
  <c r="AC16" i="15" s="1"/>
  <c r="C42" i="15"/>
  <c r="V8" i="15"/>
  <c r="AC8" i="15" s="1"/>
  <c r="C22" i="15"/>
  <c r="T22" i="17"/>
  <c r="V10" i="15"/>
  <c r="AC10" i="15" s="1"/>
  <c r="C83" i="15"/>
  <c r="C36" i="15"/>
  <c r="V39" i="15"/>
  <c r="AC39" i="15" s="1"/>
  <c r="V38" i="15"/>
  <c r="AC38" i="15" s="1"/>
  <c r="AE7" i="15"/>
  <c r="C48" i="15"/>
  <c r="T48" i="17"/>
  <c r="C46" i="15"/>
  <c r="V50" i="15"/>
  <c r="AC50" i="15" s="1"/>
  <c r="C18" i="15"/>
  <c r="C49" i="15"/>
  <c r="C77" i="15"/>
  <c r="C53" i="15"/>
  <c r="C82" i="15"/>
  <c r="AD7" i="15"/>
  <c r="E103" i="17"/>
  <c r="T103" i="17" s="1"/>
  <c r="C38" i="15"/>
  <c r="V82" i="15"/>
  <c r="AC82" i="15" s="1"/>
  <c r="C8" i="15"/>
  <c r="X44" i="15"/>
  <c r="AI44" i="15" s="1"/>
  <c r="O48" i="1"/>
  <c r="C23" i="15"/>
  <c r="AD29" i="15"/>
  <c r="AE29" i="15"/>
  <c r="AD25" i="15"/>
  <c r="AE25" i="15"/>
  <c r="AD41" i="15"/>
  <c r="AE41" i="15"/>
  <c r="AE27" i="15"/>
  <c r="AD27" i="15"/>
  <c r="C16" i="15"/>
  <c r="AD61" i="15"/>
  <c r="AE61" i="15"/>
  <c r="AE90" i="15"/>
  <c r="AD90" i="15"/>
  <c r="AD91" i="15"/>
  <c r="AE91" i="15"/>
  <c r="AD87" i="15"/>
  <c r="AE87" i="15"/>
  <c r="AD63" i="15"/>
  <c r="AE63" i="15"/>
  <c r="AD26" i="15"/>
  <c r="AE26" i="15"/>
  <c r="AD58" i="15"/>
  <c r="AE58" i="15"/>
  <c r="AD24" i="15"/>
  <c r="AE24" i="15"/>
  <c r="AE54" i="15"/>
  <c r="AD54" i="15"/>
  <c r="AE30" i="15"/>
  <c r="AD30" i="15"/>
  <c r="AF90" i="15"/>
  <c r="AE20" i="15"/>
  <c r="AD20" i="15"/>
  <c r="AD81" i="15"/>
  <c r="AE81" i="15"/>
  <c r="AD13" i="15"/>
  <c r="AE13" i="15"/>
  <c r="AE66" i="15"/>
  <c r="AD66" i="15"/>
  <c r="AD65" i="15"/>
  <c r="AE65" i="15"/>
  <c r="AD98" i="15"/>
  <c r="AE98" i="15"/>
  <c r="AD57" i="15"/>
  <c r="AE57" i="15"/>
  <c r="AD71" i="15"/>
  <c r="AE71" i="15"/>
  <c r="AE11" i="15"/>
  <c r="AD11" i="15"/>
  <c r="AE12" i="15"/>
  <c r="AD12" i="15"/>
  <c r="AE92" i="15"/>
  <c r="AD92" i="15"/>
  <c r="AD67" i="15"/>
  <c r="AE67" i="15"/>
  <c r="AD32" i="15"/>
  <c r="AE32" i="15"/>
  <c r="AE55" i="15"/>
  <c r="AD55" i="15"/>
  <c r="AE6" i="15"/>
  <c r="AD6" i="15"/>
  <c r="AD99" i="15"/>
  <c r="AE99" i="15"/>
  <c r="AE68" i="15"/>
  <c r="AD68" i="15"/>
  <c r="AD31" i="15"/>
  <c r="AE31" i="15"/>
  <c r="AE100" i="15"/>
  <c r="AD100" i="15"/>
  <c r="C34" i="15"/>
  <c r="AE59" i="15"/>
  <c r="AD59" i="15"/>
  <c r="AE28" i="15"/>
  <c r="AD28" i="15"/>
  <c r="AD93" i="15"/>
  <c r="AE93" i="15"/>
  <c r="AE60" i="15"/>
  <c r="AD60" i="15"/>
  <c r="AD88" i="15"/>
  <c r="AE88" i="15"/>
  <c r="AD85" i="15"/>
  <c r="AE85" i="15"/>
  <c r="AD56" i="15"/>
  <c r="AE56" i="15"/>
  <c r="AD62" i="15"/>
  <c r="AE62" i="15"/>
  <c r="AD64" i="15"/>
  <c r="AE64" i="15"/>
  <c r="AD14" i="15"/>
  <c r="AE14" i="15"/>
  <c r="AD47" i="15"/>
  <c r="AE47" i="15"/>
  <c r="AD35" i="15"/>
  <c r="AE35" i="15"/>
  <c r="AD80" i="15"/>
  <c r="AE80" i="15"/>
  <c r="AE76" i="15"/>
  <c r="AD76" i="15"/>
  <c r="AD73" i="15"/>
  <c r="AE73" i="15"/>
  <c r="AD33" i="15"/>
  <c r="AE33" i="15"/>
  <c r="AE70" i="15"/>
  <c r="AD70" i="15"/>
  <c r="AD19" i="15"/>
  <c r="AE19" i="15"/>
  <c r="AD89" i="15"/>
  <c r="AE89" i="15"/>
  <c r="AD49" i="15"/>
  <c r="AE49" i="15"/>
  <c r="AE43" i="15"/>
  <c r="AD43" i="15"/>
  <c r="AD69" i="15"/>
  <c r="AE69" i="15"/>
  <c r="AE84" i="15"/>
  <c r="AD84" i="15"/>
  <c r="AD77" i="15"/>
  <c r="AE77" i="15"/>
  <c r="AD51" i="15"/>
  <c r="AE51" i="15"/>
  <c r="AD21" i="15"/>
  <c r="AE21" i="15"/>
  <c r="AE86" i="15"/>
  <c r="AD86" i="15"/>
  <c r="X95" i="15"/>
  <c r="AI95" i="15" s="1"/>
  <c r="AF5" i="15"/>
  <c r="AD5" i="15"/>
  <c r="AE5" i="15"/>
  <c r="AD9" i="15"/>
  <c r="AE9" i="15"/>
  <c r="AE36" i="15"/>
  <c r="AD36" i="15"/>
  <c r="AD101" i="15"/>
  <c r="AE101" i="15"/>
  <c r="AD40" i="15"/>
  <c r="AE40" i="15"/>
  <c r="AD94" i="15"/>
  <c r="AE94" i="15"/>
  <c r="E50" i="17"/>
  <c r="C79" i="15"/>
  <c r="X104" i="15"/>
  <c r="AI104" i="15" s="1"/>
  <c r="C103" i="15"/>
  <c r="AF19" i="15"/>
  <c r="E104" i="15"/>
  <c r="E10" i="18" s="1"/>
  <c r="E104" i="17"/>
  <c r="E106" i="17" s="1"/>
  <c r="V96" i="15"/>
  <c r="AC96" i="15" s="1"/>
  <c r="C50" i="15"/>
  <c r="AF12" i="15"/>
  <c r="AG20" i="15"/>
  <c r="C72" i="15"/>
  <c r="AG51" i="15"/>
  <c r="AF70" i="15"/>
  <c r="V46" i="15"/>
  <c r="AC46" i="15" s="1"/>
  <c r="AF80" i="15"/>
  <c r="AG98" i="15"/>
  <c r="AG12" i="15"/>
  <c r="Z101" i="15"/>
  <c r="AF47" i="15"/>
  <c r="AF51" i="15"/>
  <c r="X45" i="15"/>
  <c r="AI45" i="15" s="1"/>
  <c r="AF43" i="15"/>
  <c r="AG75" i="15"/>
  <c r="AF20" i="15"/>
  <c r="Z76" i="15"/>
  <c r="AF99" i="15"/>
  <c r="AF49" i="15"/>
  <c r="AF77" i="15"/>
  <c r="Z15" i="15"/>
  <c r="AG90" i="15"/>
  <c r="X75" i="15"/>
  <c r="AI75" i="15" s="1"/>
  <c r="AF98" i="15"/>
  <c r="Z98" i="15"/>
  <c r="AF41" i="15"/>
  <c r="C10" i="15"/>
  <c r="M48" i="1"/>
  <c r="D106" i="17"/>
  <c r="AG43" i="15"/>
  <c r="Z102" i="15"/>
  <c r="AG102" i="15"/>
  <c r="C104" i="15"/>
  <c r="C10" i="18" s="1"/>
  <c r="V42" i="15"/>
  <c r="AC42" i="15" s="1"/>
  <c r="Z47" i="15"/>
  <c r="AF101" i="15"/>
  <c r="E37" i="17"/>
  <c r="X35" i="15"/>
  <c r="AI35" i="15" s="1"/>
  <c r="E84" i="15"/>
  <c r="K84" i="15" s="1"/>
  <c r="E83" i="21" s="1"/>
  <c r="X15" i="15"/>
  <c r="AI15" i="15" s="1"/>
  <c r="E65" i="15"/>
  <c r="K65" i="15" s="1"/>
  <c r="E64" i="21" s="1"/>
  <c r="X8" i="15"/>
  <c r="AI8" i="15" s="1"/>
  <c r="E6" i="15"/>
  <c r="K6" i="15" s="1"/>
  <c r="E5" i="21" s="1"/>
  <c r="E23" i="17"/>
  <c r="E44" i="15"/>
  <c r="K44" i="15" s="1"/>
  <c r="E43" i="21" s="1"/>
  <c r="I18" i="10" s="1"/>
  <c r="E18" i="17"/>
  <c r="E25" i="15"/>
  <c r="K25" i="15" s="1"/>
  <c r="E24" i="21" s="1"/>
  <c r="E11" i="15"/>
  <c r="K11" i="15" s="1"/>
  <c r="E10" i="21" s="1"/>
  <c r="AG47" i="15"/>
  <c r="X18" i="15"/>
  <c r="AI18" i="15" s="1"/>
  <c r="E23" i="15"/>
  <c r="K23" i="15" s="1"/>
  <c r="E22" i="21" s="1"/>
  <c r="Z20" i="15"/>
  <c r="Z43" i="15"/>
  <c r="E97" i="15"/>
  <c r="K97" i="15" s="1"/>
  <c r="E96" i="21" s="1"/>
  <c r="X70" i="15"/>
  <c r="AI70" i="15" s="1"/>
  <c r="E63" i="15"/>
  <c r="K63" i="15" s="1"/>
  <c r="E62" i="21" s="1"/>
  <c r="E88" i="15"/>
  <c r="K88" i="15" s="1"/>
  <c r="E87" i="21" s="1"/>
  <c r="E77" i="17"/>
  <c r="V97" i="15"/>
  <c r="AC97" i="15" s="1"/>
  <c r="E73" i="15"/>
  <c r="K73" i="15" s="1"/>
  <c r="E72" i="21" s="1"/>
  <c r="E62" i="15"/>
  <c r="K62" i="15" s="1"/>
  <c r="E61" i="21" s="1"/>
  <c r="E61" i="15"/>
  <c r="K61" i="15" s="1"/>
  <c r="E60" i="21" s="1"/>
  <c r="C97" i="15"/>
  <c r="Z94" i="15"/>
  <c r="E97" i="17"/>
  <c r="W97" i="15" s="1"/>
  <c r="X40" i="15"/>
  <c r="AI40" i="15" s="1"/>
  <c r="X82" i="15"/>
  <c r="AI82" i="15" s="1"/>
  <c r="X102" i="15"/>
  <c r="AI102" i="15" s="1"/>
  <c r="X22" i="15"/>
  <c r="AI22" i="15" s="1"/>
  <c r="X80" i="15"/>
  <c r="AI80" i="15" s="1"/>
  <c r="E82" i="17"/>
  <c r="AG76" i="15"/>
  <c r="AF40" i="15"/>
  <c r="X97" i="15"/>
  <c r="AI97" i="15" s="1"/>
  <c r="E6" i="17"/>
  <c r="E19" i="17"/>
  <c r="AG94" i="15"/>
  <c r="E14" i="15"/>
  <c r="K14" i="15" s="1"/>
  <c r="E13" i="21" s="1"/>
  <c r="E80" i="17"/>
  <c r="E58" i="15"/>
  <c r="K58" i="15" s="1"/>
  <c r="E57" i="21" s="1"/>
  <c r="E82" i="15"/>
  <c r="K82" i="15" s="1"/>
  <c r="E81" i="21" s="1"/>
  <c r="C39" i="15"/>
  <c r="X16" i="15"/>
  <c r="AI16" i="15" s="1"/>
  <c r="E29" i="15"/>
  <c r="K29" i="15" s="1"/>
  <c r="E28" i="21" s="1"/>
  <c r="X20" i="15"/>
  <c r="AI20" i="15" s="1"/>
  <c r="E85" i="15"/>
  <c r="K85" i="15" s="1"/>
  <c r="E84" i="21" s="1"/>
  <c r="Z99" i="15"/>
  <c r="AF6" i="15"/>
  <c r="V53" i="15"/>
  <c r="AC53" i="15" s="1"/>
  <c r="E43" i="15"/>
  <c r="K43" i="15" s="1"/>
  <c r="E42" i="21" s="1"/>
  <c r="X41" i="15"/>
  <c r="AI41" i="15" s="1"/>
  <c r="C45" i="15"/>
  <c r="AG99" i="15"/>
  <c r="E86" i="15"/>
  <c r="K86" i="15" s="1"/>
  <c r="E85" i="21" s="1"/>
  <c r="X98" i="15"/>
  <c r="AI98" i="15" s="1"/>
  <c r="E17" i="15"/>
  <c r="K17" i="15" s="1"/>
  <c r="E16" i="21" s="1"/>
  <c r="Z78" i="15"/>
  <c r="E91" i="15"/>
  <c r="K91" i="15" s="1"/>
  <c r="E90" i="21" s="1"/>
  <c r="E52" i="17"/>
  <c r="X38" i="15"/>
  <c r="AI38" i="15" s="1"/>
  <c r="E99" i="15"/>
  <c r="K99" i="15" s="1"/>
  <c r="E98" i="21" s="1"/>
  <c r="X23" i="15"/>
  <c r="AI23" i="15" s="1"/>
  <c r="E17" i="17"/>
  <c r="E9" i="15"/>
  <c r="K9" i="15" s="1"/>
  <c r="E8" i="21" s="1"/>
  <c r="AG78" i="15"/>
  <c r="Z19" i="15"/>
  <c r="AF36" i="15"/>
  <c r="V88" i="15"/>
  <c r="AC88" i="15" s="1"/>
  <c r="E98" i="17"/>
  <c r="T98" i="17" s="1"/>
  <c r="V89" i="15"/>
  <c r="AC89" i="15" s="1"/>
  <c r="V56" i="15"/>
  <c r="AC56" i="15" s="1"/>
  <c r="V30" i="15"/>
  <c r="AC30" i="15" s="1"/>
  <c r="E96" i="15"/>
  <c r="K96" i="15" s="1"/>
  <c r="E95" i="21" s="1"/>
  <c r="E74" i="15"/>
  <c r="K74" i="15" s="1"/>
  <c r="V44" i="15"/>
  <c r="AC44" i="15" s="1"/>
  <c r="V52" i="15"/>
  <c r="AC52" i="15" s="1"/>
  <c r="E36" i="15"/>
  <c r="K36" i="15" s="1"/>
  <c r="E35" i="21" s="1"/>
  <c r="E76" i="15"/>
  <c r="K76" i="15" s="1"/>
  <c r="E75" i="21" s="1"/>
  <c r="V60" i="15"/>
  <c r="AC60" i="15" s="1"/>
  <c r="X83" i="15"/>
  <c r="AI83" i="15" s="1"/>
  <c r="AG15" i="15"/>
  <c r="E39" i="15"/>
  <c r="K39" i="15" s="1"/>
  <c r="E38" i="21" s="1"/>
  <c r="V73" i="15"/>
  <c r="AC73" i="15" s="1"/>
  <c r="X39" i="15"/>
  <c r="AI39" i="15" s="1"/>
  <c r="V84" i="15"/>
  <c r="AC84" i="15" s="1"/>
  <c r="AG101" i="15"/>
  <c r="E79" i="15"/>
  <c r="K79" i="15" s="1"/>
  <c r="E78" i="21" s="1"/>
  <c r="E47" i="15"/>
  <c r="K47" i="15" s="1"/>
  <c r="E46" i="21" s="1"/>
  <c r="E81" i="17"/>
  <c r="V93" i="15"/>
  <c r="AC93" i="15" s="1"/>
  <c r="E76" i="17"/>
  <c r="X36" i="15"/>
  <c r="AI36" i="15" s="1"/>
  <c r="E39" i="17"/>
  <c r="X48" i="15"/>
  <c r="AI48" i="15" s="1"/>
  <c r="AF35" i="15"/>
  <c r="E15" i="15"/>
  <c r="K15" i="15" s="1"/>
  <c r="E14" i="21" s="1"/>
  <c r="E94" i="15"/>
  <c r="K94" i="15" s="1"/>
  <c r="E93" i="21" s="1"/>
  <c r="E13" i="15"/>
  <c r="K13" i="15" s="1"/>
  <c r="E12" i="21" s="1"/>
  <c r="X49" i="15"/>
  <c r="AI49" i="15" s="1"/>
  <c r="V86" i="15"/>
  <c r="AC86" i="15" s="1"/>
  <c r="E90" i="17"/>
  <c r="T90" i="17" s="1"/>
  <c r="X74" i="15"/>
  <c r="AI74" i="15" s="1"/>
  <c r="E57" i="15"/>
  <c r="K57" i="15" s="1"/>
  <c r="E56" i="21" s="1"/>
  <c r="V67" i="15"/>
  <c r="AC67" i="15" s="1"/>
  <c r="E36" i="17"/>
  <c r="V32" i="15"/>
  <c r="AC32" i="15" s="1"/>
  <c r="V58" i="15"/>
  <c r="AC58" i="15" s="1"/>
  <c r="X94" i="15"/>
  <c r="AI94" i="15" s="1"/>
  <c r="V66" i="15"/>
  <c r="AC66" i="15" s="1"/>
  <c r="X96" i="15"/>
  <c r="AI96" i="15" s="1"/>
  <c r="V65" i="15"/>
  <c r="AC65" i="15" s="1"/>
  <c r="X43" i="15"/>
  <c r="AI43" i="15" s="1"/>
  <c r="X53" i="15"/>
  <c r="AI53" i="15" s="1"/>
  <c r="E100" i="15"/>
  <c r="K100" i="15" s="1"/>
  <c r="E99" i="21" s="1"/>
  <c r="V11" i="15"/>
  <c r="AC11" i="15" s="1"/>
  <c r="AG19" i="15"/>
  <c r="Z51" i="15"/>
  <c r="E78" i="15"/>
  <c r="K78" i="15" s="1"/>
  <c r="E77" i="21" s="1"/>
  <c r="E75" i="15"/>
  <c r="K75" i="15" s="1"/>
  <c r="E74" i="21" s="1"/>
  <c r="E40" i="15"/>
  <c r="K40" i="15" s="1"/>
  <c r="E39" i="21" s="1"/>
  <c r="V37" i="15"/>
  <c r="AC37" i="15" s="1"/>
  <c r="E22" i="15"/>
  <c r="K22" i="15" s="1"/>
  <c r="E21" i="21" s="1"/>
  <c r="V36" i="15"/>
  <c r="AC36" i="15" s="1"/>
  <c r="V9" i="15"/>
  <c r="AC9" i="15" s="1"/>
  <c r="E51" i="15"/>
  <c r="K51" i="15" s="1"/>
  <c r="E50" i="21" s="1"/>
  <c r="E72" i="15"/>
  <c r="K72" i="15" s="1"/>
  <c r="E71" i="21" s="1"/>
  <c r="E38" i="15"/>
  <c r="K38" i="15" s="1"/>
  <c r="E37" i="21" s="1"/>
  <c r="E48" i="15"/>
  <c r="K48" i="15" s="1"/>
  <c r="E47" i="21" s="1"/>
  <c r="V91" i="15"/>
  <c r="AC91" i="15" s="1"/>
  <c r="E41" i="17"/>
  <c r="V54" i="15"/>
  <c r="AC54" i="15" s="1"/>
  <c r="Z90" i="15"/>
  <c r="E10" i="15"/>
  <c r="K10" i="15" s="1"/>
  <c r="E9" i="21" s="1"/>
  <c r="E89" i="15"/>
  <c r="K89" i="15" s="1"/>
  <c r="E88" i="21" s="1"/>
  <c r="V71" i="15"/>
  <c r="AC71" i="15" s="1"/>
  <c r="V24" i="15"/>
  <c r="AC24" i="15" s="1"/>
  <c r="E21" i="15"/>
  <c r="K21" i="15" s="1"/>
  <c r="E20" i="21" s="1"/>
  <c r="E101" i="15"/>
  <c r="K101" i="15" s="1"/>
  <c r="E100" i="21" s="1"/>
  <c r="X76" i="15"/>
  <c r="AI76" i="15" s="1"/>
  <c r="E83" i="17"/>
  <c r="E68" i="15"/>
  <c r="K68" i="15" s="1"/>
  <c r="E67" i="21" s="1"/>
  <c r="V26" i="15"/>
  <c r="AC26" i="15" s="1"/>
  <c r="Z75" i="15"/>
  <c r="V22" i="15"/>
  <c r="AC22" i="15" s="1"/>
  <c r="C44" i="15"/>
  <c r="E51" i="17"/>
  <c r="E52" i="15"/>
  <c r="K52" i="15" s="1"/>
  <c r="E51" i="21" s="1"/>
  <c r="V87" i="15"/>
  <c r="AC87" i="15" s="1"/>
  <c r="X10" i="15"/>
  <c r="AI10" i="15" s="1"/>
  <c r="E74" i="17"/>
  <c r="X99" i="15"/>
  <c r="AI99" i="15" s="1"/>
  <c r="E26" i="15"/>
  <c r="K26" i="15" s="1"/>
  <c r="E25" i="21" s="1"/>
  <c r="V31" i="15"/>
  <c r="AC31" i="15" s="1"/>
  <c r="X79" i="15"/>
  <c r="AI79" i="15" s="1"/>
  <c r="E19" i="15"/>
  <c r="K19" i="15" s="1"/>
  <c r="E18" i="21" s="1"/>
  <c r="E94" i="17"/>
  <c r="T94" i="17" s="1"/>
  <c r="V55" i="15"/>
  <c r="AC55" i="15" s="1"/>
  <c r="V62" i="15"/>
  <c r="AC62" i="15" s="1"/>
  <c r="E96" i="17"/>
  <c r="T96" i="17" s="1"/>
  <c r="V64" i="15"/>
  <c r="AC64" i="15" s="1"/>
  <c r="E43" i="17"/>
  <c r="V14" i="15"/>
  <c r="AC14" i="15" s="1"/>
  <c r="E53" i="17"/>
  <c r="V100" i="15"/>
  <c r="AC100" i="15" s="1"/>
  <c r="E45" i="15"/>
  <c r="K45" i="15" s="1"/>
  <c r="E44" i="21" s="1"/>
  <c r="E70" i="15"/>
  <c r="K70" i="15" s="1"/>
  <c r="E69" i="21" s="1"/>
  <c r="E50" i="15"/>
  <c r="K50" i="15" s="1"/>
  <c r="E49" i="21" s="1"/>
  <c r="V77" i="15"/>
  <c r="AC77" i="15" s="1"/>
  <c r="E81" i="15"/>
  <c r="K81" i="15" s="1"/>
  <c r="E80" i="21" s="1"/>
  <c r="E90" i="15"/>
  <c r="K90" i="15" s="1"/>
  <c r="E89" i="21" s="1"/>
  <c r="V63" i="15"/>
  <c r="AC63" i="15" s="1"/>
  <c r="V33" i="15"/>
  <c r="AC33" i="15" s="1"/>
  <c r="V5" i="15"/>
  <c r="E20" i="15"/>
  <c r="K20" i="15" s="1"/>
  <c r="E19" i="21" s="1"/>
  <c r="E42" i="15"/>
  <c r="K42" i="15" s="1"/>
  <c r="E41" i="21" s="1"/>
  <c r="E12" i="15"/>
  <c r="K12" i="15" s="1"/>
  <c r="E11" i="21" s="1"/>
  <c r="E46" i="15"/>
  <c r="K46" i="15" s="1"/>
  <c r="E45" i="21" s="1"/>
  <c r="E34" i="15"/>
  <c r="K34" i="15" s="1"/>
  <c r="E53" i="15"/>
  <c r="K53" i="15" s="1"/>
  <c r="E52" i="21" s="1"/>
  <c r="X12" i="15"/>
  <c r="AI12" i="15" s="1"/>
  <c r="X42" i="15"/>
  <c r="AI42" i="15" s="1"/>
  <c r="E34" i="17"/>
  <c r="E16" i="15"/>
  <c r="K16" i="15" s="1"/>
  <c r="E15" i="21" s="1"/>
  <c r="E7" i="15"/>
  <c r="K7" i="15" s="1"/>
  <c r="E6" i="21" s="1"/>
  <c r="E83" i="15"/>
  <c r="K83" i="15" s="1"/>
  <c r="E82" i="21" s="1"/>
  <c r="V13" i="15"/>
  <c r="AC13" i="15" s="1"/>
  <c r="V57" i="15"/>
  <c r="AC57" i="15" s="1"/>
  <c r="X7" i="15"/>
  <c r="AI7" i="15" s="1"/>
  <c r="E12" i="17"/>
  <c r="E42" i="17"/>
  <c r="V6" i="15"/>
  <c r="AC6" i="15" s="1"/>
  <c r="E35" i="15"/>
  <c r="K35" i="15" s="1"/>
  <c r="E34" i="21" s="1"/>
  <c r="E37" i="15"/>
  <c r="K37" i="15" s="1"/>
  <c r="E36" i="21" s="1"/>
  <c r="E49" i="15"/>
  <c r="K49" i="15" s="1"/>
  <c r="E48" i="21" s="1"/>
  <c r="X21" i="15"/>
  <c r="AI21" i="15" s="1"/>
  <c r="E59" i="15"/>
  <c r="K59" i="15" s="1"/>
  <c r="E58" i="21" s="1"/>
  <c r="X46" i="15"/>
  <c r="AI46" i="15" s="1"/>
  <c r="E41" i="15"/>
  <c r="K41" i="15" s="1"/>
  <c r="E40" i="21" s="1"/>
  <c r="E10" i="17"/>
  <c r="X47" i="15"/>
  <c r="AI47" i="15" s="1"/>
  <c r="E98" i="15"/>
  <c r="K98" i="15" s="1"/>
  <c r="E97" i="21" s="1"/>
  <c r="E27" i="15"/>
  <c r="K27" i="15" s="1"/>
  <c r="E26" i="21" s="1"/>
  <c r="E99" i="17"/>
  <c r="T99" i="17" s="1"/>
  <c r="X101" i="15"/>
  <c r="AI101" i="15" s="1"/>
  <c r="E79" i="17"/>
  <c r="V85" i="15"/>
  <c r="AC85" i="15" s="1"/>
  <c r="V69" i="15"/>
  <c r="AC69" i="15" s="1"/>
  <c r="C52" i="15"/>
  <c r="X17" i="15"/>
  <c r="AI17" i="15" s="1"/>
  <c r="V25" i="15"/>
  <c r="AC25" i="15" s="1"/>
  <c r="X72" i="15"/>
  <c r="AI72" i="15" s="1"/>
  <c r="E64" i="15"/>
  <c r="K64" i="15" s="1"/>
  <c r="X52" i="15"/>
  <c r="AI52" i="15" s="1"/>
  <c r="E95" i="15"/>
  <c r="K95" i="15" s="1"/>
  <c r="E94" i="21" s="1"/>
  <c r="E8" i="15"/>
  <c r="K8" i="15" s="1"/>
  <c r="E7" i="21" s="1"/>
  <c r="V83" i="15"/>
  <c r="AC83" i="15" s="1"/>
  <c r="V48" i="15"/>
  <c r="AC48" i="15" s="1"/>
  <c r="E103" i="15"/>
  <c r="K103" i="15" s="1"/>
  <c r="E102" i="21" s="1"/>
  <c r="V49" i="15"/>
  <c r="AC49" i="15" s="1"/>
  <c r="E102" i="15"/>
  <c r="K102" i="15" s="1"/>
  <c r="E101" i="21" s="1"/>
  <c r="E77" i="15"/>
  <c r="K77" i="15" s="1"/>
  <c r="E76" i="21" s="1"/>
  <c r="Y105" i="15"/>
  <c r="AF26" i="15"/>
  <c r="AF92" i="15"/>
  <c r="AF100" i="15"/>
  <c r="AF68" i="15"/>
  <c r="AF24" i="15"/>
  <c r="AF61" i="15"/>
  <c r="AF13" i="15"/>
  <c r="AF88" i="15"/>
  <c r="AF58" i="15"/>
  <c r="AF54" i="15"/>
  <c r="Z95" i="15"/>
  <c r="AG95" i="15"/>
  <c r="AF60" i="15"/>
  <c r="AF30" i="15"/>
  <c r="AF91" i="15"/>
  <c r="AF55" i="15"/>
  <c r="AF87" i="15"/>
  <c r="AF93" i="15"/>
  <c r="AF33" i="15"/>
  <c r="AF89" i="15"/>
  <c r="AF69" i="15"/>
  <c r="AF25" i="15"/>
  <c r="AF11" i="15"/>
  <c r="AF28" i="15"/>
  <c r="AF67" i="15"/>
  <c r="AF71" i="15"/>
  <c r="AF56" i="15"/>
  <c r="AF62" i="15"/>
  <c r="AF29" i="15"/>
  <c r="AF27" i="15"/>
  <c r="AF64" i="15"/>
  <c r="AF86" i="15"/>
  <c r="AF31" i="15"/>
  <c r="AF32" i="15"/>
  <c r="AF14" i="15"/>
  <c r="AF59" i="15"/>
  <c r="AF63" i="15"/>
  <c r="AF66" i="15"/>
  <c r="AF65" i="15"/>
  <c r="AF9" i="15"/>
  <c r="AF85" i="15"/>
  <c r="AF73" i="15"/>
  <c r="AF57" i="15"/>
  <c r="AF84" i="15"/>
  <c r="C91" i="15"/>
  <c r="C25" i="15"/>
  <c r="C63" i="15"/>
  <c r="C88" i="15"/>
  <c r="C56" i="15"/>
  <c r="C65" i="15"/>
  <c r="C9" i="15"/>
  <c r="C58" i="15"/>
  <c r="C71" i="15"/>
  <c r="C86" i="15"/>
  <c r="C55" i="15"/>
  <c r="C69" i="15"/>
  <c r="C26" i="15"/>
  <c r="C66" i="15"/>
  <c r="C30" i="15"/>
  <c r="C87" i="15"/>
  <c r="C67" i="15"/>
  <c r="C33" i="15"/>
  <c r="C60" i="15"/>
  <c r="C14" i="15"/>
  <c r="C85" i="15"/>
  <c r="C31" i="15"/>
  <c r="C32" i="15"/>
  <c r="C57" i="15"/>
  <c r="C11" i="15"/>
  <c r="V68" i="15"/>
  <c r="AC68" i="15" s="1"/>
  <c r="C68" i="15"/>
  <c r="E60" i="17"/>
  <c r="X60" i="15"/>
  <c r="AI60" i="15" s="1"/>
  <c r="V27" i="15"/>
  <c r="AC27" i="15" s="1"/>
  <c r="C27" i="15"/>
  <c r="E24" i="17"/>
  <c r="X24" i="15"/>
  <c r="AI24" i="15" s="1"/>
  <c r="C100" i="15"/>
  <c r="V29" i="15"/>
  <c r="AC29" i="15" s="1"/>
  <c r="C29" i="15"/>
  <c r="E31" i="17"/>
  <c r="X31" i="15"/>
  <c r="AI31" i="15" s="1"/>
  <c r="E54" i="17"/>
  <c r="X54" i="15"/>
  <c r="AI54" i="15" s="1"/>
  <c r="E54" i="15"/>
  <c r="K54" i="15" s="1"/>
  <c r="E53" i="21" s="1"/>
  <c r="E87" i="17"/>
  <c r="T87" i="17" s="1"/>
  <c r="X87" i="15"/>
  <c r="AI87" i="15" s="1"/>
  <c r="E29" i="17"/>
  <c r="X29" i="15"/>
  <c r="AI29" i="15" s="1"/>
  <c r="C93" i="15"/>
  <c r="E87" i="15"/>
  <c r="K87" i="15" s="1"/>
  <c r="E86" i="21" s="1"/>
  <c r="V28" i="15"/>
  <c r="AC28" i="15" s="1"/>
  <c r="C28" i="15"/>
  <c r="E66" i="17"/>
  <c r="X66" i="15"/>
  <c r="AI66" i="15" s="1"/>
  <c r="E66" i="15"/>
  <c r="K66" i="15" s="1"/>
  <c r="E65" i="21" s="1"/>
  <c r="V61" i="15"/>
  <c r="AC61" i="15" s="1"/>
  <c r="C61" i="15"/>
  <c r="E32" i="17"/>
  <c r="X32" i="15"/>
  <c r="AI32" i="15" s="1"/>
  <c r="E32" i="15"/>
  <c r="K32" i="15" s="1"/>
  <c r="E31" i="21" s="1"/>
  <c r="E59" i="17"/>
  <c r="X59" i="15"/>
  <c r="AI59" i="15" s="1"/>
  <c r="E28" i="17"/>
  <c r="X28" i="15"/>
  <c r="AI28" i="15" s="1"/>
  <c r="V92" i="15"/>
  <c r="AC92" i="15" s="1"/>
  <c r="C92" i="15"/>
  <c r="E57" i="17"/>
  <c r="X57" i="15"/>
  <c r="AI57" i="15" s="1"/>
  <c r="E85" i="17"/>
  <c r="T85" i="17" s="1"/>
  <c r="X85" i="15"/>
  <c r="AI85" i="15" s="1"/>
  <c r="E55" i="17"/>
  <c r="X55" i="15"/>
  <c r="AI55" i="15" s="1"/>
  <c r="E61" i="17"/>
  <c r="X61" i="15"/>
  <c r="AI61" i="15" s="1"/>
  <c r="C73" i="15"/>
  <c r="E28" i="15"/>
  <c r="K28" i="15" s="1"/>
  <c r="E27" i="21" s="1"/>
  <c r="V59" i="15"/>
  <c r="AC59" i="15" s="1"/>
  <c r="C59" i="15"/>
  <c r="E67" i="17"/>
  <c r="X67" i="15"/>
  <c r="AI67" i="15" s="1"/>
  <c r="E33" i="17"/>
  <c r="X33" i="15"/>
  <c r="AI33" i="15" s="1"/>
  <c r="E33" i="15"/>
  <c r="K33" i="15" s="1"/>
  <c r="E32" i="21" s="1"/>
  <c r="E26" i="17"/>
  <c r="X26" i="15"/>
  <c r="AI26" i="15" s="1"/>
  <c r="E11" i="17"/>
  <c r="X11" i="15"/>
  <c r="AI11" i="15" s="1"/>
  <c r="E60" i="15"/>
  <c r="K60" i="15" s="1"/>
  <c r="C89" i="15"/>
  <c r="E24" i="15"/>
  <c r="K24" i="15" s="1"/>
  <c r="E23" i="21" s="1"/>
  <c r="E55" i="15"/>
  <c r="K55" i="15" s="1"/>
  <c r="E54" i="21" s="1"/>
  <c r="E88" i="17"/>
  <c r="T88" i="17" s="1"/>
  <c r="X88" i="15"/>
  <c r="AI88" i="15" s="1"/>
  <c r="E71" i="17"/>
  <c r="X71" i="15"/>
  <c r="AI71" i="15" s="1"/>
  <c r="E71" i="15"/>
  <c r="K71" i="15" s="1"/>
  <c r="E70" i="21" s="1"/>
  <c r="E14" i="17"/>
  <c r="X14" i="15"/>
  <c r="AI14" i="15" s="1"/>
  <c r="E58" i="17"/>
  <c r="X58" i="15"/>
  <c r="AI58" i="15" s="1"/>
  <c r="E73" i="17"/>
  <c r="X73" i="15"/>
  <c r="AI73" i="15" s="1"/>
  <c r="E92" i="17"/>
  <c r="T92" i="17" s="1"/>
  <c r="X92" i="15"/>
  <c r="AI92" i="15" s="1"/>
  <c r="E5" i="17"/>
  <c r="X5" i="15"/>
  <c r="AI5" i="15" s="1"/>
  <c r="E30" i="17"/>
  <c r="X30" i="15"/>
  <c r="AI30" i="15" s="1"/>
  <c r="E9" i="17"/>
  <c r="X9" i="15"/>
  <c r="AI9" i="15" s="1"/>
  <c r="C13" i="15"/>
  <c r="C62" i="15"/>
  <c r="E30" i="15"/>
  <c r="K30" i="15" s="1"/>
  <c r="E29" i="21" s="1"/>
  <c r="E92" i="15"/>
  <c r="K92" i="15" s="1"/>
  <c r="E91" i="21" s="1"/>
  <c r="E91" i="17"/>
  <c r="T91" i="17" s="1"/>
  <c r="X91" i="15"/>
  <c r="AI91" i="15" s="1"/>
  <c r="E86" i="17"/>
  <c r="T86" i="17" s="1"/>
  <c r="X86" i="15"/>
  <c r="AI86" i="15" s="1"/>
  <c r="E63" i="17"/>
  <c r="X63" i="15"/>
  <c r="AI63" i="15" s="1"/>
  <c r="W101" i="15"/>
  <c r="D101" i="15"/>
  <c r="J101" i="15" s="1"/>
  <c r="D100" i="21" s="1"/>
  <c r="E25" i="17"/>
  <c r="X25" i="15"/>
  <c r="AI25" i="15" s="1"/>
  <c r="E62" i="17"/>
  <c r="X62" i="15"/>
  <c r="AI62" i="15" s="1"/>
  <c r="E65" i="17"/>
  <c r="X65" i="15"/>
  <c r="AI65" i="15" s="1"/>
  <c r="E93" i="17"/>
  <c r="T93" i="17" s="1"/>
  <c r="X93" i="15"/>
  <c r="AI93" i="15" s="1"/>
  <c r="W102" i="15"/>
  <c r="D102" i="15"/>
  <c r="J102" i="15" s="1"/>
  <c r="D101" i="21" s="1"/>
  <c r="E68" i="17"/>
  <c r="X68" i="15"/>
  <c r="AI68" i="15" s="1"/>
  <c r="E89" i="17"/>
  <c r="T89" i="17" s="1"/>
  <c r="X89" i="15"/>
  <c r="AI89" i="15" s="1"/>
  <c r="E69" i="17"/>
  <c r="X69" i="15"/>
  <c r="AI69" i="15" s="1"/>
  <c r="E84" i="17"/>
  <c r="X84" i="15"/>
  <c r="AI84" i="15" s="1"/>
  <c r="E13" i="17"/>
  <c r="X13" i="15"/>
  <c r="AI13" i="15" s="1"/>
  <c r="E27" i="17"/>
  <c r="X27" i="15"/>
  <c r="AI27" i="15" s="1"/>
  <c r="W95" i="15"/>
  <c r="D95" i="15"/>
  <c r="E56" i="17"/>
  <c r="X56" i="15"/>
  <c r="AI56" i="15" s="1"/>
  <c r="E64" i="17"/>
  <c r="X64" i="15"/>
  <c r="AI64" i="15" s="1"/>
  <c r="E100" i="17"/>
  <c r="T100" i="17" s="1"/>
  <c r="X100" i="15"/>
  <c r="AI100" i="15" s="1"/>
  <c r="O47" i="1"/>
  <c r="E5" i="15"/>
  <c r="K5" i="15" s="1"/>
  <c r="C5" i="15"/>
  <c r="M47" i="1"/>
  <c r="E67" i="15"/>
  <c r="K67" i="15" s="1"/>
  <c r="E66" i="21" s="1"/>
  <c r="N24" i="10"/>
  <c r="J7" i="18" s="1"/>
  <c r="L19" i="19"/>
  <c r="K17" i="10"/>
  <c r="F4" i="18"/>
  <c r="N17" i="10"/>
  <c r="O19" i="19"/>
  <c r="L26" i="19"/>
  <c r="G8" i="18" s="1"/>
  <c r="K18" i="10"/>
  <c r="L20" i="19"/>
  <c r="J18" i="10"/>
  <c r="K20" i="19"/>
  <c r="K19" i="19"/>
  <c r="J17" i="10"/>
  <c r="L18" i="10"/>
  <c r="M20" i="19"/>
  <c r="L17" i="10"/>
  <c r="M19" i="19"/>
  <c r="O20" i="19"/>
  <c r="N18" i="10"/>
  <c r="K25" i="19"/>
  <c r="J23" i="10"/>
  <c r="O23" i="19"/>
  <c r="N21" i="10"/>
  <c r="N23" i="10"/>
  <c r="O25" i="19"/>
  <c r="M26" i="19"/>
  <c r="H8" i="18" s="1"/>
  <c r="L24" i="10"/>
  <c r="H7" i="18" s="1"/>
  <c r="H4" i="18"/>
  <c r="L21" i="10"/>
  <c r="M23" i="19"/>
  <c r="L23" i="19"/>
  <c r="K21" i="10"/>
  <c r="M25" i="19"/>
  <c r="L23" i="10"/>
  <c r="O26" i="19"/>
  <c r="J8" i="18" s="1"/>
  <c r="J4" i="18"/>
  <c r="J21" i="10"/>
  <c r="K23" i="19"/>
  <c r="L25" i="19"/>
  <c r="K23" i="10"/>
  <c r="K23" i="6"/>
  <c r="K31" i="5"/>
  <c r="N51" i="8"/>
  <c r="M17" i="6"/>
  <c r="M25" i="5"/>
  <c r="P45" i="8"/>
  <c r="H6" i="18"/>
  <c r="M24" i="6"/>
  <c r="H9" i="18" s="1"/>
  <c r="M32" i="5"/>
  <c r="P52" i="8"/>
  <c r="H11" i="18" s="1"/>
  <c r="M21" i="6"/>
  <c r="M29" i="5"/>
  <c r="P49" i="8"/>
  <c r="L26" i="5"/>
  <c r="L18" i="6"/>
  <c r="O46" i="8"/>
  <c r="O31" i="5"/>
  <c r="R51" i="8"/>
  <c r="O26" i="5"/>
  <c r="R46" i="8"/>
  <c r="O25" i="5"/>
  <c r="R45" i="8"/>
  <c r="L25" i="5"/>
  <c r="L17" i="6"/>
  <c r="O45" i="8"/>
  <c r="L21" i="6"/>
  <c r="L29" i="5"/>
  <c r="O49" i="8"/>
  <c r="M23" i="6"/>
  <c r="M31" i="5"/>
  <c r="P51" i="8"/>
  <c r="K26" i="5"/>
  <c r="K18" i="6"/>
  <c r="N46" i="8"/>
  <c r="O29" i="5"/>
  <c r="R49" i="8"/>
  <c r="O32" i="5"/>
  <c r="J9" i="18"/>
  <c r="R52" i="8"/>
  <c r="J11" i="18" s="1"/>
  <c r="K17" i="6"/>
  <c r="K25" i="5"/>
  <c r="N45" i="8"/>
  <c r="K21" i="6"/>
  <c r="K29" i="5"/>
  <c r="N49" i="8"/>
  <c r="L31" i="5"/>
  <c r="L23" i="6"/>
  <c r="O51" i="8"/>
  <c r="M26" i="5"/>
  <c r="M18" i="6"/>
  <c r="P46" i="8"/>
  <c r="C64" i="15"/>
  <c r="C84" i="15"/>
  <c r="C54" i="15"/>
  <c r="C24" i="15"/>
  <c r="R7" i="2"/>
  <c r="D49" i="15" l="1"/>
  <c r="J49" i="15" s="1"/>
  <c r="D48" i="21" s="1"/>
  <c r="D47" i="15"/>
  <c r="J47" i="15" s="1"/>
  <c r="D46" i="21" s="1"/>
  <c r="Z21" i="15"/>
  <c r="W8" i="15"/>
  <c r="AA8" i="15" s="1"/>
  <c r="W22" i="15"/>
  <c r="AH22" i="15" s="1"/>
  <c r="W48" i="15"/>
  <c r="W15" i="15"/>
  <c r="T44" i="17"/>
  <c r="W78" i="15"/>
  <c r="W16" i="15"/>
  <c r="W21" i="15"/>
  <c r="AH21" i="15" s="1"/>
  <c r="W20" i="15"/>
  <c r="W40" i="15"/>
  <c r="W7" i="15"/>
  <c r="AA7" i="15" s="1"/>
  <c r="Z12" i="15"/>
  <c r="AG70" i="15"/>
  <c r="W70" i="15"/>
  <c r="Z70" i="15"/>
  <c r="D72" i="15"/>
  <c r="J72" i="15" s="1"/>
  <c r="D71" i="21" s="1"/>
  <c r="AG21" i="15"/>
  <c r="W75" i="15"/>
  <c r="W46" i="15"/>
  <c r="T45" i="17"/>
  <c r="AG40" i="15"/>
  <c r="Z40" i="15"/>
  <c r="Z80" i="15"/>
  <c r="T46" i="17"/>
  <c r="D46" i="15"/>
  <c r="J46" i="15" s="1"/>
  <c r="D45" i="21" s="1"/>
  <c r="W72" i="15"/>
  <c r="AH72" i="15" s="1"/>
  <c r="Z7" i="15"/>
  <c r="W47" i="15"/>
  <c r="AH47" i="15" s="1"/>
  <c r="AG7" i="15"/>
  <c r="AG80" i="15"/>
  <c r="D22" i="15"/>
  <c r="J22" i="15" s="1"/>
  <c r="D21" i="21" s="1"/>
  <c r="D21" i="15"/>
  <c r="J21" i="15" s="1"/>
  <c r="D20" i="21" s="1"/>
  <c r="D20" i="15"/>
  <c r="J20" i="15" s="1"/>
  <c r="D19" i="21" s="1"/>
  <c r="AG74" i="15"/>
  <c r="T16" i="17"/>
  <c r="D16" i="15"/>
  <c r="J16" i="15" s="1"/>
  <c r="D15" i="21" s="1"/>
  <c r="D78" i="15"/>
  <c r="J78" i="15" s="1"/>
  <c r="D77" i="21" s="1"/>
  <c r="AG17" i="15"/>
  <c r="AG35" i="15"/>
  <c r="D75" i="15"/>
  <c r="J75" i="15" s="1"/>
  <c r="D74" i="21" s="1"/>
  <c r="Z35" i="15"/>
  <c r="Z17" i="15"/>
  <c r="D70" i="15"/>
  <c r="J70" i="15" s="1"/>
  <c r="D69" i="21" s="1"/>
  <c r="D48" i="15"/>
  <c r="J48" i="15" s="1"/>
  <c r="D47" i="21" s="1"/>
  <c r="AG81" i="15"/>
  <c r="W49" i="15"/>
  <c r="AH49" i="15" s="1"/>
  <c r="T49" i="17"/>
  <c r="D40" i="15"/>
  <c r="J40" i="15" s="1"/>
  <c r="D39" i="21" s="1"/>
  <c r="Z82" i="15"/>
  <c r="Z81" i="15"/>
  <c r="T68" i="17"/>
  <c r="T63" i="17"/>
  <c r="T73" i="17"/>
  <c r="T57" i="17"/>
  <c r="T59" i="17"/>
  <c r="T42" i="17"/>
  <c r="D36" i="15"/>
  <c r="J36" i="15" s="1"/>
  <c r="D35" i="21" s="1"/>
  <c r="T81" i="17"/>
  <c r="D45" i="15"/>
  <c r="J45" i="15" s="1"/>
  <c r="D44" i="21" s="1"/>
  <c r="T64" i="17"/>
  <c r="W45" i="15"/>
  <c r="AH45" i="15" s="1"/>
  <c r="T84" i="17"/>
  <c r="T62" i="17"/>
  <c r="T58" i="17"/>
  <c r="T67" i="17"/>
  <c r="T66" i="17"/>
  <c r="T60" i="17"/>
  <c r="T74" i="17"/>
  <c r="Z41" i="15"/>
  <c r="AG23" i="15"/>
  <c r="T40" i="17"/>
  <c r="T11" i="17"/>
  <c r="D38" i="15"/>
  <c r="J38" i="15" s="1"/>
  <c r="D37" i="21" s="1"/>
  <c r="Z74" i="15"/>
  <c r="W52" i="15"/>
  <c r="AA52" i="15" s="1"/>
  <c r="AG18" i="15"/>
  <c r="T23" i="17"/>
  <c r="W37" i="15"/>
  <c r="AA37" i="15" s="1"/>
  <c r="T56" i="17"/>
  <c r="D77" i="15"/>
  <c r="J77" i="15" s="1"/>
  <c r="D76" i="21" s="1"/>
  <c r="T38" i="17"/>
  <c r="T8" i="17"/>
  <c r="T21" i="17"/>
  <c r="T61" i="17"/>
  <c r="D34" i="15"/>
  <c r="J34" i="15" s="1"/>
  <c r="D33" i="21" s="1"/>
  <c r="L9" i="9" s="1"/>
  <c r="T15" i="17"/>
  <c r="W18" i="15"/>
  <c r="AA18" i="15" s="1"/>
  <c r="T69" i="17"/>
  <c r="T25" i="17"/>
  <c r="T9" i="17"/>
  <c r="T55" i="17"/>
  <c r="T39" i="17"/>
  <c r="T35" i="17"/>
  <c r="T78" i="17"/>
  <c r="D35" i="15"/>
  <c r="J35" i="15" s="1"/>
  <c r="D34" i="21" s="1"/>
  <c r="I21" i="9"/>
  <c r="W35" i="15"/>
  <c r="AA35" i="15" s="1"/>
  <c r="T13" i="17"/>
  <c r="T30" i="17"/>
  <c r="T28" i="17"/>
  <c r="D44" i="15"/>
  <c r="J44" i="15" s="1"/>
  <c r="D43" i="21" s="1"/>
  <c r="W44" i="15"/>
  <c r="AH44" i="15" s="1"/>
  <c r="T51" i="17"/>
  <c r="T76" i="17"/>
  <c r="T17" i="17"/>
  <c r="T82" i="17"/>
  <c r="T72" i="17"/>
  <c r="T47" i="17"/>
  <c r="T65" i="17"/>
  <c r="T5" i="17"/>
  <c r="T33" i="17"/>
  <c r="W6" i="15"/>
  <c r="AA6" i="15" s="1"/>
  <c r="D15" i="15"/>
  <c r="J15" i="15" s="1"/>
  <c r="D14" i="21" s="1"/>
  <c r="T79" i="17"/>
  <c r="E2" i="18"/>
  <c r="J47" i="4" s="1"/>
  <c r="J117" i="4" s="1"/>
  <c r="T70" i="17"/>
  <c r="T27" i="17"/>
  <c r="T14" i="17"/>
  <c r="W38" i="15"/>
  <c r="AA38" i="15" s="1"/>
  <c r="T29" i="17"/>
  <c r="T24" i="17"/>
  <c r="T7" i="17"/>
  <c r="T26" i="17"/>
  <c r="T32" i="17"/>
  <c r="T54" i="17"/>
  <c r="D7" i="15"/>
  <c r="J7" i="15" s="1"/>
  <c r="D6" i="21" s="1"/>
  <c r="T53" i="17"/>
  <c r="W83" i="15"/>
  <c r="AA83" i="15" s="1"/>
  <c r="D8" i="15"/>
  <c r="J8" i="15" s="1"/>
  <c r="D7" i="21" s="1"/>
  <c r="T71" i="17"/>
  <c r="T31" i="17"/>
  <c r="T10" i="17"/>
  <c r="T43" i="17"/>
  <c r="T41" i="17"/>
  <c r="Z18" i="15"/>
  <c r="AG41" i="15"/>
  <c r="W50" i="15"/>
  <c r="AA50" i="15" s="1"/>
  <c r="T75" i="17"/>
  <c r="T20" i="17"/>
  <c r="Z79" i="15"/>
  <c r="Z45" i="15"/>
  <c r="Z8" i="15"/>
  <c r="AA78" i="15"/>
  <c r="AB78" i="15" s="1"/>
  <c r="I78" i="15" s="1"/>
  <c r="C77" i="21" s="1"/>
  <c r="Z39" i="15"/>
  <c r="Z50" i="15"/>
  <c r="AG8" i="15"/>
  <c r="AG10" i="15"/>
  <c r="AG39" i="15"/>
  <c r="Z10" i="15"/>
  <c r="Z34" i="15"/>
  <c r="AG79" i="15"/>
  <c r="AG50" i="15"/>
  <c r="AG16" i="15"/>
  <c r="AG45" i="15"/>
  <c r="Z23" i="15"/>
  <c r="T50" i="17"/>
  <c r="W103" i="15"/>
  <c r="AA103" i="15" s="1"/>
  <c r="AA15" i="15"/>
  <c r="AB15" i="15" s="1"/>
  <c r="I15" i="15" s="1"/>
  <c r="C14" i="21" s="1"/>
  <c r="T34" i="17"/>
  <c r="T18" i="17"/>
  <c r="Z103" i="15"/>
  <c r="Z16" i="15"/>
  <c r="AG72" i="15"/>
  <c r="AG103" i="15"/>
  <c r="AG38" i="15"/>
  <c r="T36" i="17"/>
  <c r="D103" i="15"/>
  <c r="J103" i="15" s="1"/>
  <c r="D102" i="21" s="1"/>
  <c r="T97" i="17"/>
  <c r="T6" i="17"/>
  <c r="W19" i="15"/>
  <c r="AA19" i="15" s="1"/>
  <c r="AB19" i="15" s="1"/>
  <c r="I19" i="15" s="1"/>
  <c r="C18" i="21" s="1"/>
  <c r="T19" i="17"/>
  <c r="Z104" i="15"/>
  <c r="T77" i="17"/>
  <c r="T106" i="17"/>
  <c r="Z38" i="15"/>
  <c r="T83" i="17"/>
  <c r="T37" i="17"/>
  <c r="T104" i="17"/>
  <c r="W12" i="15"/>
  <c r="AH12" i="15" s="1"/>
  <c r="T12" i="17"/>
  <c r="AG104" i="15"/>
  <c r="D80" i="15"/>
  <c r="J80" i="15" s="1"/>
  <c r="D79" i="21" s="1"/>
  <c r="T80" i="17"/>
  <c r="AG34" i="15"/>
  <c r="Z72" i="15"/>
  <c r="T52" i="17"/>
  <c r="Z46" i="15"/>
  <c r="AG82" i="15"/>
  <c r="D52" i="15"/>
  <c r="J52" i="15" s="1"/>
  <c r="D51" i="21" s="1"/>
  <c r="AG96" i="15"/>
  <c r="AA95" i="15"/>
  <c r="AB95" i="15" s="1"/>
  <c r="I95" i="15" s="1"/>
  <c r="C94" i="21" s="1"/>
  <c r="AA75" i="15"/>
  <c r="AB75" i="15" s="1"/>
  <c r="I75" i="15" s="1"/>
  <c r="C74" i="21" s="1"/>
  <c r="Z42" i="15"/>
  <c r="AA20" i="15"/>
  <c r="AB20" i="15" s="1"/>
  <c r="I20" i="15" s="1"/>
  <c r="C19" i="21" s="1"/>
  <c r="D50" i="15"/>
  <c r="J50" i="15" s="1"/>
  <c r="D49" i="21" s="1"/>
  <c r="AA97" i="15"/>
  <c r="AE105" i="15"/>
  <c r="AD105" i="15"/>
  <c r="Z96" i="15"/>
  <c r="AF105" i="15"/>
  <c r="AG5" i="15"/>
  <c r="AC5" i="15"/>
  <c r="D97" i="15"/>
  <c r="J97" i="15" s="1"/>
  <c r="D96" i="21" s="1"/>
  <c r="K104" i="15"/>
  <c r="E103" i="21" s="1"/>
  <c r="D104" i="15"/>
  <c r="J104" i="15" s="1"/>
  <c r="I15" i="10"/>
  <c r="W104" i="15"/>
  <c r="AA104" i="15" s="1"/>
  <c r="N48" i="1"/>
  <c r="P48" i="1" s="1"/>
  <c r="AG33" i="15"/>
  <c r="Z13" i="15"/>
  <c r="AG91" i="15"/>
  <c r="AG24" i="15"/>
  <c r="AG30" i="15"/>
  <c r="D19" i="15"/>
  <c r="J19" i="15" s="1"/>
  <c r="D18" i="21" s="1"/>
  <c r="AG69" i="15"/>
  <c r="AG14" i="15"/>
  <c r="AG71" i="15"/>
  <c r="Z9" i="15"/>
  <c r="AG46" i="15"/>
  <c r="Z57" i="15"/>
  <c r="AG55" i="15"/>
  <c r="M14" i="9"/>
  <c r="D12" i="15"/>
  <c r="J12" i="15" s="1"/>
  <c r="D11" i="21" s="1"/>
  <c r="AG87" i="15"/>
  <c r="AG58" i="15"/>
  <c r="AG60" i="15"/>
  <c r="D37" i="15"/>
  <c r="J37" i="15" s="1"/>
  <c r="D36" i="21" s="1"/>
  <c r="AA46" i="15"/>
  <c r="AG31" i="15"/>
  <c r="Z93" i="15"/>
  <c r="Z89" i="15"/>
  <c r="AG88" i="15"/>
  <c r="Z54" i="15"/>
  <c r="AA22" i="15"/>
  <c r="Z25" i="15"/>
  <c r="AG63" i="15"/>
  <c r="J17" i="19"/>
  <c r="AG26" i="15"/>
  <c r="M46" i="8"/>
  <c r="Z64" i="15"/>
  <c r="AG67" i="15"/>
  <c r="J5" i="18"/>
  <c r="H5" i="18"/>
  <c r="H12" i="18" s="1"/>
  <c r="Z86" i="15"/>
  <c r="AG86" i="15"/>
  <c r="Z14" i="15"/>
  <c r="Z65" i="15"/>
  <c r="Z91" i="15"/>
  <c r="AG89" i="15"/>
  <c r="AG32" i="15"/>
  <c r="Z88" i="15"/>
  <c r="AG57" i="15"/>
  <c r="AG93" i="15"/>
  <c r="AG65" i="15"/>
  <c r="Z63" i="15"/>
  <c r="AG85" i="15"/>
  <c r="AG9" i="15"/>
  <c r="AG42" i="15"/>
  <c r="J30" i="5"/>
  <c r="AA101" i="15"/>
  <c r="AB101" i="15" s="1"/>
  <c r="I101" i="15" s="1"/>
  <c r="C100" i="21" s="1"/>
  <c r="Z24" i="15"/>
  <c r="D99" i="15"/>
  <c r="J99" i="15" s="1"/>
  <c r="D98" i="21" s="1"/>
  <c r="W81" i="15"/>
  <c r="AA81" i="15" s="1"/>
  <c r="AA16" i="15"/>
  <c r="AA70" i="15"/>
  <c r="AB70" i="15" s="1"/>
  <c r="I70" i="15" s="1"/>
  <c r="C69" i="21" s="1"/>
  <c r="Z60" i="15"/>
  <c r="J24" i="19"/>
  <c r="D74" i="15"/>
  <c r="J74" i="15" s="1"/>
  <c r="D73" i="21" s="1"/>
  <c r="D23" i="15"/>
  <c r="J23" i="15" s="1"/>
  <c r="D22" i="21" s="1"/>
  <c r="Z32" i="15"/>
  <c r="AG73" i="15"/>
  <c r="W80" i="15"/>
  <c r="AA80" i="15" s="1"/>
  <c r="W77" i="15"/>
  <c r="AA77" i="15" s="1"/>
  <c r="M50" i="8"/>
  <c r="I28" i="9"/>
  <c r="W23" i="15"/>
  <c r="AH23" i="15" s="1"/>
  <c r="D18" i="15"/>
  <c r="J18" i="15" s="1"/>
  <c r="D17" i="21" s="1"/>
  <c r="D6" i="15"/>
  <c r="J6" i="15" s="1"/>
  <c r="D5" i="21" s="1"/>
  <c r="Z84" i="15"/>
  <c r="W82" i="15"/>
  <c r="AA82" i="15" s="1"/>
  <c r="M51" i="8"/>
  <c r="AG84" i="15"/>
  <c r="Z71" i="15"/>
  <c r="AG54" i="15"/>
  <c r="W34" i="15"/>
  <c r="AA34" i="15" s="1"/>
  <c r="Z66" i="15"/>
  <c r="J23" i="5"/>
  <c r="D51" i="15"/>
  <c r="J51" i="15" s="1"/>
  <c r="D50" i="21" s="1"/>
  <c r="AG66" i="15"/>
  <c r="J23" i="6"/>
  <c r="J15" i="6"/>
  <c r="M43" i="8"/>
  <c r="AG64" i="15"/>
  <c r="M7" i="9"/>
  <c r="AA40" i="15"/>
  <c r="W51" i="15"/>
  <c r="AA51" i="15" s="1"/>
  <c r="AB51" i="15" s="1"/>
  <c r="I51" i="15" s="1"/>
  <c r="C50" i="21" s="1"/>
  <c r="Z85" i="15"/>
  <c r="Z97" i="15"/>
  <c r="AG97" i="15"/>
  <c r="D82" i="15"/>
  <c r="J82" i="15" s="1"/>
  <c r="D81" i="21" s="1"/>
  <c r="AA48" i="15"/>
  <c r="D42" i="15"/>
  <c r="J42" i="15" s="1"/>
  <c r="D41" i="21" s="1"/>
  <c r="AA102" i="15"/>
  <c r="AB102" i="15" s="1"/>
  <c r="I102" i="15" s="1"/>
  <c r="C101" i="21" s="1"/>
  <c r="D53" i="15"/>
  <c r="J53" i="15" s="1"/>
  <c r="D52" i="21" s="1"/>
  <c r="D81" i="15"/>
  <c r="J81" i="15" s="1"/>
  <c r="D80" i="21" s="1"/>
  <c r="Z69" i="15"/>
  <c r="Z73" i="15"/>
  <c r="D96" i="15"/>
  <c r="J96" i="15" s="1"/>
  <c r="D95" i="21" s="1"/>
  <c r="W96" i="15"/>
  <c r="AA96" i="15" s="1"/>
  <c r="W53" i="15"/>
  <c r="AA53" i="15" s="1"/>
  <c r="J18" i="6"/>
  <c r="K10" i="7"/>
  <c r="H47" i="7" s="1"/>
  <c r="Z58" i="15"/>
  <c r="J22" i="6"/>
  <c r="W99" i="15"/>
  <c r="AA99" i="15" s="1"/>
  <c r="AB99" i="15" s="1"/>
  <c r="I99" i="15" s="1"/>
  <c r="C98" i="21" s="1"/>
  <c r="I24" i="9"/>
  <c r="K14" i="7"/>
  <c r="H51" i="7" s="1"/>
  <c r="Z55" i="15"/>
  <c r="W74" i="15"/>
  <c r="AA74" i="15" s="1"/>
  <c r="AG53" i="15"/>
  <c r="M10" i="9"/>
  <c r="Z53" i="15"/>
  <c r="D17" i="15"/>
  <c r="J17" i="15" s="1"/>
  <c r="D16" i="21" s="1"/>
  <c r="J20" i="19"/>
  <c r="J26" i="5"/>
  <c r="Z30" i="15"/>
  <c r="W10" i="15"/>
  <c r="AA10" i="15" s="1"/>
  <c r="AG100" i="15"/>
  <c r="Z5" i="15"/>
  <c r="Z31" i="15"/>
  <c r="I22" i="10"/>
  <c r="W17" i="15"/>
  <c r="AH17" i="15" s="1"/>
  <c r="D90" i="15"/>
  <c r="J90" i="15" s="1"/>
  <c r="D89" i="21" s="1"/>
  <c r="Z100" i="15"/>
  <c r="Z62" i="15"/>
  <c r="Z67" i="15"/>
  <c r="AG83" i="15"/>
  <c r="Z83" i="15"/>
  <c r="AG22" i="15"/>
  <c r="Z22" i="15"/>
  <c r="W42" i="15"/>
  <c r="AA42" i="15" s="1"/>
  <c r="W90" i="15"/>
  <c r="AA90" i="15" s="1"/>
  <c r="AB90" i="15" s="1"/>
  <c r="I90" i="15" s="1"/>
  <c r="C89" i="21" s="1"/>
  <c r="W41" i="15"/>
  <c r="AA41" i="15" s="1"/>
  <c r="D43" i="15"/>
  <c r="J43" i="15" s="1"/>
  <c r="D42" i="21" s="1"/>
  <c r="D79" i="15"/>
  <c r="J79" i="15" s="1"/>
  <c r="D78" i="21" s="1"/>
  <c r="W76" i="15"/>
  <c r="AA76" i="15" s="1"/>
  <c r="AB76" i="15" s="1"/>
  <c r="I76" i="15" s="1"/>
  <c r="C75" i="21" s="1"/>
  <c r="D94" i="15"/>
  <c r="J94" i="15" s="1"/>
  <c r="AG11" i="15"/>
  <c r="AG56" i="15"/>
  <c r="AG25" i="15"/>
  <c r="AG62" i="15"/>
  <c r="Z33" i="15"/>
  <c r="AG6" i="15"/>
  <c r="Z6" i="15"/>
  <c r="AG44" i="15"/>
  <c r="Z44" i="15"/>
  <c r="Z48" i="15"/>
  <c r="AG48" i="15"/>
  <c r="AG52" i="15"/>
  <c r="Z52" i="15"/>
  <c r="Z49" i="15"/>
  <c r="AG49" i="15"/>
  <c r="AG37" i="15"/>
  <c r="Z37" i="15"/>
  <c r="D76" i="15"/>
  <c r="J76" i="15" s="1"/>
  <c r="D75" i="21" s="1"/>
  <c r="Z11" i="15"/>
  <c r="Z87" i="15"/>
  <c r="W43" i="15"/>
  <c r="AA43" i="15" s="1"/>
  <c r="AB43" i="15" s="1"/>
  <c r="I43" i="15" s="1"/>
  <c r="C42" i="21" s="1"/>
  <c r="W79" i="15"/>
  <c r="AA79" i="15" s="1"/>
  <c r="J31" i="5"/>
  <c r="M15" i="9"/>
  <c r="E63" i="21"/>
  <c r="D39" i="15"/>
  <c r="J39" i="15" s="1"/>
  <c r="D38" i="21" s="1"/>
  <c r="D98" i="15"/>
  <c r="J98" i="15" s="1"/>
  <c r="D97" i="21" s="1"/>
  <c r="I23" i="10"/>
  <c r="J25" i="19"/>
  <c r="Z26" i="15"/>
  <c r="AG13" i="15"/>
  <c r="W98" i="15"/>
  <c r="AA98" i="15" s="1"/>
  <c r="AB98" i="15" s="1"/>
  <c r="I98" i="15" s="1"/>
  <c r="C97" i="21" s="1"/>
  <c r="E59" i="21"/>
  <c r="AG77" i="15"/>
  <c r="Z77" i="15"/>
  <c r="W36" i="15"/>
  <c r="AA36" i="15" s="1"/>
  <c r="Z56" i="15"/>
  <c r="Z36" i="15"/>
  <c r="AG36" i="15"/>
  <c r="D41" i="15"/>
  <c r="J41" i="15" s="1"/>
  <c r="D40" i="21" s="1"/>
  <c r="I29" i="9"/>
  <c r="E33" i="21"/>
  <c r="E4" i="21"/>
  <c r="R97" i="21" s="1"/>
  <c r="D83" i="15"/>
  <c r="J83" i="15" s="1"/>
  <c r="D82" i="21" s="1"/>
  <c r="W39" i="15"/>
  <c r="AA39" i="15" s="1"/>
  <c r="D10" i="15"/>
  <c r="J10" i="15" s="1"/>
  <c r="D9" i="21" s="1"/>
  <c r="W94" i="15"/>
  <c r="AA94" i="15" s="1"/>
  <c r="AB94" i="15" s="1"/>
  <c r="I94" i="15" s="1"/>
  <c r="C93" i="21" s="1"/>
  <c r="E73" i="21"/>
  <c r="K11" i="7"/>
  <c r="H38" i="7" s="1"/>
  <c r="M8" i="9"/>
  <c r="W54" i="15"/>
  <c r="AA54" i="15" s="1"/>
  <c r="W64" i="15"/>
  <c r="AA64" i="15" s="1"/>
  <c r="W24" i="15"/>
  <c r="AA24" i="15" s="1"/>
  <c r="W32" i="15"/>
  <c r="AA32" i="15" s="1"/>
  <c r="W67" i="15"/>
  <c r="AA67" i="15" s="1"/>
  <c r="W84" i="15"/>
  <c r="AA84" i="15" s="1"/>
  <c r="W5" i="15"/>
  <c r="AH5" i="15" s="1"/>
  <c r="Z61" i="15"/>
  <c r="AG61" i="15"/>
  <c r="AG29" i="15"/>
  <c r="Z29" i="15"/>
  <c r="AG59" i="15"/>
  <c r="Z59" i="15"/>
  <c r="AG27" i="15"/>
  <c r="Z27" i="15"/>
  <c r="AG28" i="15"/>
  <c r="Z28" i="15"/>
  <c r="AG92" i="15"/>
  <c r="Z92" i="15"/>
  <c r="AG68" i="15"/>
  <c r="Z68" i="15"/>
  <c r="M11" i="9"/>
  <c r="F22" i="15"/>
  <c r="F102" i="15"/>
  <c r="F95" i="15"/>
  <c r="F101" i="15"/>
  <c r="AH15" i="15"/>
  <c r="AH16" i="15"/>
  <c r="AH8" i="15"/>
  <c r="J95" i="15"/>
  <c r="D94" i="21" s="1"/>
  <c r="AH101" i="15"/>
  <c r="AH75" i="15"/>
  <c r="AH95" i="15"/>
  <c r="AH20" i="15"/>
  <c r="AH40" i="15"/>
  <c r="AH102" i="15"/>
  <c r="AH48" i="15"/>
  <c r="AH46" i="15"/>
  <c r="AH70" i="15"/>
  <c r="AH97" i="15"/>
  <c r="AI105" i="15"/>
  <c r="AH78" i="15"/>
  <c r="J21" i="19"/>
  <c r="I25" i="9"/>
  <c r="D24" i="15"/>
  <c r="J24" i="15" s="1"/>
  <c r="D23" i="21" s="1"/>
  <c r="J18" i="19"/>
  <c r="I22" i="9"/>
  <c r="D32" i="15"/>
  <c r="J32" i="15" s="1"/>
  <c r="D31" i="21" s="1"/>
  <c r="M44" i="8"/>
  <c r="J16" i="6"/>
  <c r="I19" i="10"/>
  <c r="I16" i="10"/>
  <c r="D67" i="15"/>
  <c r="J67" i="15" s="1"/>
  <c r="D66" i="21" s="1"/>
  <c r="J24" i="5"/>
  <c r="D54" i="15"/>
  <c r="J54" i="15" s="1"/>
  <c r="D53" i="21" s="1"/>
  <c r="J19" i="6"/>
  <c r="W100" i="15"/>
  <c r="AA100" i="15" s="1"/>
  <c r="D100" i="15"/>
  <c r="J100" i="15" s="1"/>
  <c r="D99" i="21" s="1"/>
  <c r="W27" i="15"/>
  <c r="AA27" i="15" s="1"/>
  <c r="D27" i="15"/>
  <c r="J27" i="15" s="1"/>
  <c r="D26" i="21" s="1"/>
  <c r="W68" i="15"/>
  <c r="AA68" i="15" s="1"/>
  <c r="D68" i="15"/>
  <c r="J68" i="15" s="1"/>
  <c r="D67" i="21" s="1"/>
  <c r="W93" i="15"/>
  <c r="AA93" i="15" s="1"/>
  <c r="D93" i="15"/>
  <c r="J93" i="15" s="1"/>
  <c r="D92" i="21" s="1"/>
  <c r="W25" i="15"/>
  <c r="AA25" i="15" s="1"/>
  <c r="D25" i="15"/>
  <c r="J25" i="15" s="1"/>
  <c r="D24" i="21" s="1"/>
  <c r="W26" i="15"/>
  <c r="AA26" i="15" s="1"/>
  <c r="D26" i="15"/>
  <c r="J26" i="15" s="1"/>
  <c r="D25" i="21" s="1"/>
  <c r="W56" i="15"/>
  <c r="AA56" i="15" s="1"/>
  <c r="D56" i="15"/>
  <c r="J56" i="15" s="1"/>
  <c r="D55" i="21" s="1"/>
  <c r="W89" i="15"/>
  <c r="AA89" i="15" s="1"/>
  <c r="D89" i="15"/>
  <c r="J89" i="15" s="1"/>
  <c r="D88" i="21" s="1"/>
  <c r="W86" i="15"/>
  <c r="AA86" i="15" s="1"/>
  <c r="D86" i="15"/>
  <c r="J86" i="15" s="1"/>
  <c r="D85" i="21" s="1"/>
  <c r="W92" i="15"/>
  <c r="AA92" i="15" s="1"/>
  <c r="D92" i="15"/>
  <c r="J92" i="15" s="1"/>
  <c r="D91" i="21" s="1"/>
  <c r="W61" i="15"/>
  <c r="AA61" i="15" s="1"/>
  <c r="D61" i="15"/>
  <c r="J61" i="15" s="1"/>
  <c r="D60" i="21" s="1"/>
  <c r="W85" i="15"/>
  <c r="AA85" i="15" s="1"/>
  <c r="D85" i="15"/>
  <c r="J85" i="15" s="1"/>
  <c r="D84" i="21" s="1"/>
  <c r="W28" i="15"/>
  <c r="AA28" i="15" s="1"/>
  <c r="D28" i="15"/>
  <c r="J28" i="15" s="1"/>
  <c r="D27" i="21" s="1"/>
  <c r="W29" i="15"/>
  <c r="AA29" i="15" s="1"/>
  <c r="D29" i="15"/>
  <c r="J29" i="15" s="1"/>
  <c r="D28" i="21" s="1"/>
  <c r="W60" i="15"/>
  <c r="AA60" i="15" s="1"/>
  <c r="D60" i="15"/>
  <c r="J60" i="15" s="1"/>
  <c r="D59" i="21" s="1"/>
  <c r="W58" i="15"/>
  <c r="AA58" i="15" s="1"/>
  <c r="D58" i="15"/>
  <c r="J58" i="15" s="1"/>
  <c r="D57" i="21" s="1"/>
  <c r="D64" i="15"/>
  <c r="J64" i="15" s="1"/>
  <c r="D63" i="21" s="1"/>
  <c r="M47" i="8"/>
  <c r="W65" i="15"/>
  <c r="AA65" i="15" s="1"/>
  <c r="D65" i="15"/>
  <c r="J65" i="15" s="1"/>
  <c r="D64" i="21" s="1"/>
  <c r="W30" i="15"/>
  <c r="AA30" i="15" s="1"/>
  <c r="D30" i="15"/>
  <c r="J30" i="15" s="1"/>
  <c r="D29" i="21" s="1"/>
  <c r="W33" i="15"/>
  <c r="AA33" i="15" s="1"/>
  <c r="D33" i="15"/>
  <c r="J33" i="15" s="1"/>
  <c r="D32" i="21" s="1"/>
  <c r="W57" i="15"/>
  <c r="AA57" i="15" s="1"/>
  <c r="D57" i="15"/>
  <c r="J57" i="15" s="1"/>
  <c r="D56" i="21" s="1"/>
  <c r="W87" i="15"/>
  <c r="AA87" i="15" s="1"/>
  <c r="D87" i="15"/>
  <c r="J87" i="15" s="1"/>
  <c r="D86" i="21" s="1"/>
  <c r="W31" i="15"/>
  <c r="AA31" i="15" s="1"/>
  <c r="D31" i="15"/>
  <c r="J31" i="15" s="1"/>
  <c r="D30" i="21" s="1"/>
  <c r="W73" i="15"/>
  <c r="AA73" i="15" s="1"/>
  <c r="D73" i="15"/>
  <c r="J73" i="15" s="1"/>
  <c r="D72" i="21" s="1"/>
  <c r="W14" i="15"/>
  <c r="AA14" i="15" s="1"/>
  <c r="D14" i="15"/>
  <c r="J14" i="15" s="1"/>
  <c r="D13" i="21" s="1"/>
  <c r="W11" i="15"/>
  <c r="AA11" i="15" s="1"/>
  <c r="D11" i="15"/>
  <c r="J11" i="15" s="1"/>
  <c r="D10" i="21" s="1"/>
  <c r="W59" i="15"/>
  <c r="AA59" i="15" s="1"/>
  <c r="D59" i="15"/>
  <c r="J59" i="15" s="1"/>
  <c r="D58" i="21" s="1"/>
  <c r="W91" i="15"/>
  <c r="AA91" i="15" s="1"/>
  <c r="D91" i="15"/>
  <c r="J91" i="15" s="1"/>
  <c r="D90" i="21" s="1"/>
  <c r="W9" i="15"/>
  <c r="AA9" i="15" s="1"/>
  <c r="D9" i="15"/>
  <c r="J9" i="15" s="1"/>
  <c r="D8" i="21" s="1"/>
  <c r="W71" i="15"/>
  <c r="AA71" i="15" s="1"/>
  <c r="D71" i="15"/>
  <c r="J71" i="15" s="1"/>
  <c r="D70" i="21" s="1"/>
  <c r="W88" i="15"/>
  <c r="AA88" i="15" s="1"/>
  <c r="D88" i="15"/>
  <c r="J88" i="15" s="1"/>
  <c r="D87" i="21" s="1"/>
  <c r="W55" i="15"/>
  <c r="AA55" i="15" s="1"/>
  <c r="D55" i="15"/>
  <c r="J55" i="15" s="1"/>
  <c r="D54" i="21" s="1"/>
  <c r="J27" i="5"/>
  <c r="W13" i="15"/>
  <c r="AA13" i="15" s="1"/>
  <c r="D13" i="15"/>
  <c r="J13" i="15" s="1"/>
  <c r="D12" i="21" s="1"/>
  <c r="W62" i="15"/>
  <c r="AA62" i="15" s="1"/>
  <c r="D62" i="15"/>
  <c r="J62" i="15" s="1"/>
  <c r="D61" i="21" s="1"/>
  <c r="D84" i="15"/>
  <c r="J84" i="15" s="1"/>
  <c r="D5" i="15"/>
  <c r="J5" i="15" s="1"/>
  <c r="D4" i="21" s="1"/>
  <c r="W69" i="15"/>
  <c r="AA69" i="15" s="1"/>
  <c r="D69" i="15"/>
  <c r="J69" i="15" s="1"/>
  <c r="D68" i="21" s="1"/>
  <c r="W63" i="15"/>
  <c r="AA63" i="15" s="1"/>
  <c r="D63" i="15"/>
  <c r="J63" i="15" s="1"/>
  <c r="D62" i="21" s="1"/>
  <c r="W66" i="15"/>
  <c r="AA66" i="15" s="1"/>
  <c r="D66" i="15"/>
  <c r="J66" i="15" s="1"/>
  <c r="D65" i="21" s="1"/>
  <c r="N47" i="1"/>
  <c r="J6" i="18"/>
  <c r="G6" i="18"/>
  <c r="K24" i="10"/>
  <c r="G7" i="18" s="1"/>
  <c r="L24" i="6"/>
  <c r="G9" i="18" s="1"/>
  <c r="K4" i="18"/>
  <c r="F6" i="18"/>
  <c r="K26" i="19"/>
  <c r="F8" i="18" s="1"/>
  <c r="K24" i="6"/>
  <c r="F9" i="18" s="1"/>
  <c r="J24" i="10"/>
  <c r="F7" i="18" s="1"/>
  <c r="N52" i="8"/>
  <c r="F11" i="18" s="1"/>
  <c r="L14" i="10"/>
  <c r="K32" i="5"/>
  <c r="L15" i="10"/>
  <c r="M17" i="19"/>
  <c r="K21" i="19"/>
  <c r="J19" i="10"/>
  <c r="L17" i="19"/>
  <c r="K15" i="10"/>
  <c r="M18" i="19"/>
  <c r="L16" i="10"/>
  <c r="L32" i="5"/>
  <c r="J15" i="10"/>
  <c r="K17" i="19"/>
  <c r="J16" i="10"/>
  <c r="K18" i="19"/>
  <c r="M21" i="19"/>
  <c r="L19" i="10"/>
  <c r="O18" i="19"/>
  <c r="N16" i="10"/>
  <c r="L4" i="18"/>
  <c r="L18" i="19"/>
  <c r="K16" i="10"/>
  <c r="L21" i="19"/>
  <c r="K19" i="10"/>
  <c r="O52" i="8"/>
  <c r="G11" i="18" s="1"/>
  <c r="G4" i="18"/>
  <c r="N15" i="10"/>
  <c r="O17" i="19"/>
  <c r="N19" i="10"/>
  <c r="O21" i="19"/>
  <c r="J14" i="10"/>
  <c r="N14" i="10"/>
  <c r="L24" i="19"/>
  <c r="K22" i="10"/>
  <c r="K22" i="19"/>
  <c r="J20" i="10"/>
  <c r="M24" i="19"/>
  <c r="L22" i="10"/>
  <c r="K20" i="10"/>
  <c r="L22" i="19"/>
  <c r="M22" i="19"/>
  <c r="L20" i="10"/>
  <c r="O22" i="19"/>
  <c r="N20" i="10"/>
  <c r="N22" i="10"/>
  <c r="O24" i="19"/>
  <c r="K24" i="19"/>
  <c r="J22" i="10"/>
  <c r="M23" i="5"/>
  <c r="P43" i="8"/>
  <c r="M15" i="6"/>
  <c r="M22" i="6"/>
  <c r="M30" i="5"/>
  <c r="P50" i="8"/>
  <c r="L28" i="5"/>
  <c r="L20" i="6"/>
  <c r="O48" i="8"/>
  <c r="K27" i="5"/>
  <c r="K19" i="6"/>
  <c r="N47" i="8"/>
  <c r="N42" i="8"/>
  <c r="N6" i="9"/>
  <c r="L19" i="6"/>
  <c r="L27" i="5"/>
  <c r="O47" i="8"/>
  <c r="L23" i="5"/>
  <c r="L15" i="6"/>
  <c r="O43" i="8"/>
  <c r="M24" i="5"/>
  <c r="M16" i="6"/>
  <c r="P44" i="8"/>
  <c r="M28" i="5"/>
  <c r="M20" i="6"/>
  <c r="P48" i="8"/>
  <c r="K16" i="6"/>
  <c r="K24" i="5"/>
  <c r="N44" i="8"/>
  <c r="M19" i="6"/>
  <c r="M27" i="5"/>
  <c r="P47" i="8"/>
  <c r="O24" i="5"/>
  <c r="R44" i="8"/>
  <c r="O28" i="5"/>
  <c r="R48" i="8"/>
  <c r="O30" i="5"/>
  <c r="R50" i="8"/>
  <c r="R43" i="8"/>
  <c r="O15" i="6"/>
  <c r="O23" i="5"/>
  <c r="O27" i="5"/>
  <c r="R47" i="8"/>
  <c r="N43" i="8"/>
  <c r="K15" i="6"/>
  <c r="K23" i="5"/>
  <c r="L16" i="6"/>
  <c r="L24" i="5"/>
  <c r="O44" i="8"/>
  <c r="K22" i="6"/>
  <c r="K30" i="5"/>
  <c r="N50" i="8"/>
  <c r="R42" i="8"/>
  <c r="R6" i="9"/>
  <c r="L22" i="6"/>
  <c r="L30" i="5"/>
  <c r="O50" i="8"/>
  <c r="K28" i="5"/>
  <c r="K20" i="6"/>
  <c r="N48" i="8"/>
  <c r="R8" i="2"/>
  <c r="J56" i="4" l="1"/>
  <c r="J85" i="4"/>
  <c r="J116" i="4"/>
  <c r="J55" i="4"/>
  <c r="J84" i="4"/>
  <c r="AH7" i="15"/>
  <c r="F47" i="15"/>
  <c r="AA21" i="15"/>
  <c r="AB21" i="15" s="1"/>
  <c r="I21" i="15" s="1"/>
  <c r="C20" i="21" s="1"/>
  <c r="AB80" i="15"/>
  <c r="I80" i="15" s="1"/>
  <c r="C79" i="21" s="1"/>
  <c r="Q71" i="21"/>
  <c r="F49" i="15"/>
  <c r="F72" i="15"/>
  <c r="AB40" i="15"/>
  <c r="I40" i="15" s="1"/>
  <c r="C39" i="21" s="1"/>
  <c r="F46" i="15"/>
  <c r="AA47" i="15"/>
  <c r="AB47" i="15" s="1"/>
  <c r="I47" i="15" s="1"/>
  <c r="C46" i="21" s="1"/>
  <c r="AA72" i="15"/>
  <c r="AB72" i="15" s="1"/>
  <c r="I72" i="15" s="1"/>
  <c r="C71" i="21" s="1"/>
  <c r="AA12" i="15"/>
  <c r="AB12" i="15" s="1"/>
  <c r="I12" i="15" s="1"/>
  <c r="C11" i="21" s="1"/>
  <c r="AB7" i="15"/>
  <c r="I7" i="15" s="1"/>
  <c r="C6" i="21" s="1"/>
  <c r="F78" i="15"/>
  <c r="F21" i="15"/>
  <c r="F20" i="15"/>
  <c r="AA49" i="15"/>
  <c r="AB49" i="15" s="1"/>
  <c r="I49" i="15" s="1"/>
  <c r="C48" i="21" s="1"/>
  <c r="F16" i="15"/>
  <c r="AB81" i="15"/>
  <c r="I81" i="15" s="1"/>
  <c r="C80" i="21" s="1"/>
  <c r="F70" i="15"/>
  <c r="AB79" i="15"/>
  <c r="I79" i="15" s="1"/>
  <c r="C78" i="21" s="1"/>
  <c r="F7" i="15"/>
  <c r="AA44" i="15"/>
  <c r="AB44" i="15" s="1"/>
  <c r="I44" i="15" s="1"/>
  <c r="C43" i="21" s="1"/>
  <c r="F75" i="15"/>
  <c r="AB37" i="15"/>
  <c r="I37" i="15" s="1"/>
  <c r="C36" i="21" s="1"/>
  <c r="AH37" i="15"/>
  <c r="AH18" i="15"/>
  <c r="F35" i="15"/>
  <c r="AB35" i="15"/>
  <c r="I35" i="15" s="1"/>
  <c r="C34" i="21" s="1"/>
  <c r="I17" i="6"/>
  <c r="AH52" i="15"/>
  <c r="F48" i="15"/>
  <c r="AH35" i="15"/>
  <c r="AB18" i="15"/>
  <c r="I18" i="15" s="1"/>
  <c r="C17" i="21" s="1"/>
  <c r="I25" i="5"/>
  <c r="AB41" i="15"/>
  <c r="I41" i="15" s="1"/>
  <c r="C40" i="21" s="1"/>
  <c r="AB46" i="15"/>
  <c r="I46" i="15" s="1"/>
  <c r="C45" i="21" s="1"/>
  <c r="AH50" i="15"/>
  <c r="AH38" i="15"/>
  <c r="AB82" i="15"/>
  <c r="I82" i="15" s="1"/>
  <c r="C81" i="21" s="1"/>
  <c r="AH6" i="15"/>
  <c r="AH83" i="15"/>
  <c r="F77" i="15"/>
  <c r="F40" i="15"/>
  <c r="AB6" i="15"/>
  <c r="I6" i="15" s="1"/>
  <c r="C5" i="21" s="1"/>
  <c r="AB50" i="15"/>
  <c r="I50" i="15" s="1"/>
  <c r="C49" i="21" s="1"/>
  <c r="F36" i="15"/>
  <c r="F38" i="15"/>
  <c r="J93" i="4"/>
  <c r="J89" i="4"/>
  <c r="J97" i="4"/>
  <c r="J76" i="4"/>
  <c r="J105" i="4"/>
  <c r="J101" i="4"/>
  <c r="J72" i="4"/>
  <c r="J137" i="4"/>
  <c r="J95" i="4"/>
  <c r="J99" i="4"/>
  <c r="J91" i="4"/>
  <c r="J98" i="4"/>
  <c r="J102" i="4"/>
  <c r="J100" i="4"/>
  <c r="J104" i="4"/>
  <c r="J133" i="4"/>
  <c r="J68" i="4"/>
  <c r="J103" i="4"/>
  <c r="J90" i="4"/>
  <c r="J135" i="4"/>
  <c r="J63" i="4"/>
  <c r="J92" i="4"/>
  <c r="J129" i="4"/>
  <c r="J75" i="4"/>
  <c r="J96" i="4"/>
  <c r="J64" i="4"/>
  <c r="J134" i="4"/>
  <c r="J136" i="4"/>
  <c r="J71" i="4"/>
  <c r="J94" i="4"/>
  <c r="J67" i="4"/>
  <c r="J88" i="4"/>
  <c r="J86" i="4"/>
  <c r="J62" i="4"/>
  <c r="J58" i="4"/>
  <c r="J125" i="4"/>
  <c r="J132" i="4"/>
  <c r="J66" i="4"/>
  <c r="J60" i="4"/>
  <c r="J54" i="4"/>
  <c r="J70" i="4"/>
  <c r="J59" i="4"/>
  <c r="J74" i="4"/>
  <c r="J131" i="4"/>
  <c r="J130" i="4"/>
  <c r="J87" i="4"/>
  <c r="J121" i="4"/>
  <c r="J126" i="4"/>
  <c r="J73" i="4"/>
  <c r="J65" i="4"/>
  <c r="J69" i="4"/>
  <c r="J127" i="4"/>
  <c r="J128" i="4"/>
  <c r="J57" i="4"/>
  <c r="J82" i="4"/>
  <c r="J52" i="4"/>
  <c r="J83" i="4"/>
  <c r="J61" i="4"/>
  <c r="J53" i="4"/>
  <c r="J112" i="4"/>
  <c r="J80" i="4"/>
  <c r="J123" i="4"/>
  <c r="J51" i="4"/>
  <c r="J122" i="4"/>
  <c r="J124" i="4"/>
  <c r="J81" i="4"/>
  <c r="J118" i="4"/>
  <c r="J119" i="4"/>
  <c r="J120" i="4"/>
  <c r="J115" i="4"/>
  <c r="J114" i="4"/>
  <c r="J113" i="4"/>
  <c r="K15" i="9"/>
  <c r="F8" i="15"/>
  <c r="F34" i="15"/>
  <c r="F15" i="15"/>
  <c r="AA45" i="15"/>
  <c r="AB45" i="15" s="1"/>
  <c r="I45" i="15" s="1"/>
  <c r="C44" i="21" s="1"/>
  <c r="H17" i="10"/>
  <c r="F44" i="15"/>
  <c r="AB10" i="15"/>
  <c r="I10" i="15" s="1"/>
  <c r="C9" i="21" s="1"/>
  <c r="I15" i="16"/>
  <c r="I19" i="19"/>
  <c r="F45" i="15"/>
  <c r="L45" i="8"/>
  <c r="AB74" i="15"/>
  <c r="I74" i="15" s="1"/>
  <c r="C73" i="21" s="1"/>
  <c r="F103" i="15"/>
  <c r="AB39" i="15"/>
  <c r="I39" i="15" s="1"/>
  <c r="C38" i="21" s="1"/>
  <c r="AB103" i="15"/>
  <c r="I103" i="15" s="1"/>
  <c r="C102" i="21" s="1"/>
  <c r="AB34" i="15"/>
  <c r="I34" i="15" s="1"/>
  <c r="C33" i="21" s="1"/>
  <c r="F80" i="15"/>
  <c r="AH103" i="15"/>
  <c r="AB8" i="15"/>
  <c r="I8" i="15" s="1"/>
  <c r="C7" i="21" s="1"/>
  <c r="AB104" i="15"/>
  <c r="I104" i="15" s="1"/>
  <c r="C103" i="21" s="1"/>
  <c r="AH19" i="15"/>
  <c r="R78" i="21"/>
  <c r="R5" i="21"/>
  <c r="R24" i="21"/>
  <c r="R60" i="21"/>
  <c r="AB16" i="15"/>
  <c r="I16" i="15" s="1"/>
  <c r="C15" i="21" s="1"/>
  <c r="O15" i="16"/>
  <c r="R74" i="7"/>
  <c r="R77" i="7"/>
  <c r="R76" i="7"/>
  <c r="R75" i="7"/>
  <c r="R73" i="7"/>
  <c r="R78" i="7"/>
  <c r="Q80" i="21"/>
  <c r="Q31" i="21"/>
  <c r="AB38" i="15"/>
  <c r="I38" i="15" s="1"/>
  <c r="C37" i="21" s="1"/>
  <c r="Q8" i="21"/>
  <c r="Q56" i="21"/>
  <c r="R11" i="21"/>
  <c r="L15" i="16"/>
  <c r="F50" i="15"/>
  <c r="H15" i="16"/>
  <c r="K78" i="7"/>
  <c r="K75" i="7"/>
  <c r="K73" i="7"/>
  <c r="K77" i="7"/>
  <c r="K74" i="7"/>
  <c r="K76" i="7"/>
  <c r="R28" i="21"/>
  <c r="R9" i="21"/>
  <c r="R8" i="21"/>
  <c r="R40" i="21"/>
  <c r="R47" i="21"/>
  <c r="Q97" i="21"/>
  <c r="AB42" i="15"/>
  <c r="I42" i="15" s="1"/>
  <c r="C41" i="21" s="1"/>
  <c r="R87" i="21"/>
  <c r="R67" i="21"/>
  <c r="R32" i="21"/>
  <c r="R48" i="21"/>
  <c r="R43" i="21"/>
  <c r="R90" i="21"/>
  <c r="R77" i="21"/>
  <c r="R45" i="21"/>
  <c r="R21" i="21"/>
  <c r="R59" i="21"/>
  <c r="R61" i="21"/>
  <c r="R36" i="21"/>
  <c r="F19" i="15"/>
  <c r="R13" i="21"/>
  <c r="R42" i="21"/>
  <c r="R81" i="21"/>
  <c r="F97" i="15"/>
  <c r="F52" i="15"/>
  <c r="R6" i="21"/>
  <c r="R69" i="21"/>
  <c r="R20" i="21"/>
  <c r="R31" i="21"/>
  <c r="R95" i="21"/>
  <c r="Q77" i="21"/>
  <c r="Q47" i="21"/>
  <c r="F37" i="15"/>
  <c r="R29" i="21"/>
  <c r="R23" i="21"/>
  <c r="R52" i="21"/>
  <c r="AB96" i="15"/>
  <c r="I96" i="15" s="1"/>
  <c r="C95" i="21" s="1"/>
  <c r="Q65" i="21"/>
  <c r="Q61" i="21"/>
  <c r="Q87" i="21"/>
  <c r="Q58" i="21"/>
  <c r="Q30" i="21"/>
  <c r="Q29" i="21"/>
  <c r="Q23" i="21"/>
  <c r="Q20" i="21"/>
  <c r="R57" i="21"/>
  <c r="Q79" i="21"/>
  <c r="L49" i="8"/>
  <c r="AB64" i="15"/>
  <c r="I64" i="15" s="1"/>
  <c r="C63" i="21" s="1"/>
  <c r="R66" i="21"/>
  <c r="R27" i="21"/>
  <c r="R25" i="21"/>
  <c r="R49" i="21"/>
  <c r="R101" i="21"/>
  <c r="R82" i="21"/>
  <c r="R89" i="21"/>
  <c r="R100" i="21"/>
  <c r="Q63" i="21"/>
  <c r="Q27" i="21"/>
  <c r="Q85" i="21"/>
  <c r="Q24" i="21"/>
  <c r="Q99" i="21"/>
  <c r="I23" i="19"/>
  <c r="F12" i="15"/>
  <c r="Q95" i="21"/>
  <c r="R53" i="21"/>
  <c r="R44" i="21"/>
  <c r="R7" i="21"/>
  <c r="R94" i="21"/>
  <c r="R75" i="21"/>
  <c r="R84" i="21"/>
  <c r="Q76" i="21"/>
  <c r="I29" i="5"/>
  <c r="Q41" i="21"/>
  <c r="Q5" i="21"/>
  <c r="R88" i="21"/>
  <c r="Q46" i="21"/>
  <c r="Q44" i="21"/>
  <c r="R37" i="21"/>
  <c r="R85" i="21"/>
  <c r="R64" i="21"/>
  <c r="I30" i="9"/>
  <c r="K33" i="7"/>
  <c r="E3" i="18" s="1"/>
  <c r="J26" i="19"/>
  <c r="E8" i="18" s="1"/>
  <c r="Q54" i="21"/>
  <c r="Q90" i="21"/>
  <c r="Q72" i="21"/>
  <c r="Q32" i="21"/>
  <c r="Q57" i="21"/>
  <c r="Q75" i="21"/>
  <c r="Q17" i="21"/>
  <c r="Q22" i="21"/>
  <c r="Q98" i="21"/>
  <c r="Q96" i="21"/>
  <c r="Q35" i="21"/>
  <c r="Q51" i="21"/>
  <c r="Q69" i="21"/>
  <c r="Q19" i="21"/>
  <c r="Q84" i="21"/>
  <c r="Q92" i="21"/>
  <c r="F104" i="15"/>
  <c r="Q9" i="21"/>
  <c r="Q40" i="21"/>
  <c r="R63" i="21"/>
  <c r="Q89" i="21"/>
  <c r="Q81" i="21"/>
  <c r="Q73" i="21"/>
  <c r="R83" i="21"/>
  <c r="R38" i="21"/>
  <c r="R96" i="21"/>
  <c r="R76" i="21"/>
  <c r="R62" i="21"/>
  <c r="R22" i="21"/>
  <c r="Q100" i="21"/>
  <c r="R19" i="21"/>
  <c r="R35" i="21"/>
  <c r="R99" i="21"/>
  <c r="R98" i="21"/>
  <c r="R39" i="21"/>
  <c r="Q45" i="21"/>
  <c r="Q15" i="21"/>
  <c r="D103" i="21"/>
  <c r="I32" i="5" s="1"/>
  <c r="D5" i="18" s="1"/>
  <c r="Q34" i="21"/>
  <c r="Q59" i="21"/>
  <c r="Q55" i="21"/>
  <c r="Q82" i="21"/>
  <c r="Q74" i="21"/>
  <c r="Q101" i="21"/>
  <c r="Q48" i="21"/>
  <c r="Q62" i="21"/>
  <c r="Q12" i="21"/>
  <c r="Q70" i="21"/>
  <c r="Q10" i="21"/>
  <c r="Q86" i="21"/>
  <c r="Q64" i="21"/>
  <c r="Q66" i="21"/>
  <c r="I14" i="10"/>
  <c r="R30" i="21"/>
  <c r="R79" i="21"/>
  <c r="R17" i="21"/>
  <c r="R92" i="21"/>
  <c r="R68" i="21"/>
  <c r="R55" i="21"/>
  <c r="Q42" i="21"/>
  <c r="Q16" i="21"/>
  <c r="Q52" i="21"/>
  <c r="R18" i="21"/>
  <c r="R93" i="21"/>
  <c r="Q18" i="21"/>
  <c r="R46" i="21"/>
  <c r="R86" i="21"/>
  <c r="R71" i="21"/>
  <c r="R12" i="21"/>
  <c r="R72" i="21"/>
  <c r="R14" i="21"/>
  <c r="R70" i="21"/>
  <c r="R15" i="21"/>
  <c r="R34" i="21"/>
  <c r="R65" i="21"/>
  <c r="R51" i="21"/>
  <c r="Q49" i="21"/>
  <c r="R26" i="21"/>
  <c r="R10" i="21"/>
  <c r="Q102" i="21"/>
  <c r="Q33" i="21"/>
  <c r="Q14" i="21"/>
  <c r="Q37" i="21"/>
  <c r="Q39" i="21"/>
  <c r="Q60" i="21"/>
  <c r="Q67" i="21"/>
  <c r="Q94" i="21"/>
  <c r="AB97" i="15"/>
  <c r="I97" i="15" s="1"/>
  <c r="C96" i="21" s="1"/>
  <c r="Q50" i="21"/>
  <c r="Q28" i="21"/>
  <c r="Q91" i="21"/>
  <c r="Q25" i="21"/>
  <c r="Q26" i="21"/>
  <c r="Q36" i="21"/>
  <c r="Q11" i="21"/>
  <c r="R56" i="21"/>
  <c r="R54" i="21"/>
  <c r="R41" i="21"/>
  <c r="R74" i="21"/>
  <c r="R58" i="21"/>
  <c r="R50" i="21"/>
  <c r="R91" i="21"/>
  <c r="Q6" i="21"/>
  <c r="Q7" i="21"/>
  <c r="R80" i="21"/>
  <c r="Q21" i="21"/>
  <c r="R102" i="21"/>
  <c r="R16" i="21"/>
  <c r="AB13" i="15"/>
  <c r="I13" i="15" s="1"/>
  <c r="C12" i="21" s="1"/>
  <c r="AB89" i="15"/>
  <c r="I89" i="15" s="1"/>
  <c r="C88" i="21" s="1"/>
  <c r="AB93" i="15"/>
  <c r="I93" i="15" s="1"/>
  <c r="C92" i="21" s="1"/>
  <c r="H21" i="10"/>
  <c r="AH42" i="15"/>
  <c r="D10" i="18"/>
  <c r="AH104" i="15"/>
  <c r="F18" i="15"/>
  <c r="F99" i="15"/>
  <c r="F39" i="15"/>
  <c r="AB32" i="15"/>
  <c r="I32" i="15" s="1"/>
  <c r="C31" i="21" s="1"/>
  <c r="AH79" i="15"/>
  <c r="Q43" i="21"/>
  <c r="F74" i="15"/>
  <c r="AA17" i="15"/>
  <c r="AB17" i="15" s="1"/>
  <c r="I17" i="15" s="1"/>
  <c r="C16" i="21" s="1"/>
  <c r="Q68" i="21"/>
  <c r="J24" i="6"/>
  <c r="E9" i="18" s="1"/>
  <c r="AB9" i="15"/>
  <c r="I9" i="15" s="1"/>
  <c r="C8" i="21" s="1"/>
  <c r="AB14" i="15"/>
  <c r="I14" i="15" s="1"/>
  <c r="C13" i="21" s="1"/>
  <c r="AB57" i="15"/>
  <c r="I57" i="15" s="1"/>
  <c r="C56" i="21" s="1"/>
  <c r="E4" i="18"/>
  <c r="M13" i="9"/>
  <c r="R73" i="21"/>
  <c r="Q38" i="21"/>
  <c r="Q53" i="21"/>
  <c r="Q78" i="21"/>
  <c r="M9" i="9"/>
  <c r="R33" i="21"/>
  <c r="M16" i="9"/>
  <c r="E6" i="18" s="1"/>
  <c r="R103" i="21"/>
  <c r="V103" i="21" s="1"/>
  <c r="Q13" i="21"/>
  <c r="AB54" i="15"/>
  <c r="I54" i="15" s="1"/>
  <c r="C53" i="21" s="1"/>
  <c r="J12" i="18"/>
  <c r="AB25" i="15"/>
  <c r="I25" i="15" s="1"/>
  <c r="C24" i="21" s="1"/>
  <c r="M52" i="8"/>
  <c r="E11" i="18" s="1"/>
  <c r="F82" i="15"/>
  <c r="AB22" i="15"/>
  <c r="I22" i="15" s="1"/>
  <c r="C21" i="21" s="1"/>
  <c r="Q88" i="21"/>
  <c r="L13" i="9"/>
  <c r="I21" i="6"/>
  <c r="F5" i="18"/>
  <c r="F12" i="18" s="1"/>
  <c r="G5" i="18"/>
  <c r="G12" i="18" s="1"/>
  <c r="AC105" i="15"/>
  <c r="AB86" i="15"/>
  <c r="I86" i="15" s="1"/>
  <c r="C85" i="21" s="1"/>
  <c r="AB65" i="15"/>
  <c r="I65" i="15" s="1"/>
  <c r="C64" i="21" s="1"/>
  <c r="H37" i="7"/>
  <c r="AB60" i="15"/>
  <c r="I60" i="15" s="1"/>
  <c r="C59" i="21" s="1"/>
  <c r="AB66" i="15"/>
  <c r="I66" i="15" s="1"/>
  <c r="C65" i="21" s="1"/>
  <c r="AB30" i="15"/>
  <c r="I30" i="15" s="1"/>
  <c r="C29" i="21" s="1"/>
  <c r="AB63" i="15"/>
  <c r="I63" i="15" s="1"/>
  <c r="C62" i="21" s="1"/>
  <c r="AB24" i="15"/>
  <c r="I24" i="15" s="1"/>
  <c r="C23" i="21" s="1"/>
  <c r="AB91" i="15"/>
  <c r="I91" i="15" s="1"/>
  <c r="C90" i="21" s="1"/>
  <c r="AB85" i="15"/>
  <c r="I85" i="15" s="1"/>
  <c r="C84" i="21" s="1"/>
  <c r="AB88" i="15"/>
  <c r="I88" i="15" s="1"/>
  <c r="C87" i="21" s="1"/>
  <c r="AB73" i="15"/>
  <c r="I73" i="15" s="1"/>
  <c r="C72" i="21" s="1"/>
  <c r="H41" i="7"/>
  <c r="F53" i="15"/>
  <c r="AH81" i="15"/>
  <c r="AH77" i="15"/>
  <c r="AH82" i="15"/>
  <c r="F76" i="15"/>
  <c r="F51" i="15"/>
  <c r="AB84" i="15"/>
  <c r="I84" i="15" s="1"/>
  <c r="C83" i="21" s="1"/>
  <c r="AA23" i="15"/>
  <c r="AB23" i="15" s="1"/>
  <c r="I23" i="15" s="1"/>
  <c r="C22" i="21" s="1"/>
  <c r="AB83" i="15"/>
  <c r="I83" i="15" s="1"/>
  <c r="C82" i="21" s="1"/>
  <c r="F42" i="15"/>
  <c r="K15" i="7"/>
  <c r="H42" i="7" s="1"/>
  <c r="AB100" i="15"/>
  <c r="I100" i="15" s="1"/>
  <c r="C99" i="21" s="1"/>
  <c r="I24" i="10"/>
  <c r="E7" i="18" s="1"/>
  <c r="AH80" i="15"/>
  <c r="AH96" i="15"/>
  <c r="F23" i="15"/>
  <c r="AB52" i="15"/>
  <c r="I52" i="15" s="1"/>
  <c r="C51" i="21" s="1"/>
  <c r="AH51" i="15"/>
  <c r="F96" i="15"/>
  <c r="AB77" i="15"/>
  <c r="I77" i="15" s="1"/>
  <c r="C76" i="21" s="1"/>
  <c r="AB33" i="15"/>
  <c r="I33" i="15" s="1"/>
  <c r="C32" i="21" s="1"/>
  <c r="AB58" i="15"/>
  <c r="I58" i="15" s="1"/>
  <c r="C57" i="21" s="1"/>
  <c r="J32" i="5"/>
  <c r="F6" i="15"/>
  <c r="AH34" i="15"/>
  <c r="I18" i="6"/>
  <c r="AB69" i="15"/>
  <c r="I69" i="15" s="1"/>
  <c r="C68" i="21" s="1"/>
  <c r="AB71" i="15"/>
  <c r="I71" i="15" s="1"/>
  <c r="C70" i="21" s="1"/>
  <c r="AB11" i="15"/>
  <c r="I11" i="15" s="1"/>
  <c r="C10" i="21" s="1"/>
  <c r="H18" i="10"/>
  <c r="AH43" i="15"/>
  <c r="F81" i="15"/>
  <c r="I20" i="19"/>
  <c r="F90" i="15"/>
  <c r="L46" i="8"/>
  <c r="AH10" i="15"/>
  <c r="AH99" i="15"/>
  <c r="AB56" i="15"/>
  <c r="I56" i="15" s="1"/>
  <c r="C55" i="21" s="1"/>
  <c r="AH39" i="15"/>
  <c r="M42" i="8"/>
  <c r="F83" i="15"/>
  <c r="F17" i="15"/>
  <c r="AB48" i="15"/>
  <c r="I48" i="15" s="1"/>
  <c r="C47" i="21" s="1"/>
  <c r="I26" i="5"/>
  <c r="AH74" i="15"/>
  <c r="AB55" i="15"/>
  <c r="I55" i="15" s="1"/>
  <c r="C54" i="21" s="1"/>
  <c r="AB62" i="15"/>
  <c r="I62" i="15" s="1"/>
  <c r="C61" i="21" s="1"/>
  <c r="AB31" i="15"/>
  <c r="I31" i="15" s="1"/>
  <c r="C30" i="21" s="1"/>
  <c r="H31" i="5"/>
  <c r="K51" i="8"/>
  <c r="F41" i="15"/>
  <c r="AB53" i="15"/>
  <c r="I53" i="15" s="1"/>
  <c r="C52" i="21" s="1"/>
  <c r="AH90" i="15"/>
  <c r="AH98" i="15"/>
  <c r="AB26" i="15"/>
  <c r="I26" i="15" s="1"/>
  <c r="C25" i="21" s="1"/>
  <c r="L10" i="9"/>
  <c r="AH53" i="15"/>
  <c r="AB67" i="15"/>
  <c r="I67" i="15" s="1"/>
  <c r="C66" i="21" s="1"/>
  <c r="H23" i="6"/>
  <c r="J23" i="19"/>
  <c r="J21" i="6"/>
  <c r="I21" i="10"/>
  <c r="M49" i="8"/>
  <c r="K13" i="7"/>
  <c r="I27" i="9"/>
  <c r="J29" i="5"/>
  <c r="J19" i="19"/>
  <c r="J25" i="5"/>
  <c r="M45" i="8"/>
  <c r="I17" i="10"/>
  <c r="I23" i="9"/>
  <c r="J17" i="6"/>
  <c r="AH94" i="15"/>
  <c r="G23" i="10"/>
  <c r="AH76" i="15"/>
  <c r="F10" i="15"/>
  <c r="J22" i="19"/>
  <c r="J28" i="5"/>
  <c r="J20" i="6"/>
  <c r="I26" i="9"/>
  <c r="I20" i="10"/>
  <c r="M48" i="8"/>
  <c r="H25" i="19"/>
  <c r="AH41" i="15"/>
  <c r="F98" i="15"/>
  <c r="F94" i="15"/>
  <c r="M6" i="9"/>
  <c r="M12" i="9"/>
  <c r="D93" i="21"/>
  <c r="Q93" i="21" s="1"/>
  <c r="AB36" i="15"/>
  <c r="I36" i="15" s="1"/>
  <c r="C35" i="21" s="1"/>
  <c r="D83" i="21"/>
  <c r="AH36" i="15"/>
  <c r="F43" i="15"/>
  <c r="AB87" i="15"/>
  <c r="I87" i="15" s="1"/>
  <c r="C86" i="21" s="1"/>
  <c r="F79" i="15"/>
  <c r="K12" i="7"/>
  <c r="H48" i="7"/>
  <c r="O17" i="16"/>
  <c r="AH24" i="15"/>
  <c r="AH32" i="15"/>
  <c r="AB59" i="15"/>
  <c r="I59" i="15" s="1"/>
  <c r="C58" i="21" s="1"/>
  <c r="AH54" i="15"/>
  <c r="AH64" i="15"/>
  <c r="AB29" i="15"/>
  <c r="I29" i="15" s="1"/>
  <c r="C28" i="21" s="1"/>
  <c r="AA5" i="15"/>
  <c r="AB5" i="15" s="1"/>
  <c r="I5" i="15" s="1"/>
  <c r="C4" i="21" s="1"/>
  <c r="AB61" i="15"/>
  <c r="I61" i="15" s="1"/>
  <c r="C60" i="21" s="1"/>
  <c r="AB92" i="15"/>
  <c r="I92" i="15" s="1"/>
  <c r="C91" i="21" s="1"/>
  <c r="AB68" i="15"/>
  <c r="I68" i="15" s="1"/>
  <c r="C67" i="21" s="1"/>
  <c r="AB28" i="15"/>
  <c r="I28" i="15" s="1"/>
  <c r="C27" i="21" s="1"/>
  <c r="AH67" i="15"/>
  <c r="AB27" i="15"/>
  <c r="I27" i="15" s="1"/>
  <c r="C26" i="21" s="1"/>
  <c r="AH84" i="15"/>
  <c r="AG105" i="15"/>
  <c r="F62" i="15"/>
  <c r="F32" i="15"/>
  <c r="F9" i="15"/>
  <c r="F27" i="15"/>
  <c r="F91" i="15"/>
  <c r="F14" i="15"/>
  <c r="F87" i="15"/>
  <c r="F64" i="15"/>
  <c r="F68" i="15"/>
  <c r="F73" i="15"/>
  <c r="F54" i="15"/>
  <c r="F65" i="15"/>
  <c r="F88" i="15"/>
  <c r="F57" i="15"/>
  <c r="F13" i="15"/>
  <c r="F93" i="15"/>
  <c r="F61" i="15"/>
  <c r="F11" i="15"/>
  <c r="F24" i="15"/>
  <c r="F63" i="15"/>
  <c r="F29" i="15"/>
  <c r="F100" i="15"/>
  <c r="F67" i="15"/>
  <c r="F5" i="15"/>
  <c r="F55" i="15"/>
  <c r="F30" i="15"/>
  <c r="F71" i="15"/>
  <c r="F69" i="15"/>
  <c r="F58" i="15"/>
  <c r="F26" i="15"/>
  <c r="F92" i="15"/>
  <c r="F28" i="15"/>
  <c r="F59" i="15"/>
  <c r="F33" i="15"/>
  <c r="F86" i="15"/>
  <c r="F66" i="15"/>
  <c r="F60" i="15"/>
  <c r="F85" i="15"/>
  <c r="F84" i="15"/>
  <c r="I17" i="7" s="1"/>
  <c r="F89" i="15"/>
  <c r="F25" i="15"/>
  <c r="F56" i="15"/>
  <c r="F31" i="15"/>
  <c r="AH30" i="15"/>
  <c r="AH61" i="15"/>
  <c r="AH56" i="15"/>
  <c r="AH68" i="15"/>
  <c r="AH63" i="15"/>
  <c r="AH9" i="15"/>
  <c r="AH14" i="15"/>
  <c r="AH87" i="15"/>
  <c r="AH29" i="15"/>
  <c r="AH65" i="15"/>
  <c r="AH92" i="15"/>
  <c r="AH26" i="15"/>
  <c r="AH27" i="15"/>
  <c r="AH69" i="15"/>
  <c r="AH55" i="15"/>
  <c r="AH91" i="15"/>
  <c r="AH73" i="15"/>
  <c r="AH57" i="15"/>
  <c r="AH62" i="15"/>
  <c r="AH28" i="15"/>
  <c r="AH86" i="15"/>
  <c r="AH25" i="15"/>
  <c r="AH100" i="15"/>
  <c r="AH88" i="15"/>
  <c r="AH59" i="15"/>
  <c r="AH66" i="15"/>
  <c r="AH13" i="15"/>
  <c r="AH33" i="15"/>
  <c r="AH85" i="15"/>
  <c r="AH89" i="15"/>
  <c r="AH93" i="15"/>
  <c r="AH71" i="15"/>
  <c r="AH11" i="15"/>
  <c r="AH31" i="15"/>
  <c r="AH58" i="15"/>
  <c r="AH60" i="15"/>
  <c r="I18" i="19"/>
  <c r="I16" i="6"/>
  <c r="L44" i="8"/>
  <c r="L8" i="9"/>
  <c r="I24" i="5"/>
  <c r="H16" i="10"/>
  <c r="I27" i="5"/>
  <c r="I22" i="19"/>
  <c r="L48" i="8"/>
  <c r="I21" i="19"/>
  <c r="L47" i="8"/>
  <c r="I28" i="5"/>
  <c r="H19" i="10"/>
  <c r="H20" i="10"/>
  <c r="I20" i="6"/>
  <c r="I19" i="6"/>
  <c r="L12" i="9"/>
  <c r="L11" i="9"/>
  <c r="H14" i="10"/>
  <c r="L6" i="9"/>
  <c r="L42" i="8"/>
  <c r="L7" i="9"/>
  <c r="I15" i="6"/>
  <c r="H15" i="10"/>
  <c r="I23" i="5"/>
  <c r="L43" i="8"/>
  <c r="I17" i="19"/>
  <c r="P6" i="9"/>
  <c r="K14" i="10"/>
  <c r="P42" i="8"/>
  <c r="O42" i="8"/>
  <c r="O6" i="9"/>
  <c r="R9" i="2"/>
  <c r="K16" i="9" l="1"/>
  <c r="C6" i="18" s="1"/>
  <c r="H23" i="19"/>
  <c r="K13" i="9"/>
  <c r="G21" i="10"/>
  <c r="H24" i="6"/>
  <c r="C9" i="18" s="1"/>
  <c r="V97" i="21"/>
  <c r="V91" i="21"/>
  <c r="V26" i="21"/>
  <c r="H21" i="9"/>
  <c r="G29" i="9"/>
  <c r="I13" i="7"/>
  <c r="F50" i="7" s="1"/>
  <c r="G25" i="9"/>
  <c r="J10" i="7"/>
  <c r="G47" i="7" s="1"/>
  <c r="H16" i="6"/>
  <c r="V94" i="21"/>
  <c r="V49" i="21"/>
  <c r="V31" i="21"/>
  <c r="V13" i="21"/>
  <c r="V77" i="21"/>
  <c r="G30" i="9"/>
  <c r="J11" i="7"/>
  <c r="G48" i="7" s="1"/>
  <c r="H26" i="9"/>
  <c r="V56" i="21"/>
  <c r="V70" i="21"/>
  <c r="V93" i="21"/>
  <c r="V17" i="21"/>
  <c r="V35" i="21"/>
  <c r="V83" i="21"/>
  <c r="V88" i="21"/>
  <c r="V7" i="21"/>
  <c r="V25" i="21"/>
  <c r="V52" i="21"/>
  <c r="V20" i="21"/>
  <c r="V90" i="21"/>
  <c r="V47" i="21"/>
  <c r="H32" i="5"/>
  <c r="C5" i="18" s="1"/>
  <c r="J12" i="7"/>
  <c r="G49" i="7" s="1"/>
  <c r="I15" i="7"/>
  <c r="F52" i="7" s="1"/>
  <c r="V10" i="21"/>
  <c r="V14" i="21"/>
  <c r="V18" i="21"/>
  <c r="V79" i="21"/>
  <c r="V19" i="21"/>
  <c r="H25" i="5"/>
  <c r="I33" i="7"/>
  <c r="C3" i="18" s="1"/>
  <c r="H27" i="9"/>
  <c r="V72" i="21"/>
  <c r="V30" i="21"/>
  <c r="V44" i="21"/>
  <c r="V27" i="21"/>
  <c r="V23" i="21"/>
  <c r="V69" i="21"/>
  <c r="V43" i="21"/>
  <c r="V40" i="21"/>
  <c r="H29" i="5"/>
  <c r="C2" i="18"/>
  <c r="H47" i="4" s="1"/>
  <c r="H117" i="4" s="1"/>
  <c r="G27" i="9"/>
  <c r="V73" i="21"/>
  <c r="V50" i="21"/>
  <c r="V12" i="21"/>
  <c r="V22" i="21"/>
  <c r="V53" i="21"/>
  <c r="V66" i="21"/>
  <c r="V29" i="21"/>
  <c r="V6" i="21"/>
  <c r="V36" i="21"/>
  <c r="V48" i="21"/>
  <c r="V8" i="21"/>
  <c r="K52" i="8"/>
  <c r="C11" i="18" s="1"/>
  <c r="V62" i="21"/>
  <c r="V100" i="21"/>
  <c r="V61" i="21"/>
  <c r="V60" i="21"/>
  <c r="V67" i="21"/>
  <c r="V24" i="21"/>
  <c r="G24" i="10"/>
  <c r="C7" i="18" s="1"/>
  <c r="D2" i="18"/>
  <c r="H23" i="9"/>
  <c r="V16" i="21"/>
  <c r="V58" i="21"/>
  <c r="V71" i="21"/>
  <c r="V63" i="21"/>
  <c r="V64" i="21"/>
  <c r="V9" i="21"/>
  <c r="K49" i="8"/>
  <c r="I20" i="7"/>
  <c r="V102" i="21"/>
  <c r="V65" i="21"/>
  <c r="V55" i="21"/>
  <c r="V76" i="21"/>
  <c r="V89" i="21"/>
  <c r="V59" i="21"/>
  <c r="V28" i="21"/>
  <c r="V11" i="21"/>
  <c r="H22" i="9"/>
  <c r="V33" i="21"/>
  <c r="V41" i="21"/>
  <c r="V34" i="21"/>
  <c r="V46" i="21"/>
  <c r="V68" i="21"/>
  <c r="V98" i="21"/>
  <c r="V96" i="21"/>
  <c r="V37" i="21"/>
  <c r="V84" i="21"/>
  <c r="V82" i="21"/>
  <c r="V81" i="21"/>
  <c r="V21" i="21"/>
  <c r="V87" i="21"/>
  <c r="V5" i="21"/>
  <c r="H26" i="19"/>
  <c r="C8" i="18" s="1"/>
  <c r="J13" i="7"/>
  <c r="G50" i="7" s="1"/>
  <c r="V51" i="21"/>
  <c r="V32" i="21"/>
  <c r="V74" i="21"/>
  <c r="V86" i="21"/>
  <c r="V39" i="21"/>
  <c r="V85" i="21"/>
  <c r="H25" i="9"/>
  <c r="G17" i="10"/>
  <c r="H21" i="6"/>
  <c r="H24" i="9"/>
  <c r="V80" i="21"/>
  <c r="V54" i="21"/>
  <c r="V15" i="21"/>
  <c r="V92" i="21"/>
  <c r="V99" i="21"/>
  <c r="V38" i="21"/>
  <c r="I22" i="7"/>
  <c r="V75" i="21"/>
  <c r="V101" i="21"/>
  <c r="V57" i="21"/>
  <c r="V95" i="21"/>
  <c r="V42" i="21"/>
  <c r="V45" i="21"/>
  <c r="V78" i="21"/>
  <c r="K45" i="8"/>
  <c r="G23" i="9"/>
  <c r="H19" i="19"/>
  <c r="H17" i="6"/>
  <c r="K9" i="9"/>
  <c r="C4" i="18"/>
  <c r="H20" i="19"/>
  <c r="G26" i="9"/>
  <c r="G22" i="10"/>
  <c r="H20" i="6"/>
  <c r="K46" i="8"/>
  <c r="H26" i="5"/>
  <c r="G18" i="10"/>
  <c r="L52" i="8"/>
  <c r="D11" i="18" s="1"/>
  <c r="D4" i="18"/>
  <c r="L16" i="9"/>
  <c r="D6" i="18" s="1"/>
  <c r="H24" i="10"/>
  <c r="D7" i="18" s="1"/>
  <c r="J33" i="7"/>
  <c r="D3" i="18" s="1"/>
  <c r="H28" i="5"/>
  <c r="M15" i="16"/>
  <c r="P75" i="7"/>
  <c r="P76" i="7"/>
  <c r="P78" i="7"/>
  <c r="P73" i="7"/>
  <c r="P74" i="7"/>
  <c r="P77" i="7"/>
  <c r="F15" i="16"/>
  <c r="I76" i="7"/>
  <c r="I78" i="7"/>
  <c r="I73" i="7"/>
  <c r="I74" i="7"/>
  <c r="I75" i="7"/>
  <c r="I77" i="7"/>
  <c r="H22" i="19"/>
  <c r="K48" i="8"/>
  <c r="G20" i="10"/>
  <c r="I12" i="7"/>
  <c r="F39" i="7" s="1"/>
  <c r="K12" i="9"/>
  <c r="G24" i="9"/>
  <c r="H18" i="6"/>
  <c r="K10" i="9"/>
  <c r="I10" i="7"/>
  <c r="F37" i="7" s="1"/>
  <c r="J15" i="7"/>
  <c r="G52" i="7" s="1"/>
  <c r="K11" i="9"/>
  <c r="H30" i="9"/>
  <c r="I24" i="6"/>
  <c r="D9" i="18" s="1"/>
  <c r="I26" i="19"/>
  <c r="D8" i="18" s="1"/>
  <c r="Q103" i="21"/>
  <c r="U70" i="21" s="1"/>
  <c r="I11" i="7"/>
  <c r="F48" i="7" s="1"/>
  <c r="H21" i="19"/>
  <c r="G19" i="10"/>
  <c r="G15" i="10"/>
  <c r="K47" i="8"/>
  <c r="H19" i="6"/>
  <c r="H24" i="5"/>
  <c r="H27" i="5"/>
  <c r="I30" i="5"/>
  <c r="Q83" i="21"/>
  <c r="E5" i="18"/>
  <c r="E12" i="18" s="1"/>
  <c r="G16" i="10"/>
  <c r="K44" i="8"/>
  <c r="K8" i="9"/>
  <c r="H18" i="19"/>
  <c r="G22" i="9"/>
  <c r="H30" i="5"/>
  <c r="I14" i="7"/>
  <c r="F41" i="7" s="1"/>
  <c r="K14" i="9"/>
  <c r="H22" i="6"/>
  <c r="G28" i="9"/>
  <c r="K50" i="8"/>
  <c r="H24" i="19"/>
  <c r="H52" i="7"/>
  <c r="P9" i="21"/>
  <c r="P17" i="21"/>
  <c r="P25" i="21"/>
  <c r="P33" i="21"/>
  <c r="P41" i="21"/>
  <c r="P49" i="21"/>
  <c r="P57" i="21"/>
  <c r="P65" i="21"/>
  <c r="P73" i="21"/>
  <c r="P81" i="21"/>
  <c r="P89" i="21"/>
  <c r="P97" i="21"/>
  <c r="P11" i="21"/>
  <c r="P27" i="21"/>
  <c r="P43" i="21"/>
  <c r="P59" i="21"/>
  <c r="P75" i="21"/>
  <c r="P91" i="21"/>
  <c r="P45" i="21"/>
  <c r="P69" i="21"/>
  <c r="P93" i="21"/>
  <c r="P14" i="21"/>
  <c r="P38" i="21"/>
  <c r="P54" i="21"/>
  <c r="P78" i="21"/>
  <c r="P23" i="21"/>
  <c r="P47" i="21"/>
  <c r="P63" i="21"/>
  <c r="P87" i="21"/>
  <c r="P16" i="21"/>
  <c r="P40" i="21"/>
  <c r="P64" i="21"/>
  <c r="P88" i="21"/>
  <c r="P5" i="21"/>
  <c r="P10" i="21"/>
  <c r="P18" i="21"/>
  <c r="P26" i="21"/>
  <c r="P34" i="21"/>
  <c r="P42" i="21"/>
  <c r="P50" i="21"/>
  <c r="P58" i="21"/>
  <c r="P66" i="21"/>
  <c r="P74" i="21"/>
  <c r="P82" i="21"/>
  <c r="P90" i="21"/>
  <c r="P98" i="21"/>
  <c r="P19" i="21"/>
  <c r="P35" i="21"/>
  <c r="P51" i="21"/>
  <c r="P67" i="21"/>
  <c r="P83" i="21"/>
  <c r="P99" i="21"/>
  <c r="P53" i="21"/>
  <c r="P77" i="21"/>
  <c r="P101" i="21"/>
  <c r="P6" i="21"/>
  <c r="P30" i="21"/>
  <c r="P62" i="21"/>
  <c r="P94" i="21"/>
  <c r="P15" i="21"/>
  <c r="P39" i="21"/>
  <c r="P71" i="21"/>
  <c r="P95" i="21"/>
  <c r="P24" i="21"/>
  <c r="P48" i="21"/>
  <c r="P72" i="21"/>
  <c r="P96" i="21"/>
  <c r="P12" i="21"/>
  <c r="P20" i="21"/>
  <c r="P28" i="21"/>
  <c r="P36" i="21"/>
  <c r="P44" i="21"/>
  <c r="P52" i="21"/>
  <c r="P60" i="21"/>
  <c r="P68" i="21"/>
  <c r="P76" i="21"/>
  <c r="P84" i="21"/>
  <c r="P92" i="21"/>
  <c r="P100" i="21"/>
  <c r="P13" i="21"/>
  <c r="P21" i="21"/>
  <c r="P29" i="21"/>
  <c r="P37" i="21"/>
  <c r="P61" i="21"/>
  <c r="P85" i="21"/>
  <c r="P22" i="21"/>
  <c r="P46" i="21"/>
  <c r="P70" i="21"/>
  <c r="P86" i="21"/>
  <c r="P102" i="21"/>
  <c r="P7" i="21"/>
  <c r="P31" i="21"/>
  <c r="P55" i="21"/>
  <c r="P79" i="21"/>
  <c r="P103" i="21"/>
  <c r="P8" i="21"/>
  <c r="P32" i="21"/>
  <c r="P56" i="21"/>
  <c r="P80" i="21"/>
  <c r="I22" i="6"/>
  <c r="I24" i="19"/>
  <c r="H50" i="7"/>
  <c r="H40" i="7"/>
  <c r="L14" i="9"/>
  <c r="J14" i="7"/>
  <c r="H29" i="9"/>
  <c r="L51" i="8"/>
  <c r="L15" i="9"/>
  <c r="I23" i="6"/>
  <c r="I25" i="19"/>
  <c r="I31" i="5"/>
  <c r="H28" i="9"/>
  <c r="H23" i="10"/>
  <c r="L50" i="8"/>
  <c r="H22" i="10"/>
  <c r="H49" i="7"/>
  <c r="H39" i="7"/>
  <c r="M17" i="16"/>
  <c r="I21" i="7"/>
  <c r="AA105" i="15"/>
  <c r="AB105" i="15" s="1"/>
  <c r="G14" i="10"/>
  <c r="K6" i="9"/>
  <c r="K42" i="8"/>
  <c r="F17" i="16"/>
  <c r="I18" i="7"/>
  <c r="K7" i="9"/>
  <c r="G21" i="9"/>
  <c r="AH105" i="15"/>
  <c r="H17" i="19"/>
  <c r="K43" i="8"/>
  <c r="H23" i="5"/>
  <c r="I17" i="16"/>
  <c r="H15" i="6"/>
  <c r="L17" i="16"/>
  <c r="I19" i="7"/>
  <c r="R10" i="2"/>
  <c r="H56" i="4" l="1"/>
  <c r="H85" i="4"/>
  <c r="H116" i="4"/>
  <c r="H55" i="4"/>
  <c r="H84" i="4"/>
  <c r="H81" i="4"/>
  <c r="H51" i="4"/>
  <c r="G38" i="7"/>
  <c r="U11" i="21"/>
  <c r="U99" i="21"/>
  <c r="U61" i="21"/>
  <c r="U67" i="21"/>
  <c r="U10" i="21"/>
  <c r="U93" i="21"/>
  <c r="U25" i="21"/>
  <c r="U62" i="21"/>
  <c r="F42" i="7"/>
  <c r="U8" i="21"/>
  <c r="U44" i="21"/>
  <c r="U14" i="21"/>
  <c r="U51" i="21"/>
  <c r="U6" i="21"/>
  <c r="U96" i="21"/>
  <c r="U56" i="21"/>
  <c r="U35" i="21"/>
  <c r="U32" i="21"/>
  <c r="U7" i="21"/>
  <c r="U40" i="21"/>
  <c r="U58" i="21"/>
  <c r="U84" i="21"/>
  <c r="U54" i="21"/>
  <c r="U83" i="21"/>
  <c r="G37" i="7"/>
  <c r="U86" i="21"/>
  <c r="U23" i="21"/>
  <c r="U41" i="21"/>
  <c r="G39" i="7"/>
  <c r="F40" i="7"/>
  <c r="G40" i="7"/>
  <c r="U64" i="21"/>
  <c r="U95" i="21"/>
  <c r="C15" i="18"/>
  <c r="C14" i="18" s="1"/>
  <c r="I47" i="4"/>
  <c r="I117" i="4" s="1"/>
  <c r="U117" i="4" s="1"/>
  <c r="U15" i="21"/>
  <c r="U78" i="21"/>
  <c r="U55" i="21"/>
  <c r="U9" i="21"/>
  <c r="U28" i="21"/>
  <c r="U73" i="21"/>
  <c r="U57" i="21"/>
  <c r="U30" i="21"/>
  <c r="U36" i="21"/>
  <c r="U77" i="21"/>
  <c r="U43" i="21"/>
  <c r="U76" i="21"/>
  <c r="U53" i="21"/>
  <c r="H74" i="4"/>
  <c r="H76" i="4"/>
  <c r="H73" i="4"/>
  <c r="H69" i="4"/>
  <c r="H75" i="4"/>
  <c r="H60" i="4"/>
  <c r="H62" i="4"/>
  <c r="H61" i="4"/>
  <c r="H57" i="4"/>
  <c r="H54" i="4"/>
  <c r="H64" i="4"/>
  <c r="H68" i="4"/>
  <c r="H67" i="4"/>
  <c r="H71" i="4"/>
  <c r="H66" i="4"/>
  <c r="H65" i="4"/>
  <c r="H72" i="4"/>
  <c r="H63" i="4"/>
  <c r="H70" i="4"/>
  <c r="H59" i="4"/>
  <c r="H58" i="4"/>
  <c r="H101" i="4"/>
  <c r="H105" i="4"/>
  <c r="H89" i="4"/>
  <c r="H97" i="4"/>
  <c r="H93" i="4"/>
  <c r="H137" i="4"/>
  <c r="H95" i="4"/>
  <c r="H102" i="4"/>
  <c r="H99" i="4"/>
  <c r="H98" i="4"/>
  <c r="H90" i="4"/>
  <c r="H104" i="4"/>
  <c r="H100" i="4"/>
  <c r="H91" i="4"/>
  <c r="H103" i="4"/>
  <c r="H133" i="4"/>
  <c r="H92" i="4"/>
  <c r="H134" i="4"/>
  <c r="H94" i="4"/>
  <c r="H96" i="4"/>
  <c r="H136" i="4"/>
  <c r="H135" i="4"/>
  <c r="H129" i="4"/>
  <c r="H87" i="4"/>
  <c r="H88" i="4"/>
  <c r="H131" i="4"/>
  <c r="H130" i="4"/>
  <c r="H86" i="4"/>
  <c r="H125" i="4"/>
  <c r="H132" i="4"/>
  <c r="H82" i="4"/>
  <c r="H127" i="4"/>
  <c r="H128" i="4"/>
  <c r="H126" i="4"/>
  <c r="H121" i="4"/>
  <c r="H83" i="4"/>
  <c r="H80" i="4"/>
  <c r="H112" i="4"/>
  <c r="H122" i="4"/>
  <c r="H123" i="4"/>
  <c r="H124" i="4"/>
  <c r="H118" i="4"/>
  <c r="H119" i="4"/>
  <c r="H120" i="4"/>
  <c r="H115" i="4"/>
  <c r="H114" i="4"/>
  <c r="H113" i="4"/>
  <c r="U17" i="21"/>
  <c r="S90" i="21"/>
  <c r="T90" i="21"/>
  <c r="S12" i="21"/>
  <c r="T12" i="21"/>
  <c r="U79" i="21"/>
  <c r="U22" i="21"/>
  <c r="U66" i="21"/>
  <c r="U80" i="21"/>
  <c r="U63" i="21"/>
  <c r="U48" i="21"/>
  <c r="U13" i="21"/>
  <c r="U81" i="21"/>
  <c r="U68" i="21"/>
  <c r="S84" i="21"/>
  <c r="T84" i="21"/>
  <c r="S31" i="21"/>
  <c r="T31" i="21"/>
  <c r="S76" i="21"/>
  <c r="T76" i="21"/>
  <c r="S15" i="21"/>
  <c r="T15" i="21"/>
  <c r="S82" i="21"/>
  <c r="T82" i="21"/>
  <c r="S18" i="21"/>
  <c r="T18" i="21"/>
  <c r="S63" i="21"/>
  <c r="T63" i="21"/>
  <c r="S97" i="21"/>
  <c r="T97" i="21"/>
  <c r="S33" i="21"/>
  <c r="T33" i="21"/>
  <c r="S80" i="21"/>
  <c r="T80" i="21"/>
  <c r="S7" i="21"/>
  <c r="T7" i="21"/>
  <c r="S37" i="21"/>
  <c r="T37" i="21"/>
  <c r="S68" i="21"/>
  <c r="T68" i="21"/>
  <c r="S96" i="21"/>
  <c r="T96" i="21"/>
  <c r="S94" i="21"/>
  <c r="T94" i="21"/>
  <c r="S83" i="21"/>
  <c r="T83" i="21"/>
  <c r="S74" i="21"/>
  <c r="T74" i="21"/>
  <c r="S10" i="21"/>
  <c r="T10" i="21"/>
  <c r="S47" i="21"/>
  <c r="T47" i="21"/>
  <c r="S45" i="21"/>
  <c r="T45" i="21"/>
  <c r="S89" i="21"/>
  <c r="T89" i="21"/>
  <c r="S25" i="21"/>
  <c r="T25" i="21"/>
  <c r="S56" i="21"/>
  <c r="T56" i="21"/>
  <c r="S102" i="21"/>
  <c r="T102" i="21"/>
  <c r="S29" i="21"/>
  <c r="T29" i="21"/>
  <c r="S60" i="21"/>
  <c r="T60" i="21"/>
  <c r="S72" i="21"/>
  <c r="T72" i="21"/>
  <c r="S62" i="21"/>
  <c r="T62" i="21"/>
  <c r="S67" i="21"/>
  <c r="T67" i="21"/>
  <c r="S66" i="21"/>
  <c r="T66" i="21"/>
  <c r="S5" i="21"/>
  <c r="T5" i="21"/>
  <c r="S23" i="21"/>
  <c r="T23" i="21"/>
  <c r="S91" i="21"/>
  <c r="T91" i="21"/>
  <c r="S81" i="21"/>
  <c r="T81" i="21"/>
  <c r="S17" i="21"/>
  <c r="T17" i="21"/>
  <c r="U103" i="21"/>
  <c r="U71" i="21"/>
  <c r="C25" i="18"/>
  <c r="E25" i="18" s="1"/>
  <c r="U90" i="21"/>
  <c r="U18" i="21"/>
  <c r="U37" i="21"/>
  <c r="U82" i="21"/>
  <c r="U21" i="21"/>
  <c r="U74" i="21"/>
  <c r="U69" i="21"/>
  <c r="U92" i="21"/>
  <c r="U39" i="21"/>
  <c r="U16" i="21"/>
  <c r="U29" i="21"/>
  <c r="U100" i="21"/>
  <c r="U38" i="21"/>
  <c r="U24" i="21"/>
  <c r="S55" i="21"/>
  <c r="T55" i="21"/>
  <c r="S20" i="21"/>
  <c r="T20" i="21"/>
  <c r="S53" i="21"/>
  <c r="T53" i="21"/>
  <c r="S87" i="21"/>
  <c r="T87" i="21"/>
  <c r="S11" i="21"/>
  <c r="T11" i="21"/>
  <c r="S61" i="21"/>
  <c r="T61" i="21"/>
  <c r="S99" i="21"/>
  <c r="T99" i="21"/>
  <c r="S69" i="21"/>
  <c r="T69" i="21"/>
  <c r="S32" i="21"/>
  <c r="T32" i="21"/>
  <c r="S21" i="21"/>
  <c r="T21" i="21"/>
  <c r="S52" i="21"/>
  <c r="T52" i="21"/>
  <c r="S30" i="21"/>
  <c r="T30" i="21"/>
  <c r="S51" i="21"/>
  <c r="T51" i="21"/>
  <c r="S88" i="21"/>
  <c r="T88" i="21"/>
  <c r="S78" i="21"/>
  <c r="T78" i="21"/>
  <c r="S75" i="21"/>
  <c r="T75" i="21"/>
  <c r="S9" i="21"/>
  <c r="T9" i="21"/>
  <c r="S8" i="21"/>
  <c r="T8" i="21"/>
  <c r="S70" i="21"/>
  <c r="T70" i="21"/>
  <c r="S13" i="21"/>
  <c r="T13" i="21"/>
  <c r="S44" i="21"/>
  <c r="T44" i="21"/>
  <c r="S24" i="21"/>
  <c r="T24" i="21"/>
  <c r="S6" i="21"/>
  <c r="T6" i="21"/>
  <c r="S35" i="21"/>
  <c r="T35" i="21"/>
  <c r="S50" i="21"/>
  <c r="T50" i="21"/>
  <c r="S64" i="21"/>
  <c r="T64" i="21"/>
  <c r="S54" i="21"/>
  <c r="T54" i="21"/>
  <c r="S59" i="21"/>
  <c r="T59" i="21"/>
  <c r="S65" i="21"/>
  <c r="T65" i="21"/>
  <c r="U65" i="21"/>
  <c r="U33" i="21"/>
  <c r="U87" i="21"/>
  <c r="U31" i="21"/>
  <c r="U47" i="21"/>
  <c r="U45" i="21"/>
  <c r="U34" i="21"/>
  <c r="U75" i="21"/>
  <c r="U49" i="21"/>
  <c r="U27" i="21"/>
  <c r="U88" i="21"/>
  <c r="U46" i="21"/>
  <c r="S85" i="21"/>
  <c r="T85" i="21"/>
  <c r="S39" i="21"/>
  <c r="T39" i="21"/>
  <c r="S26" i="21"/>
  <c r="T26" i="21"/>
  <c r="S93" i="21"/>
  <c r="T93" i="21"/>
  <c r="S41" i="21"/>
  <c r="T41" i="21"/>
  <c r="S86" i="21"/>
  <c r="T86" i="21"/>
  <c r="S48" i="21"/>
  <c r="T48" i="21"/>
  <c r="S58" i="21"/>
  <c r="T58" i="21"/>
  <c r="S73" i="21"/>
  <c r="T73" i="21"/>
  <c r="S103" i="21"/>
  <c r="T103" i="21"/>
  <c r="S46" i="21"/>
  <c r="T46" i="21"/>
  <c r="S100" i="21"/>
  <c r="T100" i="21"/>
  <c r="S36" i="21"/>
  <c r="T36" i="21"/>
  <c r="S95" i="21"/>
  <c r="T95" i="21"/>
  <c r="S101" i="21"/>
  <c r="T101" i="21"/>
  <c r="S19" i="21"/>
  <c r="T19" i="21"/>
  <c r="S42" i="21"/>
  <c r="T42" i="21"/>
  <c r="S40" i="21"/>
  <c r="T40" i="21"/>
  <c r="S38" i="21"/>
  <c r="T38" i="21"/>
  <c r="S43" i="21"/>
  <c r="T43" i="21"/>
  <c r="S57" i="21"/>
  <c r="T57" i="21"/>
  <c r="U50" i="21"/>
  <c r="U85" i="21"/>
  <c r="U97" i="21"/>
  <c r="U72" i="21"/>
  <c r="U91" i="21"/>
  <c r="U101" i="21"/>
  <c r="U12" i="21"/>
  <c r="U20" i="21"/>
  <c r="U19" i="21"/>
  <c r="U60" i="21"/>
  <c r="U52" i="21"/>
  <c r="U59" i="21"/>
  <c r="S79" i="21"/>
  <c r="T79" i="21"/>
  <c r="S22" i="21"/>
  <c r="T22" i="21"/>
  <c r="S92" i="21"/>
  <c r="T92" i="21"/>
  <c r="S28" i="21"/>
  <c r="T28" i="21"/>
  <c r="S71" i="21"/>
  <c r="T71" i="21"/>
  <c r="S77" i="21"/>
  <c r="T77" i="21"/>
  <c r="S98" i="21"/>
  <c r="T98" i="21"/>
  <c r="S34" i="21"/>
  <c r="T34" i="21"/>
  <c r="S16" i="21"/>
  <c r="T16" i="21"/>
  <c r="S14" i="21"/>
  <c r="T14" i="21"/>
  <c r="S27" i="21"/>
  <c r="T27" i="21"/>
  <c r="S49" i="21"/>
  <c r="T49" i="21"/>
  <c r="U42" i="21"/>
  <c r="U94" i="21"/>
  <c r="U89" i="21"/>
  <c r="U26" i="21"/>
  <c r="U5" i="21"/>
  <c r="U98" i="21"/>
  <c r="U102" i="21"/>
  <c r="C19" i="18"/>
  <c r="E19" i="18" s="1"/>
  <c r="C23" i="18"/>
  <c r="E23" i="18" s="1"/>
  <c r="C20" i="18"/>
  <c r="E20" i="18" s="1"/>
  <c r="C21" i="18"/>
  <c r="E21" i="18" s="1"/>
  <c r="C18" i="18"/>
  <c r="E18" i="18" s="1"/>
  <c r="C24" i="18"/>
  <c r="E24" i="18" s="1"/>
  <c r="C26" i="18"/>
  <c r="E26" i="18" s="1"/>
  <c r="C22" i="18"/>
  <c r="E22" i="18" s="1"/>
  <c r="C12" i="18"/>
  <c r="F49" i="7"/>
  <c r="F47" i="7"/>
  <c r="G42" i="7"/>
  <c r="N15" i="16"/>
  <c r="Q73" i="7"/>
  <c r="Q75" i="7"/>
  <c r="Q77" i="7"/>
  <c r="Q74" i="7"/>
  <c r="Q78" i="7"/>
  <c r="Q76" i="7"/>
  <c r="G15" i="16"/>
  <c r="J76" i="7"/>
  <c r="J73" i="7"/>
  <c r="J78" i="7"/>
  <c r="J74" i="7"/>
  <c r="J75" i="7"/>
  <c r="J77" i="7"/>
  <c r="D12" i="18"/>
  <c r="F38" i="7"/>
  <c r="H43" i="7"/>
  <c r="F51" i="7"/>
  <c r="H65" i="7"/>
  <c r="H68" i="7"/>
  <c r="H66" i="7"/>
  <c r="H70" i="7"/>
  <c r="H67" i="7"/>
  <c r="G51" i="7"/>
  <c r="G70" i="7" s="1"/>
  <c r="G41" i="7"/>
  <c r="H69" i="7"/>
  <c r="N17" i="16"/>
  <c r="H17" i="16"/>
  <c r="Y106" i="15"/>
  <c r="G17" i="16"/>
  <c r="J13" i="16"/>
  <c r="R11" i="2"/>
  <c r="I56" i="4" l="1"/>
  <c r="U56" i="4" s="1"/>
  <c r="I85" i="4"/>
  <c r="U85" i="4" s="1"/>
  <c r="I116" i="4"/>
  <c r="U116" i="4" s="1"/>
  <c r="I55" i="4"/>
  <c r="U55" i="4" s="1"/>
  <c r="I84" i="4"/>
  <c r="U84" i="4" s="1"/>
  <c r="A91" i="21"/>
  <c r="A40" i="21"/>
  <c r="A90" i="21"/>
  <c r="A102" i="21"/>
  <c r="A8" i="21"/>
  <c r="A51" i="21"/>
  <c r="A98" i="21"/>
  <c r="A19" i="21"/>
  <c r="A6" i="21"/>
  <c r="A15" i="21"/>
  <c r="A101" i="21"/>
  <c r="A55" i="21"/>
  <c r="A84" i="21"/>
  <c r="A7" i="21"/>
  <c r="A14" i="21"/>
  <c r="A54" i="21"/>
  <c r="A27" i="21"/>
  <c r="A64" i="21"/>
  <c r="A43" i="21"/>
  <c r="A67" i="21"/>
  <c r="A96" i="21"/>
  <c r="A103" i="21"/>
  <c r="A62" i="21"/>
  <c r="A82" i="21"/>
  <c r="A83" i="21"/>
  <c r="A41" i="21"/>
  <c r="A50" i="21"/>
  <c r="A99" i="21"/>
  <c r="A47" i="21"/>
  <c r="A11" i="21"/>
  <c r="A13" i="21"/>
  <c r="A60" i="21"/>
  <c r="A24" i="21"/>
  <c r="A22" i="21"/>
  <c r="A72" i="21"/>
  <c r="A33" i="21"/>
  <c r="A57" i="21"/>
  <c r="A61" i="21"/>
  <c r="A34" i="21"/>
  <c r="A80" i="21"/>
  <c r="A46" i="21"/>
  <c r="A81" i="21"/>
  <c r="A4" i="21"/>
  <c r="A69" i="21"/>
  <c r="A26" i="21"/>
  <c r="A77" i="21"/>
  <c r="A21" i="21"/>
  <c r="A18" i="21"/>
  <c r="A23" i="21"/>
  <c r="A79" i="21"/>
  <c r="A89" i="21"/>
  <c r="A32" i="21"/>
  <c r="A68" i="21"/>
  <c r="A44" i="21"/>
  <c r="A75" i="21"/>
  <c r="A95" i="21"/>
  <c r="A9" i="21"/>
  <c r="A92" i="21"/>
  <c r="A42" i="21"/>
  <c r="A85" i="21"/>
  <c r="A35" i="21"/>
  <c r="A25" i="21"/>
  <c r="A87" i="21"/>
  <c r="A97" i="21"/>
  <c r="A37" i="21"/>
  <c r="A10" i="21"/>
  <c r="A29" i="21"/>
  <c r="A39" i="21"/>
  <c r="A49" i="21"/>
  <c r="A66" i="21"/>
  <c r="A59" i="21"/>
  <c r="A52" i="21"/>
  <c r="A5" i="21"/>
  <c r="A88" i="21"/>
  <c r="A63" i="21"/>
  <c r="A70" i="21"/>
  <c r="A36" i="21"/>
  <c r="A31" i="21"/>
  <c r="A78" i="21"/>
  <c r="A86" i="21"/>
  <c r="A100" i="21"/>
  <c r="A53" i="21"/>
  <c r="A17" i="21"/>
  <c r="A38" i="21"/>
  <c r="A93" i="21"/>
  <c r="A58" i="21"/>
  <c r="A12" i="21"/>
  <c r="A65" i="21"/>
  <c r="A74" i="21"/>
  <c r="A45" i="21"/>
  <c r="A20" i="21"/>
  <c r="A30" i="21"/>
  <c r="A16" i="21"/>
  <c r="A76" i="21"/>
  <c r="A73" i="21"/>
  <c r="A56" i="21"/>
  <c r="A71" i="21"/>
  <c r="A48" i="21"/>
  <c r="A94" i="21"/>
  <c r="A28" i="21"/>
  <c r="H77" i="7"/>
  <c r="H76" i="7"/>
  <c r="I89" i="4"/>
  <c r="I97" i="4"/>
  <c r="I101" i="4"/>
  <c r="I105" i="4"/>
  <c r="I93" i="4"/>
  <c r="I76" i="4"/>
  <c r="I137" i="4"/>
  <c r="I72" i="4"/>
  <c r="I104" i="4"/>
  <c r="I102" i="4"/>
  <c r="I91" i="4"/>
  <c r="I133" i="4"/>
  <c r="I95" i="4"/>
  <c r="I90" i="4"/>
  <c r="I100" i="4"/>
  <c r="I98" i="4"/>
  <c r="I99" i="4"/>
  <c r="I68" i="4"/>
  <c r="I103" i="4"/>
  <c r="I92" i="4"/>
  <c r="I129" i="4"/>
  <c r="I67" i="4"/>
  <c r="I75" i="4"/>
  <c r="I134" i="4"/>
  <c r="I96" i="4"/>
  <c r="I63" i="4"/>
  <c r="I94" i="4"/>
  <c r="I71" i="4"/>
  <c r="I64" i="4"/>
  <c r="I136" i="4"/>
  <c r="I135" i="4"/>
  <c r="I62" i="4"/>
  <c r="I70" i="4"/>
  <c r="I74" i="4"/>
  <c r="I60" i="4"/>
  <c r="I59" i="4"/>
  <c r="I87" i="4"/>
  <c r="I66" i="4"/>
  <c r="I88" i="4"/>
  <c r="I131" i="4"/>
  <c r="I130" i="4"/>
  <c r="I86" i="4"/>
  <c r="I58" i="4"/>
  <c r="I125" i="4"/>
  <c r="I132" i="4"/>
  <c r="I54" i="4"/>
  <c r="I57" i="4"/>
  <c r="I82" i="4"/>
  <c r="I83" i="4"/>
  <c r="I52" i="4"/>
  <c r="I61" i="4"/>
  <c r="I73" i="4"/>
  <c r="I53" i="4"/>
  <c r="I65" i="4"/>
  <c r="I69" i="4"/>
  <c r="I127" i="4"/>
  <c r="I126" i="4"/>
  <c r="I121" i="4"/>
  <c r="I128" i="4"/>
  <c r="I81" i="4"/>
  <c r="I80" i="4"/>
  <c r="I51" i="4"/>
  <c r="I122" i="4"/>
  <c r="I124" i="4"/>
  <c r="I112" i="4"/>
  <c r="I123" i="4"/>
  <c r="I118" i="4"/>
  <c r="I119" i="4"/>
  <c r="I120" i="4"/>
  <c r="I114" i="4"/>
  <c r="I115" i="4"/>
  <c r="I113" i="4"/>
  <c r="H75" i="7"/>
  <c r="F43" i="7"/>
  <c r="H78" i="7"/>
  <c r="H74" i="7"/>
  <c r="F68" i="7"/>
  <c r="G43" i="7"/>
  <c r="F67" i="7"/>
  <c r="F66" i="7"/>
  <c r="K15" i="16"/>
  <c r="F65" i="7"/>
  <c r="F70" i="7"/>
  <c r="J15" i="16"/>
  <c r="M76" i="7"/>
  <c r="M78" i="7"/>
  <c r="M73" i="7"/>
  <c r="M74" i="7"/>
  <c r="M75" i="7"/>
  <c r="M77" i="7"/>
  <c r="F69" i="7"/>
  <c r="H73" i="7"/>
  <c r="G78" i="7"/>
  <c r="G67" i="7"/>
  <c r="G68" i="7"/>
  <c r="G66" i="7"/>
  <c r="G69" i="7"/>
  <c r="G65" i="7"/>
  <c r="J17" i="16"/>
  <c r="K17" i="16"/>
  <c r="R12" i="2"/>
  <c r="F74" i="7" l="1"/>
  <c r="F76" i="7"/>
  <c r="F78" i="7"/>
  <c r="F73" i="7"/>
  <c r="F75" i="7"/>
  <c r="F77" i="7"/>
  <c r="G75" i="7"/>
  <c r="G73" i="7"/>
  <c r="G74" i="7"/>
  <c r="G77" i="7"/>
  <c r="G76" i="7"/>
  <c r="R13" i="2"/>
  <c r="R14" i="2" l="1"/>
  <c r="R15" i="2" l="1"/>
  <c r="R16" i="2" l="1"/>
  <c r="R17" i="2" l="1"/>
  <c r="R18" i="2" l="1"/>
  <c r="R19" i="2" l="1"/>
  <c r="R20" i="2" l="1"/>
  <c r="W6" i="2"/>
  <c r="R21" i="2" l="1"/>
  <c r="X6" i="2"/>
  <c r="T6" i="2"/>
  <c r="V6" i="2"/>
  <c r="Y6" i="2"/>
  <c r="U6" i="2"/>
  <c r="S6" i="2"/>
  <c r="R22" i="2" l="1"/>
  <c r="V7" i="2"/>
  <c r="X7" i="2"/>
  <c r="W7" i="2"/>
  <c r="T7" i="2"/>
  <c r="Y7" i="2"/>
  <c r="S7" i="2"/>
  <c r="U7" i="2"/>
  <c r="R23" i="2" l="1"/>
  <c r="Y8" i="2"/>
  <c r="T8" i="2"/>
  <c r="S8" i="2"/>
  <c r="X8" i="2"/>
  <c r="V8" i="2"/>
  <c r="W8" i="2"/>
  <c r="U8" i="2"/>
  <c r="R24" i="2" l="1"/>
  <c r="W9" i="2"/>
  <c r="T9" i="2"/>
  <c r="U9" i="2"/>
  <c r="Y9" i="2"/>
  <c r="X9" i="2"/>
  <c r="V9" i="2"/>
  <c r="S9" i="2"/>
  <c r="R25" i="2" l="1"/>
  <c r="Y10" i="2"/>
  <c r="T10" i="2"/>
  <c r="W10" i="2"/>
  <c r="X10" i="2"/>
  <c r="V10" i="2"/>
  <c r="U10" i="2"/>
  <c r="S10" i="2"/>
  <c r="R26" i="2" l="1"/>
  <c r="U11" i="2"/>
  <c r="T11" i="2"/>
  <c r="W11" i="2"/>
  <c r="V11" i="2"/>
  <c r="X11" i="2"/>
  <c r="S11" i="2"/>
  <c r="Y11" i="2"/>
  <c r="R27" i="2" l="1"/>
  <c r="W12" i="2"/>
  <c r="S12" i="2"/>
  <c r="V12" i="2"/>
  <c r="T12" i="2"/>
  <c r="X12" i="2"/>
  <c r="U12" i="2"/>
  <c r="Y12" i="2"/>
  <c r="R28" i="2" l="1"/>
  <c r="Y13" i="2"/>
  <c r="S13" i="2"/>
  <c r="U13" i="2"/>
  <c r="W13" i="2"/>
  <c r="V13" i="2"/>
  <c r="X13" i="2"/>
  <c r="T13" i="2"/>
  <c r="R29" i="2" l="1"/>
  <c r="X14" i="2"/>
  <c r="W14" i="2"/>
  <c r="S14" i="2"/>
  <c r="Y14" i="2"/>
  <c r="V14" i="2"/>
  <c r="U14" i="2"/>
  <c r="T14" i="2"/>
  <c r="R30" i="2" l="1"/>
  <c r="U15" i="2"/>
  <c r="X15" i="2"/>
  <c r="T15" i="2"/>
  <c r="Y15" i="2"/>
  <c r="S15" i="2"/>
  <c r="V15" i="2"/>
  <c r="W15" i="2"/>
  <c r="R31" i="2" l="1"/>
  <c r="Y16" i="2"/>
  <c r="T16" i="2"/>
  <c r="S16" i="2"/>
  <c r="W16" i="2"/>
  <c r="X16" i="2"/>
  <c r="U16" i="2"/>
  <c r="V16" i="2"/>
  <c r="R32" i="2" l="1"/>
  <c r="W17" i="2"/>
  <c r="U17" i="2"/>
  <c r="T17" i="2"/>
  <c r="Y17" i="2"/>
  <c r="X17" i="2"/>
  <c r="S17" i="2"/>
  <c r="V17" i="2"/>
  <c r="R33" i="2" l="1"/>
  <c r="X18" i="2"/>
  <c r="W18" i="2"/>
  <c r="Y18" i="2"/>
  <c r="U18" i="2"/>
  <c r="T18" i="2"/>
  <c r="V18" i="2"/>
  <c r="S18" i="2"/>
  <c r="R34" i="2" l="1"/>
  <c r="T19" i="2"/>
  <c r="W19" i="2"/>
  <c r="V19" i="2"/>
  <c r="U19" i="2"/>
  <c r="X19" i="2"/>
  <c r="Y19" i="2"/>
  <c r="S19" i="2"/>
  <c r="R35" i="2" l="1"/>
  <c r="Y20" i="2"/>
  <c r="X20" i="2"/>
  <c r="T20" i="2"/>
  <c r="V20" i="2"/>
  <c r="S20" i="2"/>
  <c r="W20" i="2"/>
  <c r="U20" i="2"/>
  <c r="R36" i="2" l="1"/>
  <c r="Y21" i="2"/>
  <c r="S21" i="2"/>
  <c r="X21" i="2"/>
  <c r="V21" i="2"/>
  <c r="W21" i="2"/>
  <c r="T21" i="2"/>
  <c r="U21" i="2"/>
  <c r="R37" i="2" l="1"/>
  <c r="U22" i="2"/>
  <c r="V22" i="2"/>
  <c r="X22" i="2"/>
  <c r="Y22" i="2"/>
  <c r="S22" i="2"/>
  <c r="W22" i="2"/>
  <c r="T22" i="2"/>
  <c r="R38" i="2" l="1"/>
  <c r="V23" i="2"/>
  <c r="U23" i="2"/>
  <c r="T23" i="2"/>
  <c r="Y23" i="2"/>
  <c r="S23" i="2"/>
  <c r="W23" i="2"/>
  <c r="X23" i="2"/>
  <c r="R39" i="2" l="1"/>
  <c r="S24" i="2"/>
  <c r="T24" i="2"/>
  <c r="X24" i="2"/>
  <c r="U24" i="2"/>
  <c r="V24" i="2"/>
  <c r="W24" i="2"/>
  <c r="Y24" i="2"/>
  <c r="R40" i="2" l="1"/>
  <c r="W25" i="2"/>
  <c r="U25" i="2"/>
  <c r="S25" i="2"/>
  <c r="T25" i="2"/>
  <c r="V25" i="2"/>
  <c r="Y25" i="2"/>
  <c r="X25" i="2"/>
  <c r="R41" i="2" l="1"/>
  <c r="T26" i="2"/>
  <c r="X26" i="2"/>
  <c r="V26" i="2"/>
  <c r="U26" i="2"/>
  <c r="W26" i="2"/>
  <c r="Y26" i="2"/>
  <c r="S26" i="2"/>
  <c r="R42" i="2" l="1"/>
  <c r="T27" i="2"/>
  <c r="W27" i="2"/>
  <c r="S27" i="2"/>
  <c r="Y27" i="2"/>
  <c r="V27" i="2"/>
  <c r="U27" i="2"/>
  <c r="X27" i="2"/>
  <c r="R43" i="2" l="1"/>
  <c r="V28" i="2"/>
  <c r="S28" i="2"/>
  <c r="Y28" i="2"/>
  <c r="W28" i="2"/>
  <c r="T28" i="2"/>
  <c r="U28" i="2"/>
  <c r="X28" i="2"/>
  <c r="R44" i="2" l="1"/>
  <c r="S29" i="2"/>
  <c r="W29" i="2"/>
  <c r="V29" i="2"/>
  <c r="U29" i="2"/>
  <c r="Y29" i="2"/>
  <c r="T29" i="2"/>
  <c r="X29" i="2"/>
  <c r="R45" i="2" l="1"/>
  <c r="S30" i="2"/>
  <c r="T30" i="2"/>
  <c r="U30" i="2"/>
  <c r="Y30" i="2"/>
  <c r="W30" i="2"/>
  <c r="V30" i="2"/>
  <c r="X30" i="2"/>
  <c r="R46" i="2" l="1"/>
  <c r="S31" i="2"/>
  <c r="W31" i="2"/>
  <c r="Y31" i="2"/>
  <c r="X31" i="2"/>
  <c r="T31" i="2"/>
  <c r="U31" i="2"/>
  <c r="V31" i="2"/>
  <c r="R47" i="2" l="1"/>
  <c r="U32" i="2"/>
  <c r="Y32" i="2"/>
  <c r="V32" i="2"/>
  <c r="S32" i="2"/>
  <c r="W32" i="2"/>
  <c r="X32" i="2"/>
  <c r="T32" i="2"/>
  <c r="R48" i="2" l="1"/>
  <c r="S33" i="2"/>
  <c r="T33" i="2"/>
  <c r="Y33" i="2"/>
  <c r="W33" i="2"/>
  <c r="X33" i="2"/>
  <c r="U33" i="2"/>
  <c r="V33" i="2"/>
  <c r="R49" i="2" l="1"/>
  <c r="Y34" i="2"/>
  <c r="S34" i="2"/>
  <c r="U34" i="2"/>
  <c r="W34" i="2"/>
  <c r="V34" i="2"/>
  <c r="T34" i="2"/>
  <c r="X34" i="2"/>
  <c r="R50" i="2" l="1"/>
  <c r="W35" i="2"/>
  <c r="X35" i="2"/>
  <c r="U35" i="2"/>
  <c r="T35" i="2"/>
  <c r="S35" i="2"/>
  <c r="V35" i="2"/>
  <c r="Y35" i="2"/>
  <c r="R51" i="2" l="1"/>
  <c r="U36" i="2"/>
  <c r="T36" i="2"/>
  <c r="W36" i="2"/>
  <c r="X36" i="2"/>
  <c r="V36" i="2"/>
  <c r="Y36" i="2"/>
  <c r="S36" i="2"/>
  <c r="R52" i="2" l="1"/>
  <c r="S37" i="2"/>
  <c r="Y37" i="2"/>
  <c r="W37" i="2"/>
  <c r="U37" i="2"/>
  <c r="X37" i="2"/>
  <c r="V37" i="2"/>
  <c r="T37" i="2"/>
  <c r="R53" i="2" l="1"/>
  <c r="V38" i="2"/>
  <c r="S38" i="2"/>
  <c r="X38" i="2"/>
  <c r="T38" i="2"/>
  <c r="Y38" i="2"/>
  <c r="W38" i="2"/>
  <c r="U38" i="2"/>
  <c r="R54" i="2" l="1"/>
  <c r="V39" i="2"/>
  <c r="S39" i="2"/>
  <c r="W39" i="2"/>
  <c r="Y39" i="2"/>
  <c r="T39" i="2"/>
  <c r="U39" i="2"/>
  <c r="X39" i="2"/>
  <c r="R55" i="2" l="1"/>
  <c r="T40" i="2"/>
  <c r="V40" i="2"/>
  <c r="U40" i="2"/>
  <c r="S40" i="2"/>
  <c r="W40" i="2"/>
  <c r="Y40" i="2"/>
  <c r="X40" i="2"/>
  <c r="R56" i="2" l="1"/>
  <c r="X41" i="2"/>
  <c r="W41" i="2"/>
  <c r="S41" i="2"/>
  <c r="T41" i="2"/>
  <c r="Y41" i="2"/>
  <c r="U41" i="2"/>
  <c r="V41" i="2"/>
  <c r="R57" i="2" l="1"/>
  <c r="S42" i="2"/>
  <c r="U42" i="2"/>
  <c r="T42" i="2"/>
  <c r="X42" i="2"/>
  <c r="Y42" i="2"/>
  <c r="W42" i="2"/>
  <c r="V42" i="2"/>
  <c r="R58" i="2" l="1"/>
  <c r="W43" i="2"/>
  <c r="V43" i="2"/>
  <c r="S43" i="2"/>
  <c r="X43" i="2"/>
  <c r="U43" i="2"/>
  <c r="T43" i="2"/>
  <c r="Y43" i="2"/>
  <c r="R59" i="2" l="1"/>
  <c r="Y44" i="2"/>
  <c r="V44" i="2"/>
  <c r="X44" i="2"/>
  <c r="W44" i="2"/>
  <c r="T44" i="2"/>
  <c r="U44" i="2"/>
  <c r="S44" i="2"/>
  <c r="R60" i="2" l="1"/>
  <c r="V45" i="2"/>
  <c r="W45" i="2"/>
  <c r="U45" i="2"/>
  <c r="S45" i="2"/>
  <c r="X45" i="2"/>
  <c r="T45" i="2"/>
  <c r="Y45" i="2"/>
  <c r="R61" i="2" l="1"/>
  <c r="W46" i="2"/>
  <c r="V46" i="2"/>
  <c r="S46" i="2"/>
  <c r="U46" i="2"/>
  <c r="X46" i="2"/>
  <c r="Y46" i="2"/>
  <c r="T46" i="2"/>
  <c r="R62" i="2" l="1"/>
  <c r="S47" i="2"/>
  <c r="Y47" i="2"/>
  <c r="X47" i="2"/>
  <c r="W47" i="2"/>
  <c r="V47" i="2"/>
  <c r="U47" i="2"/>
  <c r="T47" i="2"/>
  <c r="R63" i="2" l="1"/>
  <c r="X48" i="2"/>
  <c r="S48" i="2"/>
  <c r="V48" i="2"/>
  <c r="T48" i="2"/>
  <c r="U48" i="2"/>
  <c r="Y48" i="2"/>
  <c r="W48" i="2"/>
  <c r="R64" i="2" l="1"/>
  <c r="S49" i="2"/>
  <c r="T49" i="2"/>
  <c r="W49" i="2"/>
  <c r="V49" i="2"/>
  <c r="U49" i="2"/>
  <c r="Y49" i="2"/>
  <c r="X49" i="2"/>
  <c r="R65" i="2" l="1"/>
  <c r="U50" i="2"/>
  <c r="S50" i="2"/>
  <c r="W50" i="2"/>
  <c r="T50" i="2"/>
  <c r="X50" i="2"/>
  <c r="V50" i="2"/>
  <c r="Y50" i="2"/>
  <c r="R66" i="2" l="1"/>
  <c r="W51" i="2"/>
  <c r="X51" i="2"/>
  <c r="V51" i="2"/>
  <c r="U51" i="2"/>
  <c r="S51" i="2"/>
  <c r="Y51" i="2"/>
  <c r="T51" i="2"/>
  <c r="R67" i="2" l="1"/>
  <c r="S52" i="2"/>
  <c r="W52" i="2"/>
  <c r="Y52" i="2"/>
  <c r="U52" i="2"/>
  <c r="X52" i="2"/>
  <c r="T52" i="2"/>
  <c r="V52" i="2"/>
  <c r="R68" i="2" l="1"/>
  <c r="X53" i="2"/>
  <c r="V53" i="2"/>
  <c r="Y53" i="2"/>
  <c r="U53" i="2"/>
  <c r="T53" i="2"/>
  <c r="W53" i="2"/>
  <c r="S53" i="2"/>
  <c r="R69" i="2" l="1"/>
  <c r="T54" i="2"/>
  <c r="Y54" i="2"/>
  <c r="X54" i="2"/>
  <c r="V54" i="2"/>
  <c r="U54" i="2"/>
  <c r="W54" i="2"/>
  <c r="S54" i="2"/>
  <c r="R70" i="2" l="1"/>
  <c r="S55" i="2"/>
  <c r="W55" i="2"/>
  <c r="T55" i="2"/>
  <c r="Y55" i="2"/>
  <c r="U55" i="2"/>
  <c r="X55" i="2"/>
  <c r="V55" i="2"/>
  <c r="R71" i="2" l="1"/>
  <c r="T56" i="2"/>
  <c r="U56" i="2"/>
  <c r="W56" i="2"/>
  <c r="S56" i="2"/>
  <c r="Y56" i="2"/>
  <c r="V56" i="2"/>
  <c r="X56" i="2"/>
  <c r="R72" i="2" l="1"/>
  <c r="S57" i="2"/>
  <c r="U57" i="2"/>
  <c r="Y57" i="2"/>
  <c r="W57" i="2"/>
  <c r="T57" i="2"/>
  <c r="V57" i="2"/>
  <c r="X57" i="2"/>
  <c r="R73" i="2" l="1"/>
  <c r="T58" i="2"/>
  <c r="W58" i="2"/>
  <c r="S58" i="2"/>
  <c r="Y58" i="2"/>
  <c r="X58" i="2"/>
  <c r="U58" i="2"/>
  <c r="V58" i="2"/>
  <c r="R74" i="2" l="1"/>
  <c r="X59" i="2"/>
  <c r="Y59" i="2"/>
  <c r="S59" i="2"/>
  <c r="V59" i="2"/>
  <c r="T59" i="2"/>
  <c r="U59" i="2"/>
  <c r="W59" i="2"/>
  <c r="R75" i="2" l="1"/>
  <c r="V60" i="2"/>
  <c r="X60" i="2"/>
  <c r="Y60" i="2"/>
  <c r="S60" i="2"/>
  <c r="U60" i="2"/>
  <c r="T60" i="2"/>
  <c r="W60" i="2"/>
  <c r="R76" i="2" l="1"/>
  <c r="W61" i="2"/>
  <c r="Y61" i="2"/>
  <c r="U61" i="2"/>
  <c r="V61" i="2"/>
  <c r="X61" i="2"/>
  <c r="T61" i="2"/>
  <c r="S61" i="2"/>
  <c r="R77" i="2" l="1"/>
  <c r="V62" i="2"/>
  <c r="W62" i="2"/>
  <c r="Y62" i="2"/>
  <c r="T62" i="2"/>
  <c r="X62" i="2"/>
  <c r="S62" i="2"/>
  <c r="U62" i="2"/>
  <c r="R78" i="2" l="1"/>
  <c r="Y63" i="2"/>
  <c r="V63" i="2"/>
  <c r="W63" i="2"/>
  <c r="S63" i="2"/>
  <c r="T63" i="2"/>
  <c r="X63" i="2"/>
  <c r="U63" i="2"/>
  <c r="R79" i="2" l="1"/>
  <c r="W64" i="2"/>
  <c r="X64" i="2"/>
  <c r="T64" i="2"/>
  <c r="V64" i="2"/>
  <c r="U64" i="2"/>
  <c r="Y64" i="2"/>
  <c r="S64" i="2"/>
  <c r="R80" i="2" l="1"/>
  <c r="T65" i="2"/>
  <c r="Y65" i="2"/>
  <c r="S65" i="2"/>
  <c r="W65" i="2"/>
  <c r="U65" i="2"/>
  <c r="V65" i="2"/>
  <c r="X65" i="2"/>
  <c r="R81" i="2" l="1"/>
  <c r="X66" i="2"/>
  <c r="U66" i="2"/>
  <c r="W66" i="2"/>
  <c r="S66" i="2"/>
  <c r="T66" i="2"/>
  <c r="Y66" i="2"/>
  <c r="V66" i="2"/>
  <c r="R82" i="2" l="1"/>
  <c r="X67" i="2"/>
  <c r="T67" i="2"/>
  <c r="U67" i="2"/>
  <c r="S67" i="2"/>
  <c r="V67" i="2"/>
  <c r="W67" i="2"/>
  <c r="Y67" i="2"/>
  <c r="R83" i="2" l="1"/>
  <c r="Y68" i="2"/>
  <c r="U68" i="2"/>
  <c r="S68" i="2"/>
  <c r="T68" i="2"/>
  <c r="W68" i="2"/>
  <c r="V68" i="2"/>
  <c r="X68" i="2"/>
  <c r="R84" i="2" l="1"/>
  <c r="S69" i="2"/>
  <c r="T69" i="2"/>
  <c r="X69" i="2"/>
  <c r="W69" i="2"/>
  <c r="U69" i="2"/>
  <c r="Y69" i="2"/>
  <c r="V69" i="2"/>
  <c r="R85" i="2" l="1"/>
  <c r="U70" i="2"/>
  <c r="S70" i="2"/>
  <c r="W70" i="2"/>
  <c r="Y70" i="2"/>
  <c r="V70" i="2"/>
  <c r="X70" i="2"/>
  <c r="T70" i="2"/>
  <c r="R86" i="2" l="1"/>
  <c r="T71" i="2"/>
  <c r="Y71" i="2"/>
  <c r="V71" i="2"/>
  <c r="S71" i="2"/>
  <c r="X71" i="2"/>
  <c r="U71" i="2"/>
  <c r="W71" i="2"/>
  <c r="R87" i="2" l="1"/>
  <c r="Y72" i="2"/>
  <c r="U72" i="2"/>
  <c r="X72" i="2"/>
  <c r="V72" i="2"/>
  <c r="S72" i="2"/>
  <c r="W72" i="2"/>
  <c r="T72" i="2"/>
  <c r="R88" i="2" l="1"/>
  <c r="U73" i="2"/>
  <c r="W73" i="2"/>
  <c r="Y73" i="2"/>
  <c r="S73" i="2"/>
  <c r="T73" i="2"/>
  <c r="V73" i="2"/>
  <c r="X73" i="2"/>
  <c r="R89" i="2" l="1"/>
  <c r="V74" i="2"/>
  <c r="X74" i="2"/>
  <c r="S74" i="2"/>
  <c r="T74" i="2"/>
  <c r="W74" i="2"/>
  <c r="U74" i="2"/>
  <c r="Y74" i="2"/>
  <c r="R90" i="2" l="1"/>
  <c r="V75" i="2"/>
  <c r="U75" i="2"/>
  <c r="S75" i="2"/>
  <c r="T75" i="2"/>
  <c r="X75" i="2"/>
  <c r="W75" i="2"/>
  <c r="Y75" i="2"/>
  <c r="R91" i="2" l="1"/>
  <c r="X76" i="2"/>
  <c r="S76" i="2"/>
  <c r="T76" i="2"/>
  <c r="U76" i="2"/>
  <c r="V76" i="2"/>
  <c r="W76" i="2"/>
  <c r="Y76" i="2"/>
  <c r="R92" i="2" l="1"/>
  <c r="T77" i="2"/>
  <c r="Y77" i="2"/>
  <c r="W77" i="2"/>
  <c r="U77" i="2"/>
  <c r="S77" i="2"/>
  <c r="X77" i="2"/>
  <c r="V77" i="2"/>
  <c r="R93" i="2" l="1"/>
  <c r="T78" i="2"/>
  <c r="W78" i="2"/>
  <c r="X78" i="2"/>
  <c r="Y78" i="2"/>
  <c r="U78" i="2"/>
  <c r="S78" i="2"/>
  <c r="V78" i="2"/>
  <c r="R94" i="2" l="1"/>
  <c r="V79" i="2"/>
  <c r="Y79" i="2"/>
  <c r="W79" i="2"/>
  <c r="U79" i="2"/>
  <c r="X79" i="2"/>
  <c r="T79" i="2"/>
  <c r="S79" i="2"/>
  <c r="R95" i="2" l="1"/>
  <c r="S80" i="2"/>
  <c r="X80" i="2"/>
  <c r="V80" i="2"/>
  <c r="T80" i="2"/>
  <c r="Y80" i="2"/>
  <c r="W80" i="2"/>
  <c r="U80" i="2"/>
  <c r="R96" i="2" l="1"/>
  <c r="W81" i="2"/>
  <c r="S81" i="2"/>
  <c r="T81" i="2"/>
  <c r="X81" i="2"/>
  <c r="U81" i="2"/>
  <c r="V81" i="2"/>
  <c r="Y81" i="2"/>
  <c r="R97" i="2" l="1"/>
  <c r="T82" i="2"/>
  <c r="X82" i="2"/>
  <c r="Y82" i="2"/>
  <c r="S82" i="2"/>
  <c r="V82" i="2"/>
  <c r="U82" i="2"/>
  <c r="W82" i="2"/>
  <c r="R98" i="2" l="1"/>
  <c r="Y83" i="2"/>
  <c r="S83" i="2"/>
  <c r="V83" i="2"/>
  <c r="U83" i="2"/>
  <c r="X83" i="2"/>
  <c r="T83" i="2"/>
  <c r="W83" i="2"/>
  <c r="R99" i="2" l="1"/>
  <c r="W84" i="2"/>
  <c r="U84" i="2"/>
  <c r="X84" i="2"/>
  <c r="S84" i="2"/>
  <c r="V84" i="2"/>
  <c r="Y84" i="2"/>
  <c r="T84" i="2"/>
  <c r="R100" i="2" l="1"/>
  <c r="V85" i="2"/>
  <c r="X85" i="2"/>
  <c r="W85" i="2"/>
  <c r="T85" i="2"/>
  <c r="S85" i="2"/>
  <c r="U85" i="2"/>
  <c r="Y85" i="2"/>
  <c r="R101" i="2" l="1"/>
  <c r="X86" i="2"/>
  <c r="V86" i="2"/>
  <c r="Y86" i="2"/>
  <c r="T86" i="2"/>
  <c r="W86" i="2"/>
  <c r="S86" i="2"/>
  <c r="U86" i="2"/>
  <c r="R102" i="2" l="1"/>
  <c r="U87" i="2"/>
  <c r="T87" i="2"/>
  <c r="S87" i="2"/>
  <c r="X87" i="2"/>
  <c r="V87" i="2"/>
  <c r="Y87" i="2"/>
  <c r="W87" i="2"/>
  <c r="R103" i="2" l="1"/>
  <c r="W88" i="2"/>
  <c r="S88" i="2"/>
  <c r="Y88" i="2"/>
  <c r="T88" i="2"/>
  <c r="V88" i="2"/>
  <c r="X88" i="2"/>
  <c r="U88" i="2"/>
  <c r="R104" i="2" l="1"/>
  <c r="X89" i="2"/>
  <c r="S89" i="2"/>
  <c r="V89" i="2"/>
  <c r="Y89" i="2"/>
  <c r="T89" i="2"/>
  <c r="U89" i="2"/>
  <c r="W89" i="2"/>
  <c r="W105" i="2" l="1"/>
  <c r="S105" i="2"/>
  <c r="R105" i="2"/>
  <c r="Y105" i="2"/>
  <c r="X105" i="2"/>
  <c r="V105" i="2"/>
  <c r="T105" i="2"/>
  <c r="U105" i="2"/>
  <c r="Y90" i="2"/>
  <c r="U90" i="2"/>
  <c r="W90" i="2"/>
  <c r="T90" i="2"/>
  <c r="X90" i="2"/>
  <c r="V90" i="2"/>
  <c r="S90" i="2"/>
  <c r="W91" i="2" l="1"/>
  <c r="T91" i="2"/>
  <c r="U91" i="2"/>
  <c r="X91" i="2"/>
  <c r="S91" i="2"/>
  <c r="Y91" i="2"/>
  <c r="V91" i="2"/>
  <c r="T92" i="2" l="1"/>
  <c r="U92" i="2"/>
  <c r="V92" i="2"/>
  <c r="S92" i="2"/>
  <c r="X92" i="2"/>
  <c r="W92" i="2"/>
  <c r="Y92" i="2"/>
  <c r="X93" i="2" l="1"/>
  <c r="W93" i="2"/>
  <c r="S93" i="2"/>
  <c r="T93" i="2"/>
  <c r="U93" i="2"/>
  <c r="Y93" i="2"/>
  <c r="V93" i="2"/>
  <c r="Y94" i="2" l="1"/>
  <c r="S94" i="2"/>
  <c r="X94" i="2"/>
  <c r="T94" i="2"/>
  <c r="U94" i="2"/>
  <c r="W94" i="2"/>
  <c r="V94" i="2"/>
  <c r="T95" i="2" l="1"/>
  <c r="S95" i="2"/>
  <c r="U95" i="2"/>
  <c r="Y95" i="2"/>
  <c r="W95" i="2"/>
  <c r="V95" i="2"/>
  <c r="X95" i="2"/>
  <c r="T96" i="2" l="1"/>
  <c r="S96" i="2"/>
  <c r="Y96" i="2"/>
  <c r="X96" i="2"/>
  <c r="V96" i="2"/>
  <c r="W96" i="2"/>
  <c r="U96" i="2"/>
  <c r="T97" i="2" l="1"/>
  <c r="W97" i="2"/>
  <c r="U97" i="2"/>
  <c r="X97" i="2"/>
  <c r="V97" i="2"/>
  <c r="S97" i="2"/>
  <c r="Y97" i="2"/>
  <c r="X98" i="2" l="1"/>
  <c r="V98" i="2"/>
  <c r="W98" i="2"/>
  <c r="Y98" i="2"/>
  <c r="U98" i="2"/>
  <c r="T98" i="2"/>
  <c r="S98" i="2"/>
  <c r="Y99" i="2" l="1"/>
  <c r="W99" i="2"/>
  <c r="S99" i="2"/>
  <c r="U99" i="2"/>
  <c r="X99" i="2"/>
  <c r="V99" i="2"/>
  <c r="T99" i="2"/>
  <c r="W100" i="2" l="1"/>
  <c r="V100" i="2"/>
  <c r="S100" i="2"/>
  <c r="X100" i="2"/>
  <c r="U100" i="2"/>
  <c r="Y100" i="2"/>
  <c r="T100" i="2"/>
  <c r="V101" i="2" l="1"/>
  <c r="W101" i="2"/>
  <c r="U101" i="2"/>
  <c r="Y101" i="2"/>
  <c r="X101" i="2"/>
  <c r="T101" i="2"/>
  <c r="S101" i="2"/>
  <c r="W102" i="2" l="1"/>
  <c r="X102" i="2"/>
  <c r="T102" i="2"/>
  <c r="U102" i="2"/>
  <c r="Y102" i="2"/>
  <c r="V102" i="2"/>
  <c r="S102" i="2"/>
  <c r="T103" i="2" l="1"/>
  <c r="V103" i="2"/>
  <c r="Y103" i="2"/>
  <c r="U103" i="2"/>
  <c r="X103" i="2"/>
  <c r="W103" i="2"/>
  <c r="S103" i="2"/>
  <c r="T104" i="2" l="1"/>
  <c r="X104" i="2"/>
  <c r="S104" i="2"/>
  <c r="W104" i="2"/>
  <c r="V104" i="2"/>
  <c r="Y104" i="2"/>
  <c r="U104" i="2"/>
  <c r="H22" i="1" l="1"/>
  <c r="I22" i="1"/>
  <c r="F28" i="1"/>
  <c r="I25" i="1"/>
  <c r="K25" i="1" s="1"/>
  <c r="I30" i="1"/>
  <c r="K30" i="1" s="1"/>
  <c r="I24" i="1"/>
  <c r="K24" i="1" s="1"/>
  <c r="I28" i="1"/>
  <c r="I23" i="1"/>
  <c r="K23" i="1" s="1"/>
  <c r="F25" i="1"/>
  <c r="H25" i="1" s="1"/>
  <c r="I31" i="1"/>
  <c r="F23" i="1"/>
  <c r="H29" i="1"/>
  <c r="F26" i="1"/>
  <c r="H26" i="1" s="1"/>
  <c r="F24" i="1"/>
  <c r="H24" i="1" s="1"/>
  <c r="I26" i="1"/>
  <c r="I27" i="1"/>
  <c r="K27" i="1" s="1"/>
  <c r="I29" i="1"/>
  <c r="F27" i="1"/>
  <c r="H27" i="1" s="1"/>
  <c r="K29" i="1" l="1"/>
  <c r="H31" i="1"/>
  <c r="H23" i="1"/>
  <c r="K31" i="1"/>
  <c r="K28" i="1"/>
  <c r="K26" i="1"/>
  <c r="H28" i="1"/>
  <c r="H30" i="1"/>
  <c r="K22" i="1"/>
  <c r="T4" i="4" l="1"/>
  <c r="T17" i="4" s="1"/>
  <c r="T26" i="4" s="1"/>
  <c r="U4" i="4" l="1"/>
  <c r="V4" i="4" s="1"/>
  <c r="U17" i="4" l="1"/>
  <c r="U26" i="4" s="1"/>
  <c r="W4" i="4"/>
  <c r="V17" i="4"/>
  <c r="V26" i="4" s="1"/>
  <c r="I30" i="12" l="1"/>
  <c r="I39" i="12" l="1"/>
  <c r="I36" i="12"/>
  <c r="I33" i="12"/>
  <c r="I37" i="12"/>
  <c r="I35" i="12"/>
  <c r="I40" i="12"/>
  <c r="I38" i="12"/>
  <c r="I32" i="12"/>
  <c r="I34" i="12"/>
  <c r="I46" i="12" l="1"/>
  <c r="I4" i="18"/>
  <c r="I51" i="12"/>
  <c r="I53" i="12"/>
  <c r="I49" i="12"/>
  <c r="I52" i="12"/>
  <c r="I45" i="12"/>
  <c r="I48" i="12"/>
  <c r="I50" i="12"/>
  <c r="N105" i="4" l="1"/>
  <c r="N89" i="4"/>
  <c r="N97" i="4"/>
  <c r="N93" i="4"/>
  <c r="N101" i="4"/>
  <c r="N76" i="4"/>
  <c r="N72" i="4"/>
  <c r="N137" i="4"/>
  <c r="N90" i="4"/>
  <c r="N100" i="4"/>
  <c r="N91" i="4"/>
  <c r="N68" i="4"/>
  <c r="N99" i="4"/>
  <c r="N103" i="4"/>
  <c r="N95" i="4"/>
  <c r="N102" i="4"/>
  <c r="N98" i="4"/>
  <c r="N104" i="4"/>
  <c r="N133" i="4"/>
  <c r="N71" i="4"/>
  <c r="N75" i="4"/>
  <c r="N92" i="4"/>
  <c r="N63" i="4"/>
  <c r="N136" i="4"/>
  <c r="N64" i="4"/>
  <c r="N94" i="4"/>
  <c r="N135" i="4"/>
  <c r="N67" i="4"/>
  <c r="N134" i="4"/>
  <c r="N129" i="4"/>
  <c r="N96" i="4"/>
  <c r="N125" i="4"/>
  <c r="N59" i="4"/>
  <c r="N58" i="4"/>
  <c r="N62" i="4"/>
  <c r="N60" i="4"/>
  <c r="N132" i="4"/>
  <c r="N130" i="4"/>
  <c r="N87" i="4"/>
  <c r="N88" i="4"/>
  <c r="N131" i="4"/>
  <c r="N74" i="4"/>
  <c r="N66" i="4"/>
  <c r="N70" i="4"/>
  <c r="N86" i="4"/>
  <c r="N54" i="4"/>
  <c r="N128" i="4"/>
  <c r="N127" i="4"/>
  <c r="N61" i="4"/>
  <c r="N121" i="4"/>
  <c r="N57" i="4"/>
  <c r="N53" i="4"/>
  <c r="N52" i="4"/>
  <c r="N69" i="4"/>
  <c r="N83" i="4"/>
  <c r="N126" i="4"/>
  <c r="N82" i="4"/>
  <c r="N73" i="4"/>
  <c r="N65" i="4"/>
  <c r="N124" i="4"/>
  <c r="N123" i="4"/>
  <c r="N122" i="4"/>
  <c r="N51" i="4"/>
  <c r="N112" i="4"/>
  <c r="N80" i="4"/>
  <c r="N81" i="4"/>
  <c r="N119" i="4"/>
  <c r="N120" i="4"/>
  <c r="N118" i="4"/>
  <c r="N115" i="4"/>
  <c r="N114" i="4"/>
  <c r="N113" i="4"/>
  <c r="N17" i="19"/>
  <c r="N22" i="19"/>
  <c r="N24" i="19"/>
  <c r="N23" i="19"/>
  <c r="N20" i="19"/>
  <c r="N21" i="19"/>
  <c r="N18" i="19"/>
  <c r="N25" i="19"/>
  <c r="N19" i="19"/>
  <c r="N26" i="19"/>
  <c r="I8" i="18" s="1"/>
  <c r="M14" i="10"/>
  <c r="M24" i="10"/>
  <c r="I7" i="18" s="1"/>
  <c r="M15" i="10"/>
  <c r="M20" i="10"/>
  <c r="M19" i="10"/>
  <c r="M21" i="10"/>
  <c r="M18" i="10"/>
  <c r="M17" i="10"/>
  <c r="M22" i="10"/>
  <c r="M23" i="10"/>
  <c r="M16" i="10"/>
  <c r="Q46" i="8"/>
  <c r="Q47" i="8"/>
  <c r="Q45" i="8"/>
  <c r="Q49" i="8"/>
  <c r="Q48" i="8"/>
  <c r="Q43" i="8"/>
  <c r="Q44" i="8"/>
  <c r="Q51" i="8"/>
  <c r="Q42" i="8"/>
  <c r="Q52" i="8"/>
  <c r="I11" i="18" s="1"/>
  <c r="Q50" i="8"/>
  <c r="N20" i="6"/>
  <c r="N23" i="6"/>
  <c r="N19" i="6"/>
  <c r="N16" i="6"/>
  <c r="N24" i="6"/>
  <c r="I9" i="18" s="1"/>
  <c r="N17" i="6"/>
  <c r="N15" i="6"/>
  <c r="N21" i="6"/>
  <c r="N18" i="6"/>
  <c r="N22" i="6"/>
  <c r="M24" i="9"/>
  <c r="M25" i="9"/>
  <c r="M28" i="9"/>
  <c r="M23" i="9"/>
  <c r="Q9" i="9"/>
  <c r="M21" i="9"/>
  <c r="M26" i="9"/>
  <c r="Q14" i="9"/>
  <c r="Q6" i="9"/>
  <c r="Q11" i="9"/>
  <c r="Q12" i="9"/>
  <c r="Q15" i="9"/>
  <c r="Q16" i="9"/>
  <c r="I6" i="18" s="1"/>
  <c r="Q7" i="9"/>
  <c r="Q8" i="9"/>
  <c r="Q13" i="9"/>
  <c r="M22" i="9"/>
  <c r="Q10" i="9"/>
  <c r="M30" i="9"/>
  <c r="M27" i="9"/>
  <c r="M29" i="9"/>
  <c r="N26" i="5"/>
  <c r="N32" i="5"/>
  <c r="I5" i="18" s="1"/>
  <c r="N29" i="5"/>
  <c r="N23" i="5"/>
  <c r="N24" i="5"/>
  <c r="N27" i="5"/>
  <c r="N31" i="5"/>
  <c r="N30" i="5"/>
  <c r="N25" i="5"/>
  <c r="N28" i="5"/>
  <c r="O12" i="7"/>
  <c r="O13" i="7"/>
  <c r="O11" i="7"/>
  <c r="O33" i="7"/>
  <c r="I3" i="18" s="1"/>
  <c r="O15" i="7"/>
  <c r="O10" i="7"/>
  <c r="O14" i="7"/>
  <c r="L41" i="7" l="1"/>
  <c r="L51" i="7"/>
  <c r="I12" i="18"/>
  <c r="L49" i="7"/>
  <c r="L39" i="7"/>
  <c r="L42" i="7"/>
  <c r="L52" i="7"/>
  <c r="L48" i="7"/>
  <c r="L38" i="7"/>
  <c r="L50" i="7"/>
  <c r="L40" i="7"/>
  <c r="L47" i="7"/>
  <c r="L37" i="7"/>
  <c r="L43" i="7" l="1"/>
  <c r="L70" i="7"/>
  <c r="L69" i="7"/>
  <c r="L68" i="7"/>
  <c r="L65" i="7"/>
  <c r="L66" i="7"/>
  <c r="L67" i="7"/>
  <c r="L76" i="7" l="1"/>
  <c r="L77" i="7"/>
  <c r="L78" i="7"/>
  <c r="L75" i="7"/>
  <c r="L74" i="7"/>
  <c r="L73" i="7"/>
  <c r="K30" i="12" l="1"/>
  <c r="K40" i="12" l="1"/>
  <c r="K39" i="12"/>
  <c r="K37" i="12"/>
  <c r="K38" i="12"/>
  <c r="K36" i="12"/>
  <c r="K33" i="12"/>
  <c r="K35" i="12"/>
  <c r="K32" i="12"/>
  <c r="K34" i="12"/>
  <c r="K48" i="12" l="1"/>
  <c r="S11" i="9" s="1"/>
  <c r="K45" i="12"/>
  <c r="Q13" i="7" s="1"/>
  <c r="K46" i="12"/>
  <c r="K50" i="12"/>
  <c r="K51" i="12"/>
  <c r="K52" i="12"/>
  <c r="Q14" i="7"/>
  <c r="Q10" i="7"/>
  <c r="K49" i="12"/>
  <c r="K53" i="12"/>
  <c r="S13" i="9" l="1"/>
  <c r="O26" i="9"/>
  <c r="S6" i="9"/>
  <c r="S16" i="9"/>
  <c r="K6" i="18" s="1"/>
  <c r="O27" i="9"/>
  <c r="O21" i="9"/>
  <c r="O23" i="9"/>
  <c r="S7" i="9"/>
  <c r="S10" i="9"/>
  <c r="S8" i="9"/>
  <c r="O25" i="9"/>
  <c r="O22" i="9"/>
  <c r="S12" i="9"/>
  <c r="S9" i="9"/>
  <c r="Q33" i="7"/>
  <c r="K3" i="18" s="1"/>
  <c r="K12" i="18" s="1"/>
  <c r="Q12" i="7"/>
  <c r="N39" i="7" s="1"/>
  <c r="Q11" i="7"/>
  <c r="N48" i="7" s="1"/>
  <c r="Q15" i="7"/>
  <c r="N52" i="7" s="1"/>
  <c r="S14" i="9"/>
  <c r="O30" i="9"/>
  <c r="S15" i="9"/>
  <c r="O28" i="9"/>
  <c r="O29" i="9"/>
  <c r="O24" i="9"/>
  <c r="N37" i="7"/>
  <c r="N47" i="7"/>
  <c r="P18" i="6"/>
  <c r="P20" i="6"/>
  <c r="P23" i="6"/>
  <c r="P21" i="6"/>
  <c r="P15" i="6"/>
  <c r="P24" i="6"/>
  <c r="K9" i="18" s="1"/>
  <c r="P16" i="6"/>
  <c r="P17" i="6"/>
  <c r="P22" i="6"/>
  <c r="P19" i="6"/>
  <c r="S50" i="8"/>
  <c r="S51" i="8"/>
  <c r="S47" i="8"/>
  <c r="S45" i="8"/>
  <c r="S48" i="8"/>
  <c r="S49" i="8"/>
  <c r="S42" i="8"/>
  <c r="S44" i="8"/>
  <c r="S52" i="8"/>
  <c r="K11" i="18" s="1"/>
  <c r="S46" i="8"/>
  <c r="S43" i="8"/>
  <c r="N51" i="7"/>
  <c r="N41" i="7"/>
  <c r="N40" i="7"/>
  <c r="N50" i="7"/>
  <c r="P21" i="19"/>
  <c r="P24" i="19"/>
  <c r="P23" i="19"/>
  <c r="P18" i="19"/>
  <c r="P22" i="19"/>
  <c r="P19" i="19"/>
  <c r="P25" i="19"/>
  <c r="P26" i="19"/>
  <c r="K8" i="18" s="1"/>
  <c r="P20" i="19"/>
  <c r="P17" i="19"/>
  <c r="P26" i="5"/>
  <c r="P30" i="5"/>
  <c r="P31" i="5"/>
  <c r="P28" i="5"/>
  <c r="P29" i="5"/>
  <c r="P24" i="5"/>
  <c r="P25" i="5"/>
  <c r="P27" i="5"/>
  <c r="P23" i="5"/>
  <c r="P32" i="5"/>
  <c r="K5" i="18" s="1"/>
  <c r="O19" i="10"/>
  <c r="O18" i="10"/>
  <c r="O17" i="10"/>
  <c r="O23" i="10"/>
  <c r="O14" i="10"/>
  <c r="O22" i="10"/>
  <c r="O21" i="10"/>
  <c r="O16" i="10"/>
  <c r="O24" i="10"/>
  <c r="K7" i="18" s="1"/>
  <c r="O15" i="10"/>
  <c r="O20" i="10"/>
  <c r="P112" i="4"/>
  <c r="P73" i="4"/>
  <c r="P52" i="4"/>
  <c r="P60" i="4"/>
  <c r="P72" i="4"/>
  <c r="P58" i="4"/>
  <c r="P63" i="4"/>
  <c r="P102" i="4"/>
  <c r="P61" i="4"/>
  <c r="P95" i="4"/>
  <c r="P71" i="4"/>
  <c r="P74" i="4"/>
  <c r="P81" i="4"/>
  <c r="P80" i="4"/>
  <c r="P97" i="4"/>
  <c r="P104" i="4"/>
  <c r="P76" i="4"/>
  <c r="P89" i="4"/>
  <c r="P99" i="4"/>
  <c r="P69" i="4"/>
  <c r="P66" i="4"/>
  <c r="P70" i="4"/>
  <c r="P62" i="4"/>
  <c r="P54" i="4"/>
  <c r="P65" i="4"/>
  <c r="P92" i="4"/>
  <c r="P68" i="4"/>
  <c r="P64" i="4"/>
  <c r="P88" i="4"/>
  <c r="P57" i="4"/>
  <c r="P87" i="4"/>
  <c r="P91" i="4"/>
  <c r="P101" i="4"/>
  <c r="P67" i="4"/>
  <c r="P115" i="4"/>
  <c r="P119" i="4"/>
  <c r="P120" i="4"/>
  <c r="P135" i="4"/>
  <c r="P100" i="4"/>
  <c r="P105" i="4"/>
  <c r="P83" i="4"/>
  <c r="P53" i="4"/>
  <c r="P114" i="4"/>
  <c r="P129" i="4"/>
  <c r="P96" i="4"/>
  <c r="P131" i="4"/>
  <c r="P133" i="4"/>
  <c r="P132" i="4"/>
  <c r="P123" i="4"/>
  <c r="P125" i="4"/>
  <c r="P86" i="4"/>
  <c r="P122" i="4"/>
  <c r="P118" i="4"/>
  <c r="P93" i="4"/>
  <c r="P113" i="4"/>
  <c r="P128" i="4"/>
  <c r="P124" i="4"/>
  <c r="P90" i="4"/>
  <c r="P103" i="4"/>
  <c r="P121" i="4"/>
  <c r="P127" i="4"/>
  <c r="P136" i="4"/>
  <c r="P59" i="4"/>
  <c r="P126" i="4"/>
  <c r="P98" i="4"/>
  <c r="P82" i="4"/>
  <c r="P75" i="4"/>
  <c r="P134" i="4"/>
  <c r="P137" i="4"/>
  <c r="P94" i="4"/>
  <c r="P130" i="4"/>
  <c r="P51" i="4"/>
  <c r="N42" i="7" l="1"/>
  <c r="N49" i="7"/>
  <c r="N67" i="7" s="1"/>
  <c r="N38" i="7"/>
  <c r="N43" i="7" l="1"/>
  <c r="N69" i="7"/>
  <c r="N77" i="7" s="1"/>
  <c r="N70" i="7"/>
  <c r="N78" i="7" s="1"/>
  <c r="N66" i="7"/>
  <c r="N74" i="7" s="1"/>
  <c r="N68" i="7"/>
  <c r="N76" i="7" s="1"/>
  <c r="N65" i="7"/>
  <c r="N73" i="7" s="1"/>
  <c r="N75" i="7"/>
  <c r="L30" i="12" l="1"/>
  <c r="L39" i="12" l="1"/>
  <c r="L40" i="12"/>
  <c r="L37" i="12"/>
  <c r="L36" i="12"/>
  <c r="L38" i="12"/>
  <c r="L33" i="12"/>
  <c r="L35" i="12"/>
  <c r="L32" i="12"/>
  <c r="L34" i="12"/>
  <c r="W29" i="21" l="1"/>
  <c r="W103" i="21"/>
  <c r="W71" i="21"/>
  <c r="W23" i="21"/>
  <c r="W55" i="21"/>
  <c r="W61" i="21"/>
  <c r="W39" i="21"/>
  <c r="W85" i="21"/>
  <c r="W56" i="21"/>
  <c r="W11" i="21"/>
  <c r="W19" i="21"/>
  <c r="W22" i="21"/>
  <c r="W7" i="21"/>
  <c r="W48" i="21"/>
  <c r="W97" i="21"/>
  <c r="W83" i="21"/>
  <c r="W42" i="21"/>
  <c r="W102" i="21"/>
  <c r="W4" i="21"/>
  <c r="W5" i="21"/>
  <c r="W62" i="21"/>
  <c r="W45" i="21"/>
  <c r="W64" i="21"/>
  <c r="W9" i="21"/>
  <c r="W60" i="21"/>
  <c r="W49" i="21"/>
  <c r="W21" i="21"/>
  <c r="W84" i="21"/>
  <c r="W32" i="21"/>
  <c r="W41" i="21"/>
  <c r="W74" i="21"/>
  <c r="W40" i="21"/>
  <c r="W6" i="21"/>
  <c r="W59" i="21"/>
  <c r="W51" i="21"/>
  <c r="W46" i="21"/>
  <c r="W82" i="21"/>
  <c r="W77" i="21"/>
  <c r="W80" i="21"/>
  <c r="W12" i="21"/>
  <c r="W28" i="21"/>
  <c r="W16" i="21"/>
  <c r="W25" i="21"/>
  <c r="W43" i="21"/>
  <c r="W18" i="21"/>
  <c r="W13" i="21"/>
  <c r="W24" i="21"/>
  <c r="W89" i="21"/>
  <c r="W69" i="21"/>
  <c r="W95" i="21"/>
  <c r="W90" i="21"/>
  <c r="W35" i="21"/>
  <c r="W88" i="21"/>
  <c r="W79" i="21"/>
  <c r="W54" i="21"/>
  <c r="W70" i="21"/>
  <c r="W38" i="21"/>
  <c r="W50" i="21"/>
  <c r="W66" i="21"/>
  <c r="W20" i="21"/>
  <c r="W96" i="21"/>
  <c r="W15" i="21"/>
  <c r="W44" i="21"/>
  <c r="W98" i="21"/>
  <c r="W91" i="21"/>
  <c r="W86" i="21"/>
  <c r="W14" i="21"/>
  <c r="W34" i="21"/>
  <c r="W53" i="21"/>
  <c r="W37" i="21"/>
  <c r="W31" i="21"/>
  <c r="W72" i="21"/>
  <c r="W65" i="21"/>
  <c r="W78" i="21"/>
  <c r="W36" i="21"/>
  <c r="W94" i="21"/>
  <c r="W63" i="21"/>
  <c r="W99" i="21"/>
  <c r="W87" i="21"/>
  <c r="W92" i="21"/>
  <c r="W26" i="21"/>
  <c r="W8" i="21"/>
  <c r="W76" i="21"/>
  <c r="W81" i="21"/>
  <c r="W75" i="21"/>
  <c r="W10" i="21"/>
  <c r="W73" i="21"/>
  <c r="W101" i="21"/>
  <c r="W30" i="21"/>
  <c r="W58" i="21"/>
  <c r="W67" i="21"/>
  <c r="W68" i="21"/>
  <c r="W27" i="21"/>
  <c r="W17" i="21"/>
  <c r="W57" i="21"/>
  <c r="W93" i="21"/>
  <c r="W100" i="21"/>
  <c r="W52" i="21"/>
  <c r="W47" i="21"/>
  <c r="W33" i="21"/>
  <c r="L45" i="12"/>
  <c r="R14" i="7" s="1"/>
  <c r="L50" i="12"/>
  <c r="L48" i="12"/>
  <c r="L49" i="12"/>
  <c r="L53" i="12"/>
  <c r="L46" i="12"/>
  <c r="L51" i="12"/>
  <c r="L52" i="12"/>
  <c r="R13" i="7" l="1"/>
  <c r="O40" i="7" s="1"/>
  <c r="R11" i="7"/>
  <c r="R10" i="7"/>
  <c r="O47" i="7" s="1"/>
  <c r="R12" i="7"/>
  <c r="O49" i="7" s="1"/>
  <c r="R33" i="7"/>
  <c r="L3" i="18" s="1"/>
  <c r="L12" i="18" s="1"/>
  <c r="R15" i="7"/>
  <c r="O52" i="7" s="1"/>
  <c r="Q17" i="19"/>
  <c r="Q21" i="19"/>
  <c r="Q20" i="19"/>
  <c r="Q24" i="19"/>
  <c r="Q18" i="19"/>
  <c r="Q22" i="19"/>
  <c r="Q26" i="19"/>
  <c r="L8" i="18" s="1"/>
  <c r="Q25" i="19"/>
  <c r="Q23" i="19"/>
  <c r="Q19" i="19"/>
  <c r="O50" i="7"/>
  <c r="Q133" i="4"/>
  <c r="U133" i="4" s="1"/>
  <c r="Q90" i="4"/>
  <c r="U90" i="4" s="1"/>
  <c r="Q86" i="4"/>
  <c r="U86" i="4" s="1"/>
  <c r="Q137" i="4"/>
  <c r="U137" i="4" s="1"/>
  <c r="Q104" i="4"/>
  <c r="U104" i="4" s="1"/>
  <c r="Q93" i="4"/>
  <c r="U93" i="4" s="1"/>
  <c r="Q102" i="4"/>
  <c r="U102" i="4" s="1"/>
  <c r="Q80" i="4"/>
  <c r="U80" i="4" s="1"/>
  <c r="Q81" i="4"/>
  <c r="U81" i="4" s="1"/>
  <c r="Q92" i="4"/>
  <c r="U92" i="4" s="1"/>
  <c r="Q99" i="4"/>
  <c r="U99" i="4" s="1"/>
  <c r="Q129" i="4"/>
  <c r="U129" i="4" s="1"/>
  <c r="Q83" i="4"/>
  <c r="U83" i="4" s="1"/>
  <c r="Q100" i="4"/>
  <c r="U100" i="4" s="1"/>
  <c r="Q121" i="4"/>
  <c r="U121" i="4" s="1"/>
  <c r="Q96" i="4"/>
  <c r="U96" i="4" s="1"/>
  <c r="Q82" i="4"/>
  <c r="U82" i="4" s="1"/>
  <c r="Q95" i="4"/>
  <c r="U95" i="4" s="1"/>
  <c r="Q125" i="4"/>
  <c r="U125" i="4" s="1"/>
  <c r="Q71" i="4"/>
  <c r="U71" i="4" s="1"/>
  <c r="Q103" i="4"/>
  <c r="U103" i="4" s="1"/>
  <c r="Q98" i="4"/>
  <c r="U98" i="4" s="1"/>
  <c r="Q67" i="4"/>
  <c r="U67" i="4" s="1"/>
  <c r="Q76" i="4"/>
  <c r="U76" i="4" s="1"/>
  <c r="Q70" i="4"/>
  <c r="U70" i="4" s="1"/>
  <c r="Q73" i="4"/>
  <c r="U73" i="4" s="1"/>
  <c r="Q89" i="4"/>
  <c r="U89" i="4" s="1"/>
  <c r="Q97" i="4"/>
  <c r="U97" i="4" s="1"/>
  <c r="Q101" i="4"/>
  <c r="U101" i="4" s="1"/>
  <c r="Q65" i="4"/>
  <c r="U65" i="4" s="1"/>
  <c r="Q60" i="4"/>
  <c r="U60" i="4" s="1"/>
  <c r="Q62" i="4"/>
  <c r="U62" i="4" s="1"/>
  <c r="Q61" i="4"/>
  <c r="U61" i="4" s="1"/>
  <c r="Q88" i="4"/>
  <c r="U88" i="4" s="1"/>
  <c r="Q105" i="4"/>
  <c r="U105" i="4" s="1"/>
  <c r="Q87" i="4"/>
  <c r="U87" i="4" s="1"/>
  <c r="Q57" i="4"/>
  <c r="U57" i="4" s="1"/>
  <c r="Q69" i="4"/>
  <c r="U69" i="4" s="1"/>
  <c r="Q66" i="4"/>
  <c r="U66" i="4" s="1"/>
  <c r="Q72" i="4"/>
  <c r="U72" i="4" s="1"/>
  <c r="Q75" i="4"/>
  <c r="U75" i="4" s="1"/>
  <c r="Q52" i="4"/>
  <c r="U52" i="4" s="1"/>
  <c r="Q59" i="4"/>
  <c r="U59" i="4" s="1"/>
  <c r="Q134" i="4"/>
  <c r="U134" i="4" s="1"/>
  <c r="Q126" i="4"/>
  <c r="U126" i="4" s="1"/>
  <c r="Q113" i="4"/>
  <c r="U113" i="4" s="1"/>
  <c r="Q115" i="4"/>
  <c r="U115" i="4" s="1"/>
  <c r="Q91" i="4"/>
  <c r="U91" i="4" s="1"/>
  <c r="Q58" i="4"/>
  <c r="U58" i="4" s="1"/>
  <c r="Q68" i="4"/>
  <c r="U68" i="4" s="1"/>
  <c r="Q128" i="4"/>
  <c r="U128" i="4" s="1"/>
  <c r="Q94" i="4"/>
  <c r="U94" i="4" s="1"/>
  <c r="Q131" i="4"/>
  <c r="U131" i="4" s="1"/>
  <c r="Q51" i="4"/>
  <c r="U51" i="4" s="1"/>
  <c r="Q123" i="4"/>
  <c r="U123" i="4" s="1"/>
  <c r="Q118" i="4"/>
  <c r="U118" i="4" s="1"/>
  <c r="Q120" i="4"/>
  <c r="U120" i="4" s="1"/>
  <c r="Q54" i="4"/>
  <c r="U54" i="4" s="1"/>
  <c r="Q122" i="4"/>
  <c r="U122" i="4" s="1"/>
  <c r="Q114" i="4"/>
  <c r="U114" i="4" s="1"/>
  <c r="Q53" i="4"/>
  <c r="U53" i="4" s="1"/>
  <c r="Q64" i="4"/>
  <c r="U64" i="4" s="1"/>
  <c r="Q130" i="4"/>
  <c r="U130" i="4" s="1"/>
  <c r="Q136" i="4"/>
  <c r="U136" i="4" s="1"/>
  <c r="Q119" i="4"/>
  <c r="U119" i="4" s="1"/>
  <c r="Q63" i="4"/>
  <c r="U63" i="4" s="1"/>
  <c r="Q112" i="4"/>
  <c r="U112" i="4" s="1"/>
  <c r="Q135" i="4"/>
  <c r="U135" i="4" s="1"/>
  <c r="Q127" i="4"/>
  <c r="U127" i="4" s="1"/>
  <c r="Q124" i="4"/>
  <c r="U124" i="4" s="1"/>
  <c r="Q74" i="4"/>
  <c r="U74" i="4" s="1"/>
  <c r="Q132" i="4"/>
  <c r="U132" i="4" s="1"/>
  <c r="O48" i="7"/>
  <c r="O38" i="7"/>
  <c r="Q23" i="5"/>
  <c r="Q26" i="5"/>
  <c r="Q32" i="5"/>
  <c r="L5" i="18" s="1"/>
  <c r="Q27" i="5"/>
  <c r="Q30" i="5"/>
  <c r="Q25" i="5"/>
  <c r="Q31" i="5"/>
  <c r="Q28" i="5"/>
  <c r="Q29" i="5"/>
  <c r="Q24" i="5"/>
  <c r="Q21" i="6"/>
  <c r="Q19" i="6"/>
  <c r="Q24" i="6"/>
  <c r="L9" i="18" s="1"/>
  <c r="Q20" i="6"/>
  <c r="Q18" i="6"/>
  <c r="Q17" i="6"/>
  <c r="Q22" i="6"/>
  <c r="Q23" i="6"/>
  <c r="Q16" i="6"/>
  <c r="Q15" i="6"/>
  <c r="T44" i="8"/>
  <c r="T45" i="8"/>
  <c r="T43" i="8"/>
  <c r="T46" i="8"/>
  <c r="T47" i="8"/>
  <c r="T51" i="8"/>
  <c r="T42" i="8"/>
  <c r="T52" i="8"/>
  <c r="L11" i="18" s="1"/>
  <c r="T49" i="8"/>
  <c r="T48" i="8"/>
  <c r="T50" i="8"/>
  <c r="P21" i="10"/>
  <c r="P22" i="10"/>
  <c r="P23" i="10"/>
  <c r="P20" i="10"/>
  <c r="P15" i="10"/>
  <c r="P16" i="10"/>
  <c r="P14" i="10"/>
  <c r="P24" i="10"/>
  <c r="L7" i="18" s="1"/>
  <c r="P17" i="10"/>
  <c r="P18" i="10"/>
  <c r="P19" i="10"/>
  <c r="P23" i="9"/>
  <c r="T12" i="9"/>
  <c r="P25" i="9"/>
  <c r="P30" i="9"/>
  <c r="P26" i="9"/>
  <c r="T16" i="9"/>
  <c r="L6" i="18" s="1"/>
  <c r="T10" i="9"/>
  <c r="P28" i="9"/>
  <c r="T11" i="9"/>
  <c r="P24" i="9"/>
  <c r="T8" i="9"/>
  <c r="T9" i="9"/>
  <c r="P22" i="9"/>
  <c r="P21" i="9"/>
  <c r="P27" i="9"/>
  <c r="T13" i="9"/>
  <c r="T15" i="9"/>
  <c r="T14" i="9"/>
  <c r="P29" i="9"/>
  <c r="T7" i="9"/>
  <c r="O41" i="7"/>
  <c r="O51" i="7"/>
  <c r="O37" i="7" l="1"/>
  <c r="O39" i="7"/>
  <c r="O42" i="7"/>
  <c r="O68" i="7"/>
  <c r="O65" i="7"/>
  <c r="O66" i="7"/>
  <c r="O69" i="7"/>
  <c r="O67" i="7"/>
  <c r="O70" i="7"/>
  <c r="O43" i="7" l="1"/>
  <c r="D70" i="7"/>
  <c r="O78" i="7"/>
  <c r="D78" i="7" s="1"/>
  <c r="D67" i="7"/>
  <c r="O75" i="7"/>
  <c r="D75" i="7" s="1"/>
  <c r="D66" i="7"/>
  <c r="O74" i="7"/>
  <c r="D74" i="7" s="1"/>
  <c r="O77" i="7"/>
  <c r="D77" i="7" s="1"/>
  <c r="D69" i="7"/>
  <c r="O73" i="7"/>
  <c r="D73" i="7" s="1"/>
  <c r="D65" i="7"/>
  <c r="D68" i="7"/>
  <c r="O76" i="7"/>
  <c r="D76" i="7" s="1"/>
</calcChain>
</file>

<file path=xl/comments1.xml><?xml version="1.0" encoding="utf-8"?>
<comments xmlns="http://schemas.openxmlformats.org/spreadsheetml/2006/main">
  <authors>
    <author>bobuchen</author>
  </authors>
  <commentList>
    <comment ref="H52" authorId="0" shapeId="0">
      <text>
        <r>
          <rPr>
            <b/>
            <sz val="9"/>
            <color indexed="81"/>
            <rFont val="宋体"/>
            <family val="3"/>
            <charset val="134"/>
          </rPr>
          <t>bobuchen:</t>
        </r>
        <r>
          <rPr>
            <sz val="9"/>
            <color indexed="81"/>
            <rFont val="宋体"/>
            <family val="3"/>
            <charset val="134"/>
          </rPr>
          <t xml:space="preserve">
一套连招相当于攻击9下，打4套技能</t>
        </r>
      </text>
    </comment>
  </commentList>
</comments>
</file>

<file path=xl/comments2.xml><?xml version="1.0" encoding="utf-8"?>
<comments xmlns="http://schemas.openxmlformats.org/spreadsheetml/2006/main">
  <authors>
    <author>bobuchen</author>
  </authors>
  <commentLis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bobuchen:</t>
        </r>
        <r>
          <rPr>
            <sz val="9"/>
            <color indexed="81"/>
            <rFont val="宋体"/>
            <family val="3"/>
            <charset val="134"/>
          </rPr>
          <t xml:space="preserve">
每次增长百分比</t>
        </r>
      </text>
    </comment>
    <comment ref="E5" authorId="0" shapeId="0">
      <text>
        <r>
          <rPr>
            <b/>
            <sz val="9"/>
            <color indexed="81"/>
            <rFont val="宋体"/>
            <family val="3"/>
            <charset val="134"/>
          </rPr>
          <t>bobuchen:</t>
        </r>
        <r>
          <rPr>
            <sz val="9"/>
            <color indexed="81"/>
            <rFont val="宋体"/>
            <family val="3"/>
            <charset val="134"/>
          </rPr>
          <t xml:space="preserve">
战斗节奏预定</t>
        </r>
      </text>
    </comment>
  </commentList>
</comments>
</file>

<file path=xl/comments3.xml><?xml version="1.0" encoding="utf-8"?>
<comments xmlns="http://schemas.openxmlformats.org/spreadsheetml/2006/main">
  <authors>
    <author>bobuchen</author>
  </authors>
  <commentLis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bobuchen:</t>
        </r>
        <r>
          <rPr>
            <sz val="9"/>
            <color indexed="81"/>
            <rFont val="宋体"/>
            <family val="3"/>
            <charset val="134"/>
          </rPr>
          <t xml:space="preserve">
闪避率最高0.3</t>
        </r>
      </text>
    </commen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bobuchen:</t>
        </r>
        <r>
          <rPr>
            <sz val="9"/>
            <color indexed="81"/>
            <rFont val="宋体"/>
            <family val="3"/>
            <charset val="134"/>
          </rPr>
          <t xml:space="preserve">
暴击率最大30%
暴击倍数最大2.5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bobuchen:</t>
        </r>
        <r>
          <rPr>
            <sz val="9"/>
            <color indexed="81"/>
            <rFont val="宋体"/>
            <family val="3"/>
            <charset val="134"/>
          </rPr>
          <t xml:space="preserve">
减少最高投入20%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bobuchen:</t>
        </r>
        <r>
          <rPr>
            <sz val="9"/>
            <color indexed="81"/>
            <rFont val="宋体"/>
            <family val="3"/>
            <charset val="134"/>
          </rPr>
          <t xml:space="preserve">
最高减CD10%</t>
        </r>
      </text>
    </comment>
    <comment ref="J1" authorId="0" shapeId="0">
      <text>
        <r>
          <rPr>
            <b/>
            <sz val="9"/>
            <color indexed="81"/>
            <rFont val="宋体"/>
            <family val="3"/>
            <charset val="134"/>
          </rPr>
          <t>bobuchen:</t>
        </r>
        <r>
          <rPr>
            <sz val="9"/>
            <color indexed="81"/>
            <rFont val="宋体"/>
            <family val="3"/>
            <charset val="134"/>
          </rPr>
          <t xml:space="preserve">
伤害加深最高20%</t>
        </r>
      </text>
    </comment>
  </commentList>
</comments>
</file>

<file path=xl/comments4.xml><?xml version="1.0" encoding="utf-8"?>
<comments xmlns="http://schemas.openxmlformats.org/spreadsheetml/2006/main">
  <authors>
    <author>bobuchen</author>
  </authors>
  <commentList>
    <comment ref="E40" authorId="0" shapeId="0">
      <text>
        <r>
          <rPr>
            <b/>
            <sz val="9"/>
            <color indexed="81"/>
            <rFont val="宋体"/>
            <family val="3"/>
            <charset val="134"/>
          </rPr>
          <t>bobuchen:</t>
        </r>
        <r>
          <rPr>
            <sz val="9"/>
            <color indexed="81"/>
            <rFont val="宋体"/>
            <family val="3"/>
            <charset val="134"/>
          </rPr>
          <t xml:space="preserve">
平均值</t>
        </r>
      </text>
    </comment>
  </commentList>
</comments>
</file>

<file path=xl/comments5.xml><?xml version="1.0" encoding="utf-8"?>
<comments xmlns="http://schemas.openxmlformats.org/spreadsheetml/2006/main">
  <authors>
    <author>bobuchen</author>
  </authors>
  <commentList>
    <comment ref="F21" authorId="0" shapeId="0">
      <text>
        <r>
          <rPr>
            <b/>
            <sz val="9"/>
            <color indexed="81"/>
            <rFont val="宋体"/>
            <family val="3"/>
            <charset val="134"/>
          </rPr>
          <t>bobuchen:</t>
        </r>
        <r>
          <rPr>
            <sz val="9"/>
            <color indexed="81"/>
            <rFont val="宋体"/>
            <family val="3"/>
            <charset val="134"/>
          </rPr>
          <t xml:space="preserve">
1绿色
5红色</t>
        </r>
      </text>
    </comment>
  </commentList>
</comments>
</file>

<file path=xl/sharedStrings.xml><?xml version="1.0" encoding="utf-8"?>
<sst xmlns="http://schemas.openxmlformats.org/spreadsheetml/2006/main" count="675" uniqueCount="490">
  <si>
    <t>时间</t>
    <phoneticPr fontId="1" type="noConversion"/>
  </si>
  <si>
    <t>等级</t>
    <phoneticPr fontId="1" type="noConversion"/>
  </si>
  <si>
    <t>战斗伤害</t>
    <phoneticPr fontId="1" type="noConversion"/>
  </si>
  <si>
    <t>单位秒</t>
    <phoneticPr fontId="1" type="noConversion"/>
  </si>
  <si>
    <t>伤害</t>
    <phoneticPr fontId="1" type="noConversion"/>
  </si>
  <si>
    <t>普通攻击时间</t>
    <phoneticPr fontId="1" type="noConversion"/>
  </si>
  <si>
    <t>每次循环冷却时间</t>
    <phoneticPr fontId="1" type="noConversion"/>
  </si>
  <si>
    <t>总属性</t>
    <phoneticPr fontId="1" type="noConversion"/>
  </si>
  <si>
    <t>攻击/防御（比例）</t>
    <phoneticPr fontId="1" type="noConversion"/>
  </si>
  <si>
    <t>战斗属性估算</t>
    <phoneticPr fontId="1" type="noConversion"/>
  </si>
  <si>
    <t>HP</t>
    <phoneticPr fontId="1" type="noConversion"/>
  </si>
  <si>
    <t>攻击</t>
    <phoneticPr fontId="1" type="noConversion"/>
  </si>
  <si>
    <t>防御</t>
    <phoneticPr fontId="1" type="noConversion"/>
  </si>
  <si>
    <t>属性投放比</t>
    <phoneticPr fontId="1" type="noConversion"/>
  </si>
  <si>
    <t>等级</t>
    <phoneticPr fontId="1" type="noConversion"/>
  </si>
  <si>
    <t>人物裸体</t>
    <phoneticPr fontId="4" type="noConversion"/>
  </si>
  <si>
    <t>命格</t>
    <phoneticPr fontId="4" type="noConversion"/>
  </si>
  <si>
    <t>翅膀</t>
    <phoneticPr fontId="4" type="noConversion"/>
  </si>
  <si>
    <t>时装</t>
    <phoneticPr fontId="4" type="noConversion"/>
  </si>
  <si>
    <t>升星等级</t>
    <phoneticPr fontId="1" type="noConversion"/>
  </si>
  <si>
    <t>命格等级</t>
    <phoneticPr fontId="1" type="noConversion"/>
  </si>
  <si>
    <t>强化</t>
    <phoneticPr fontId="1" type="noConversion"/>
  </si>
  <si>
    <t>升星</t>
    <phoneticPr fontId="1" type="noConversion"/>
  </si>
  <si>
    <t>具体值</t>
    <phoneticPr fontId="1" type="noConversion"/>
  </si>
  <si>
    <t>龙魂</t>
    <phoneticPr fontId="1" type="noConversion"/>
  </si>
  <si>
    <t>马仔</t>
    <phoneticPr fontId="4" type="noConversion"/>
  </si>
  <si>
    <t>装备属性</t>
    <phoneticPr fontId="1" type="noConversion"/>
  </si>
  <si>
    <t>马仔数量</t>
    <phoneticPr fontId="1" type="noConversion"/>
  </si>
  <si>
    <t>5级绿装</t>
    <phoneticPr fontId="1" type="noConversion"/>
  </si>
  <si>
    <t>15级蓝装</t>
    <phoneticPr fontId="1" type="noConversion"/>
  </si>
  <si>
    <t>15级紫装</t>
  </si>
  <si>
    <t>30级蓝装</t>
    <phoneticPr fontId="1" type="noConversion"/>
  </si>
  <si>
    <t>30级紫装</t>
    <phoneticPr fontId="1" type="noConversion"/>
  </si>
  <si>
    <t>45级紫装</t>
    <phoneticPr fontId="1" type="noConversion"/>
  </si>
  <si>
    <t>45级橙装</t>
    <phoneticPr fontId="1" type="noConversion"/>
  </si>
  <si>
    <t>60级紫装</t>
    <phoneticPr fontId="1" type="noConversion"/>
  </si>
  <si>
    <t>60级橙装</t>
    <phoneticPr fontId="1" type="noConversion"/>
  </si>
  <si>
    <t>60级红装</t>
    <phoneticPr fontId="1" type="noConversion"/>
  </si>
  <si>
    <t>70级紫装</t>
    <phoneticPr fontId="1" type="noConversion"/>
  </si>
  <si>
    <t>70级橙装</t>
    <phoneticPr fontId="1" type="noConversion"/>
  </si>
  <si>
    <t>70级红装</t>
  </si>
  <si>
    <t>80级橙装</t>
    <phoneticPr fontId="1" type="noConversion"/>
  </si>
  <si>
    <t>80级红装</t>
  </si>
  <si>
    <t>装备</t>
    <phoneticPr fontId="1" type="noConversion"/>
  </si>
  <si>
    <t>个数</t>
    <phoneticPr fontId="1" type="noConversion"/>
  </si>
  <si>
    <t>总系数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</si>
  <si>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</si>
  <si>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</si>
  <si>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</si>
  <si>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</si>
  <si>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</si>
  <si>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占比系数</t>
    <phoneticPr fontId="1" type="noConversion"/>
  </si>
  <si>
    <t>百分比</t>
  </si>
  <si>
    <t>百分比</t>
    <phoneticPr fontId="1" type="noConversion"/>
  </si>
  <si>
    <t>品质评分</t>
    <phoneticPr fontId="1" type="noConversion"/>
  </si>
  <si>
    <t>数值</t>
    <phoneticPr fontId="1" type="noConversion"/>
  </si>
  <si>
    <t>翅膀个数</t>
    <phoneticPr fontId="1" type="noConversion"/>
  </si>
  <si>
    <t>翅膀级别</t>
    <phoneticPr fontId="1" type="noConversion"/>
  </si>
  <si>
    <t>命格装备个数：</t>
    <phoneticPr fontId="1" type="noConversion"/>
  </si>
  <si>
    <t>命格等级：</t>
    <phoneticPr fontId="1" type="noConversion"/>
  </si>
  <si>
    <t>角色等级</t>
    <phoneticPr fontId="1" type="noConversion"/>
  </si>
  <si>
    <t>100级数值预估估：</t>
    <phoneticPr fontId="1" type="noConversion"/>
  </si>
  <si>
    <t>100级数值预估：</t>
    <phoneticPr fontId="1" type="noConversion"/>
  </si>
  <si>
    <t>初始系数</t>
    <phoneticPr fontId="1" type="noConversion"/>
  </si>
  <si>
    <t>成长比例</t>
    <phoneticPr fontId="1" type="noConversion"/>
  </si>
  <si>
    <t>翅膀品质</t>
    <phoneticPr fontId="1" type="noConversion"/>
  </si>
  <si>
    <t>龙纹图张数：</t>
    <phoneticPr fontId="1" type="noConversion"/>
  </si>
  <si>
    <t>张数</t>
    <phoneticPr fontId="1" type="noConversion"/>
  </si>
  <si>
    <t>占比</t>
    <phoneticPr fontId="1" type="noConversion"/>
  </si>
  <si>
    <t>称号</t>
    <phoneticPr fontId="1" type="noConversion"/>
  </si>
  <si>
    <t>100级龙纹属性预估：</t>
    <phoneticPr fontId="1" type="noConversion"/>
  </si>
  <si>
    <t>100级马仔属性预估：</t>
    <phoneticPr fontId="1" type="noConversion"/>
  </si>
  <si>
    <t>低</t>
    <phoneticPr fontId="1" type="noConversion"/>
  </si>
  <si>
    <t>女酒保</t>
    <phoneticPr fontId="1" type="noConversion"/>
  </si>
  <si>
    <t>机枪兵</t>
    <phoneticPr fontId="1" type="noConversion"/>
  </si>
  <si>
    <t>棍男</t>
    <phoneticPr fontId="1" type="noConversion"/>
  </si>
  <si>
    <t>机车男</t>
    <phoneticPr fontId="1" type="noConversion"/>
  </si>
  <si>
    <t>拳兵</t>
    <phoneticPr fontId="1" type="noConversion"/>
  </si>
  <si>
    <t>中</t>
    <phoneticPr fontId="1" type="noConversion"/>
  </si>
  <si>
    <t>靓坤</t>
    <phoneticPr fontId="1" type="noConversion"/>
  </si>
  <si>
    <t>乌鸦</t>
    <phoneticPr fontId="1" type="noConversion"/>
  </si>
  <si>
    <t>司徒浩南</t>
    <phoneticPr fontId="1" type="noConversion"/>
  </si>
  <si>
    <t>胖子</t>
    <phoneticPr fontId="1" type="noConversion"/>
  </si>
  <si>
    <t>高</t>
    <phoneticPr fontId="1" type="noConversion"/>
  </si>
  <si>
    <t>赌王</t>
    <phoneticPr fontId="1" type="noConversion"/>
  </si>
  <si>
    <t>雷功</t>
    <phoneticPr fontId="1" type="noConversion"/>
  </si>
  <si>
    <t>剑客</t>
    <phoneticPr fontId="1" type="noConversion"/>
  </si>
  <si>
    <t>山口渡边</t>
    <phoneticPr fontId="1" type="noConversion"/>
  </si>
  <si>
    <t>特</t>
    <phoneticPr fontId="1" type="noConversion"/>
  </si>
  <si>
    <t>陈浩南</t>
    <phoneticPr fontId="1" type="noConversion"/>
  </si>
  <si>
    <t>山鸡</t>
    <phoneticPr fontId="1" type="noConversion"/>
  </si>
  <si>
    <t>大天二</t>
    <phoneticPr fontId="1" type="noConversion"/>
  </si>
  <si>
    <t>马仔品阶</t>
    <phoneticPr fontId="1" type="noConversion"/>
  </si>
  <si>
    <t>马仔等级</t>
    <phoneticPr fontId="1" type="noConversion"/>
  </si>
  <si>
    <t>单个马仔预估</t>
    <phoneticPr fontId="1" type="noConversion"/>
  </si>
  <si>
    <t>马仔培养</t>
    <phoneticPr fontId="1" type="noConversion"/>
  </si>
  <si>
    <t>预估占比</t>
    <phoneticPr fontId="1" type="noConversion"/>
  </si>
  <si>
    <t>单个马仔培养</t>
    <phoneticPr fontId="1" type="noConversion"/>
  </si>
  <si>
    <t>单个马仔等级</t>
    <phoneticPr fontId="1" type="noConversion"/>
  </si>
  <si>
    <t>马仔期望个数</t>
    <phoneticPr fontId="1" type="noConversion"/>
  </si>
  <si>
    <t>马仔品阶1</t>
    <phoneticPr fontId="1" type="noConversion"/>
  </si>
  <si>
    <t>马仔品阶2</t>
    <phoneticPr fontId="1" type="noConversion"/>
  </si>
  <si>
    <t>马仔品阶3</t>
  </si>
  <si>
    <t>马仔品阶4</t>
  </si>
  <si>
    <t>马仔培养等级</t>
    <phoneticPr fontId="1" type="noConversion"/>
  </si>
  <si>
    <t>马仔升星</t>
    <phoneticPr fontId="1" type="noConversion"/>
  </si>
  <si>
    <t>马仔躶体</t>
    <phoneticPr fontId="1" type="noConversion"/>
  </si>
  <si>
    <t>单个马仔的躶体属性</t>
    <phoneticPr fontId="1" type="noConversion"/>
  </si>
  <si>
    <t>单个马仔升星</t>
    <phoneticPr fontId="1" type="noConversion"/>
  </si>
  <si>
    <t>马仔升星等级</t>
    <phoneticPr fontId="1" type="noConversion"/>
  </si>
  <si>
    <t>马仔总个数：</t>
    <phoneticPr fontId="1" type="noConversion"/>
  </si>
  <si>
    <t>时装套数：</t>
    <phoneticPr fontId="1" type="noConversion"/>
  </si>
  <si>
    <t>时装品质</t>
    <phoneticPr fontId="1" type="noConversion"/>
  </si>
  <si>
    <t>预估总属性：</t>
    <phoneticPr fontId="1" type="noConversion"/>
  </si>
  <si>
    <t>分别占比</t>
    <phoneticPr fontId="1" type="noConversion"/>
  </si>
  <si>
    <t>机车套</t>
    <phoneticPr fontId="1" type="noConversion"/>
  </si>
  <si>
    <t>晚礼服</t>
    <phoneticPr fontId="1" type="noConversion"/>
  </si>
  <si>
    <t>战甲</t>
    <phoneticPr fontId="1" type="noConversion"/>
  </si>
  <si>
    <t>ID</t>
    <phoneticPr fontId="1" type="noConversion"/>
  </si>
  <si>
    <t>初始装</t>
    <phoneticPr fontId="1" type="noConversion"/>
  </si>
  <si>
    <t>命格属性</t>
    <phoneticPr fontId="1" type="noConversion"/>
  </si>
  <si>
    <t>品质ID</t>
    <phoneticPr fontId="1" type="noConversion"/>
  </si>
  <si>
    <t>品质颜色</t>
    <phoneticPr fontId="1" type="noConversion"/>
  </si>
  <si>
    <t>每级别命格属性</t>
    <phoneticPr fontId="1" type="noConversion"/>
  </si>
  <si>
    <t>一、</t>
    <phoneticPr fontId="1" type="noConversion"/>
  </si>
  <si>
    <t>二、</t>
    <phoneticPr fontId="1" type="noConversion"/>
  </si>
  <si>
    <t>三、</t>
    <phoneticPr fontId="1" type="noConversion"/>
  </si>
  <si>
    <t>四、</t>
    <phoneticPr fontId="1" type="noConversion"/>
  </si>
  <si>
    <t>五、</t>
    <phoneticPr fontId="1" type="noConversion"/>
  </si>
  <si>
    <t>装备数量：</t>
    <phoneticPr fontId="1" type="noConversion"/>
  </si>
  <si>
    <t>装备总数值：</t>
    <phoneticPr fontId="1" type="noConversion"/>
  </si>
  <si>
    <t xml:space="preserve">     装备品质
装备等级</t>
    <phoneticPr fontId="1" type="noConversion"/>
  </si>
  <si>
    <t>装备强化</t>
    <phoneticPr fontId="1" type="noConversion"/>
  </si>
  <si>
    <t>升星总级别：</t>
    <phoneticPr fontId="1" type="noConversion"/>
  </si>
  <si>
    <t>装备强化总级别</t>
    <phoneticPr fontId="1" type="noConversion"/>
  </si>
  <si>
    <t>绿</t>
    <phoneticPr fontId="1" type="noConversion"/>
  </si>
  <si>
    <t>紫</t>
    <phoneticPr fontId="1" type="noConversion"/>
  </si>
  <si>
    <t>红</t>
    <phoneticPr fontId="1" type="noConversion"/>
  </si>
  <si>
    <t>品质比例</t>
    <phoneticPr fontId="1" type="noConversion"/>
  </si>
  <si>
    <t>装备件数：</t>
    <phoneticPr fontId="1" type="noConversion"/>
  </si>
  <si>
    <t>品质</t>
    <phoneticPr fontId="1" type="noConversion"/>
  </si>
  <si>
    <t>每级别</t>
    <phoneticPr fontId="1" type="noConversion"/>
  </si>
  <si>
    <t>每级别/品质</t>
    <phoneticPr fontId="1" type="noConversion"/>
  </si>
  <si>
    <t>人物躶体占比</t>
    <phoneticPr fontId="1" type="noConversion"/>
  </si>
  <si>
    <t>称号数值总预估：</t>
    <phoneticPr fontId="1" type="noConversion"/>
  </si>
  <si>
    <t>称号档次：</t>
    <phoneticPr fontId="1" type="noConversion"/>
  </si>
  <si>
    <t>称号档次</t>
    <phoneticPr fontId="1" type="noConversion"/>
  </si>
  <si>
    <t>预测档次</t>
    <phoneticPr fontId="1" type="noConversion"/>
  </si>
  <si>
    <t>属性获得</t>
    <phoneticPr fontId="1" type="noConversion"/>
  </si>
  <si>
    <t>属性总量</t>
    <phoneticPr fontId="1" type="noConversion"/>
  </si>
  <si>
    <t>装备属性</t>
    <phoneticPr fontId="4" type="noConversion"/>
  </si>
  <si>
    <t>命格</t>
    <phoneticPr fontId="4" type="noConversion"/>
  </si>
  <si>
    <t>翅膀</t>
    <phoneticPr fontId="4" type="noConversion"/>
  </si>
  <si>
    <t>时装</t>
    <phoneticPr fontId="4" type="noConversion"/>
  </si>
  <si>
    <t>龙魂</t>
    <phoneticPr fontId="4" type="noConversion"/>
  </si>
  <si>
    <t>称号</t>
    <phoneticPr fontId="4" type="noConversion"/>
  </si>
  <si>
    <t>PVP时间(s)</t>
    <phoneticPr fontId="1" type="noConversion"/>
  </si>
  <si>
    <t>PVE时间(S)</t>
    <phoneticPr fontId="1" type="noConversion"/>
  </si>
  <si>
    <t>技能伤害</t>
    <phoneticPr fontId="1" type="noConversion"/>
  </si>
  <si>
    <t>普攻伤害</t>
    <phoneticPr fontId="1" type="noConversion"/>
  </si>
  <si>
    <t>总伤害</t>
    <phoneticPr fontId="1" type="noConversion"/>
  </si>
  <si>
    <t>PVP伤害</t>
    <phoneticPr fontId="1" type="noConversion"/>
  </si>
  <si>
    <t>PVE伤害</t>
    <phoneticPr fontId="1" type="noConversion"/>
  </si>
  <si>
    <t>PVP循环个数</t>
    <phoneticPr fontId="1" type="noConversion"/>
  </si>
  <si>
    <t>PVE循环个数</t>
    <phoneticPr fontId="1" type="noConversion"/>
  </si>
  <si>
    <t>价值比（战斗公式决定）</t>
    <phoneticPr fontId="1" type="noConversion"/>
  </si>
  <si>
    <t>总量</t>
    <phoneticPr fontId="1" type="noConversion"/>
  </si>
  <si>
    <t>属性ID</t>
  </si>
  <si>
    <t>属性类型</t>
  </si>
  <si>
    <t>生命</t>
  </si>
  <si>
    <t>攻击</t>
  </si>
  <si>
    <t>防御</t>
  </si>
  <si>
    <t>攻击*0.5&lt;防御</t>
    <phoneticPr fontId="1" type="noConversion"/>
  </si>
  <si>
    <t>伤害=攻击^2/(攻击+防御*2)</t>
    <phoneticPr fontId="1" type="noConversion"/>
  </si>
  <si>
    <t>星级=剩余血量百分比*100*（剩余血量百分比*100*（剩余血量百分比*100）^0.5*0.0002+0.25+（剩余血量百分比*100）*0.002）+100-0.65*时间{30S,150s}</t>
  </si>
  <si>
    <t>星级区间为【30,100】</t>
  </si>
  <si>
    <t>30  为  1星</t>
  </si>
  <si>
    <t>60  为  2星</t>
  </si>
  <si>
    <t>75  为  3星</t>
  </si>
  <si>
    <t>生命</t>
    <phoneticPr fontId="1" type="noConversion"/>
  </si>
  <si>
    <t>攻击</t>
    <phoneticPr fontId="1" type="noConversion"/>
  </si>
  <si>
    <t>防御</t>
    <phoneticPr fontId="1" type="noConversion"/>
  </si>
  <si>
    <t>命中</t>
    <phoneticPr fontId="1" type="noConversion"/>
  </si>
  <si>
    <t>闪避</t>
    <phoneticPr fontId="1" type="noConversion"/>
  </si>
  <si>
    <t>暴击</t>
    <phoneticPr fontId="1" type="noConversion"/>
  </si>
  <si>
    <t>韧性</t>
    <phoneticPr fontId="1" type="noConversion"/>
  </si>
  <si>
    <t>减伤</t>
    <phoneticPr fontId="1" type="noConversion"/>
  </si>
  <si>
    <t>CD时间</t>
    <phoneticPr fontId="1" type="noConversion"/>
  </si>
  <si>
    <t>伤害加成</t>
    <phoneticPr fontId="1" type="noConversion"/>
  </si>
  <si>
    <t>暴击倍数</t>
    <phoneticPr fontId="1" type="noConversion"/>
  </si>
  <si>
    <t>属性价值比</t>
    <phoneticPr fontId="1" type="noConversion"/>
  </si>
  <si>
    <t>100级数值投放比</t>
    <phoneticPr fontId="1" type="noConversion"/>
  </si>
  <si>
    <t>属性投放总量</t>
    <phoneticPr fontId="1" type="noConversion"/>
  </si>
  <si>
    <t>生命部分转化有效生命</t>
    <phoneticPr fontId="1" type="noConversion"/>
  </si>
  <si>
    <t>攻击力部分转化有效攻击</t>
    <phoneticPr fontId="1" type="noConversion"/>
  </si>
  <si>
    <t>极限值</t>
    <phoneticPr fontId="1" type="noConversion"/>
  </si>
  <si>
    <t>100级数值属性投放比</t>
    <phoneticPr fontId="1" type="noConversion"/>
  </si>
  <si>
    <t>暴击率</t>
    <phoneticPr fontId="1" type="noConversion"/>
  </si>
  <si>
    <t>系统名称</t>
    <phoneticPr fontId="1" type="noConversion"/>
  </si>
  <si>
    <t>伤害加深</t>
    <phoneticPr fontId="1" type="noConversion"/>
  </si>
  <si>
    <t>马仔核心培养个数：</t>
    <phoneticPr fontId="1" type="noConversion"/>
  </si>
  <si>
    <t>马仔品质评估</t>
    <phoneticPr fontId="1" type="noConversion"/>
  </si>
  <si>
    <t>每等级比例</t>
    <phoneticPr fontId="1" type="noConversion"/>
  </si>
  <si>
    <t>培养每等级比例</t>
    <phoneticPr fontId="1" type="noConversion"/>
  </si>
  <si>
    <t>进阶每级别比例</t>
    <phoneticPr fontId="1" type="noConversion"/>
  </si>
  <si>
    <t>总属性分配权重</t>
    <phoneticPr fontId="1" type="noConversion"/>
  </si>
  <si>
    <t>总属性比例</t>
    <phoneticPr fontId="1" type="noConversion"/>
  </si>
  <si>
    <t>侧重防御血量</t>
    <phoneticPr fontId="1" type="noConversion"/>
  </si>
  <si>
    <t>二级属性，血量</t>
    <phoneticPr fontId="1" type="noConversion"/>
  </si>
  <si>
    <t>增加三围，更侧重于攻防，二级属性</t>
    <phoneticPr fontId="1" type="noConversion"/>
  </si>
  <si>
    <t>三围</t>
    <phoneticPr fontId="1" type="noConversion"/>
  </si>
  <si>
    <t>二级属性</t>
    <phoneticPr fontId="1" type="noConversion"/>
  </si>
  <si>
    <t>增加三围，更侧重于攻，部分二级被动属性</t>
    <phoneticPr fontId="1" type="noConversion"/>
  </si>
  <si>
    <t>命格</t>
    <phoneticPr fontId="1" type="noConversion"/>
  </si>
  <si>
    <t>时装</t>
    <phoneticPr fontId="1" type="noConversion"/>
  </si>
  <si>
    <t>马仔</t>
    <phoneticPr fontId="1" type="noConversion"/>
  </si>
  <si>
    <t>翅膀</t>
    <phoneticPr fontId="1" type="noConversion"/>
  </si>
  <si>
    <t>躶体</t>
    <phoneticPr fontId="1" type="noConversion"/>
  </si>
  <si>
    <t>六、</t>
    <phoneticPr fontId="1" type="noConversion"/>
  </si>
  <si>
    <t>装备胚子与人物躶体属性成正比</t>
    <phoneticPr fontId="1" type="noConversion"/>
  </si>
  <si>
    <t>攻击</t>
    <phoneticPr fontId="1" type="noConversion"/>
  </si>
  <si>
    <t>防御</t>
    <phoneticPr fontId="1" type="noConversion"/>
  </si>
  <si>
    <t>生命</t>
    <phoneticPr fontId="1" type="noConversion"/>
  </si>
  <si>
    <t>系数</t>
    <phoneticPr fontId="1" type="noConversion"/>
  </si>
  <si>
    <t>总属性</t>
    <phoneticPr fontId="1" type="noConversion"/>
  </si>
  <si>
    <t>1级别属性</t>
    <phoneticPr fontId="1" type="noConversion"/>
  </si>
  <si>
    <t>100级属性</t>
    <phoneticPr fontId="1" type="noConversion"/>
  </si>
  <si>
    <t>膨胀系数</t>
    <phoneticPr fontId="1" type="noConversion"/>
  </si>
  <si>
    <t>100级投放值</t>
    <phoneticPr fontId="1" type="noConversion"/>
  </si>
  <si>
    <t>躶体</t>
    <phoneticPr fontId="1" type="noConversion"/>
  </si>
  <si>
    <t>升星</t>
    <phoneticPr fontId="1" type="noConversion"/>
  </si>
  <si>
    <t>等级</t>
    <phoneticPr fontId="1" type="noConversion"/>
  </si>
  <si>
    <t>培养</t>
    <phoneticPr fontId="1" type="noConversion"/>
  </si>
  <si>
    <t>暴击倍率</t>
    <phoneticPr fontId="1" type="noConversion"/>
  </si>
  <si>
    <t xml:space="preserve"> </t>
    <phoneticPr fontId="1" type="noConversion"/>
  </si>
  <si>
    <t>技能1释放时间</t>
    <phoneticPr fontId="1" type="noConversion"/>
  </si>
  <si>
    <t>技能2释放时间</t>
    <phoneticPr fontId="1" type="noConversion"/>
  </si>
  <si>
    <t>技能3释放时间</t>
    <phoneticPr fontId="1" type="noConversion"/>
  </si>
  <si>
    <t>技能4释放时间</t>
    <phoneticPr fontId="1" type="noConversion"/>
  </si>
  <si>
    <t>技能释放时间</t>
    <phoneticPr fontId="1" type="noConversion"/>
  </si>
  <si>
    <t>循环内释放技能个数</t>
    <phoneticPr fontId="1" type="noConversion"/>
  </si>
  <si>
    <t>技能跟普攻比值</t>
    <phoneticPr fontId="1" type="noConversion"/>
  </si>
  <si>
    <t>PVP平砍的下数</t>
    <phoneticPr fontId="1" type="noConversion"/>
  </si>
  <si>
    <t>PVE平砍的下数</t>
    <phoneticPr fontId="1" type="noConversion"/>
  </si>
  <si>
    <t>职业ID</t>
    <phoneticPr fontId="1" type="noConversion"/>
  </si>
  <si>
    <t>职业名称</t>
    <phoneticPr fontId="1" type="noConversion"/>
  </si>
  <si>
    <t>全职业</t>
    <phoneticPr fontId="1" type="noConversion"/>
  </si>
  <si>
    <t>剑手</t>
    <phoneticPr fontId="1" type="noConversion"/>
  </si>
  <si>
    <t>拳师</t>
    <phoneticPr fontId="1" type="noConversion"/>
  </si>
  <si>
    <t>枪手</t>
    <phoneticPr fontId="1" type="noConversion"/>
  </si>
  <si>
    <t>牧师</t>
    <phoneticPr fontId="1" type="noConversion"/>
  </si>
  <si>
    <t>无属性</t>
    <phoneticPr fontId="1" type="noConversion"/>
  </si>
  <si>
    <t>等级</t>
    <phoneticPr fontId="1" type="noConversion"/>
  </si>
  <si>
    <t>放大倍数</t>
    <phoneticPr fontId="1" type="noConversion"/>
  </si>
  <si>
    <t>暴击倍数</t>
    <phoneticPr fontId="1" type="noConversion"/>
  </si>
  <si>
    <t>强化比例</t>
    <phoneticPr fontId="1" type="noConversion"/>
  </si>
  <si>
    <t>升星比例</t>
    <phoneticPr fontId="1" type="noConversion"/>
  </si>
  <si>
    <t>祥云</t>
    <phoneticPr fontId="1" type="noConversion"/>
  </si>
  <si>
    <t>祥云</t>
    <phoneticPr fontId="1" type="noConversion"/>
  </si>
  <si>
    <t>顶级单个马仔属性</t>
    <phoneticPr fontId="1" type="noConversion"/>
  </si>
  <si>
    <t>品阶权重</t>
    <phoneticPr fontId="1" type="noConversion"/>
  </si>
  <si>
    <t>总数值比</t>
    <phoneticPr fontId="1" type="noConversion"/>
  </si>
  <si>
    <t>属性增长率</t>
    <phoneticPr fontId="1" type="noConversion"/>
  </si>
  <si>
    <t>角色等级</t>
    <phoneticPr fontId="1" type="noConversion"/>
  </si>
  <si>
    <t>生命属性</t>
    <phoneticPr fontId="1" type="noConversion"/>
  </si>
  <si>
    <t>总攻击力</t>
    <phoneticPr fontId="1" type="noConversion"/>
  </si>
  <si>
    <t>总防御力</t>
    <phoneticPr fontId="1" type="noConversion"/>
  </si>
  <si>
    <t>人物总体属性预览</t>
    <phoneticPr fontId="1" type="noConversion"/>
  </si>
  <si>
    <t>生命权重</t>
    <phoneticPr fontId="1" type="noConversion"/>
  </si>
  <si>
    <t>攻击权重</t>
    <phoneticPr fontId="1" type="noConversion"/>
  </si>
  <si>
    <t>防御权重</t>
    <phoneticPr fontId="1" type="noConversion"/>
  </si>
  <si>
    <t>闪避权重</t>
    <phoneticPr fontId="1" type="noConversion"/>
  </si>
  <si>
    <t>命中权重</t>
    <phoneticPr fontId="1" type="noConversion"/>
  </si>
  <si>
    <t>暴击率权重</t>
    <phoneticPr fontId="1" type="noConversion"/>
  </si>
  <si>
    <t>暴击倍数权重</t>
    <phoneticPr fontId="1" type="noConversion"/>
  </si>
  <si>
    <t>韧性权重</t>
    <phoneticPr fontId="1" type="noConversion"/>
  </si>
  <si>
    <t>减伤权重</t>
    <phoneticPr fontId="1" type="noConversion"/>
  </si>
  <si>
    <t>伤害加深权重</t>
    <phoneticPr fontId="1" type="noConversion"/>
  </si>
  <si>
    <t>系统名称</t>
    <phoneticPr fontId="1" type="noConversion"/>
  </si>
  <si>
    <t>命格</t>
    <phoneticPr fontId="1" type="noConversion"/>
  </si>
  <si>
    <t>称号</t>
    <phoneticPr fontId="1" type="noConversion"/>
  </si>
  <si>
    <t>时装</t>
    <phoneticPr fontId="1" type="noConversion"/>
  </si>
  <si>
    <t>祥云</t>
    <phoneticPr fontId="1" type="noConversion"/>
  </si>
  <si>
    <t>翅膀</t>
    <phoneticPr fontId="1" type="noConversion"/>
  </si>
  <si>
    <t>躶体</t>
    <phoneticPr fontId="1" type="noConversion"/>
  </si>
  <si>
    <t>马仔</t>
    <phoneticPr fontId="1" type="noConversion"/>
  </si>
  <si>
    <t>总生命</t>
    <phoneticPr fontId="1" type="noConversion"/>
  </si>
  <si>
    <t>翅膀</t>
    <phoneticPr fontId="1" type="noConversion"/>
  </si>
  <si>
    <t>权重</t>
    <phoneticPr fontId="1" type="noConversion"/>
  </si>
  <si>
    <t>开放等级</t>
    <phoneticPr fontId="1" type="noConversion"/>
  </si>
  <si>
    <t>系统名称</t>
    <phoneticPr fontId="1" type="noConversion"/>
  </si>
  <si>
    <t>时装</t>
    <phoneticPr fontId="1" type="noConversion"/>
  </si>
  <si>
    <t>满级</t>
    <phoneticPr fontId="1" type="noConversion"/>
  </si>
  <si>
    <t>初始值</t>
    <phoneticPr fontId="1" type="noConversion"/>
  </si>
  <si>
    <t>躶体</t>
    <phoneticPr fontId="1" type="noConversion"/>
  </si>
  <si>
    <t>战斗节奏+系统投入程度参考总值</t>
    <phoneticPr fontId="1" type="noConversion"/>
  </si>
  <si>
    <t>参考值</t>
    <phoneticPr fontId="1" type="noConversion"/>
  </si>
  <si>
    <t>等级</t>
    <phoneticPr fontId="1" type="noConversion"/>
  </si>
  <si>
    <t>属性总值</t>
    <phoneticPr fontId="1" type="noConversion"/>
  </si>
  <si>
    <t>马仔</t>
    <phoneticPr fontId="1" type="noConversion"/>
  </si>
  <si>
    <t>称号</t>
    <phoneticPr fontId="1" type="noConversion"/>
  </si>
  <si>
    <t>龙纹</t>
    <phoneticPr fontId="1" type="noConversion"/>
  </si>
  <si>
    <t>命格</t>
    <phoneticPr fontId="1" type="noConversion"/>
  </si>
  <si>
    <t>装备</t>
    <phoneticPr fontId="1" type="noConversion"/>
  </si>
  <si>
    <t>积和运算</t>
    <phoneticPr fontId="1" type="noConversion"/>
  </si>
  <si>
    <t>总属性真实权重</t>
    <phoneticPr fontId="1" type="noConversion"/>
  </si>
  <si>
    <t>系统总属性总占比</t>
    <phoneticPr fontId="1" type="noConversion"/>
  </si>
  <si>
    <t>总和</t>
    <phoneticPr fontId="1" type="noConversion"/>
  </si>
  <si>
    <t>祥云</t>
    <phoneticPr fontId="1" type="noConversion"/>
  </si>
  <si>
    <t>属性分配权重</t>
    <phoneticPr fontId="1" type="noConversion"/>
  </si>
  <si>
    <t>祥云等级</t>
    <phoneticPr fontId="1" type="noConversion"/>
  </si>
  <si>
    <t>平砍下数</t>
    <phoneticPr fontId="1" type="noConversion"/>
  </si>
  <si>
    <t>平砍伤害</t>
    <phoneticPr fontId="1" type="noConversion"/>
  </si>
  <si>
    <t>生命百分比验证</t>
    <phoneticPr fontId="1" type="noConversion"/>
  </si>
  <si>
    <t>装备等级</t>
    <phoneticPr fontId="1" type="noConversion"/>
  </si>
  <si>
    <t>品质</t>
    <phoneticPr fontId="1" type="noConversion"/>
  </si>
  <si>
    <t>属性</t>
    <phoneticPr fontId="1" type="noConversion"/>
  </si>
  <si>
    <t>搜索值</t>
    <phoneticPr fontId="1" type="noConversion"/>
  </si>
  <si>
    <t>战斗节奏和回合数预估</t>
    <phoneticPr fontId="1" type="noConversion"/>
  </si>
  <si>
    <t>时装品质</t>
    <phoneticPr fontId="1" type="noConversion"/>
  </si>
  <si>
    <t>时装属性</t>
    <phoneticPr fontId="1" type="noConversion"/>
  </si>
  <si>
    <t>闪避率的投放</t>
    <phoneticPr fontId="1" type="noConversion"/>
  </si>
  <si>
    <t>战斗公式</t>
    <phoneticPr fontId="1" type="noConversion"/>
  </si>
  <si>
    <t>躲避/命中最大值</t>
    <phoneticPr fontId="1" type="noConversion"/>
  </si>
  <si>
    <t>暴击倍数值</t>
    <phoneticPr fontId="1" type="noConversion"/>
  </si>
  <si>
    <t>伤害=（攻击-防御）*暴击BUF*暴击倍数BUF*(1+伤害BUF）</t>
    <phoneticPr fontId="1" type="noConversion"/>
  </si>
  <si>
    <t>减CD最大值</t>
    <phoneticPr fontId="1" type="noConversion"/>
  </si>
  <si>
    <t>伤害加深/减少最大值</t>
    <phoneticPr fontId="1" type="noConversion"/>
  </si>
  <si>
    <t>技能CD时间=技能原CD时间*（1-减CD值/减CD最大值）</t>
    <phoneticPr fontId="1" type="noConversion"/>
  </si>
  <si>
    <t>有效生命</t>
    <phoneticPr fontId="1" type="noConversion"/>
  </si>
  <si>
    <t>有效dps</t>
    <phoneticPr fontId="1" type="noConversion"/>
  </si>
  <si>
    <t>附加属性1</t>
    <phoneticPr fontId="1" type="noConversion"/>
  </si>
  <si>
    <t>等级系数</t>
    <phoneticPr fontId="1" type="noConversion"/>
  </si>
  <si>
    <t>品阶系数</t>
    <phoneticPr fontId="1" type="noConversion"/>
  </si>
  <si>
    <t>绿色和红色总倍率</t>
    <phoneticPr fontId="1" type="noConversion"/>
  </si>
  <si>
    <t>纯装备属性对比(不含附加属性）</t>
    <phoneticPr fontId="1" type="noConversion"/>
  </si>
  <si>
    <t xml:space="preserve">     装备品质
装备等级</t>
    <phoneticPr fontId="1" type="noConversion"/>
  </si>
  <si>
    <t>每附加属性系数</t>
    <phoneticPr fontId="1" type="noConversion"/>
  </si>
  <si>
    <t>增量</t>
    <phoneticPr fontId="1" type="noConversion"/>
  </si>
  <si>
    <t>平砍下数</t>
    <phoneticPr fontId="1" type="noConversion"/>
  </si>
  <si>
    <t>技能个数</t>
    <phoneticPr fontId="1" type="noConversion"/>
  </si>
  <si>
    <t>总属性分配规划（相当每级所有功能开满总量）</t>
    <phoneticPr fontId="1" type="noConversion"/>
  </si>
  <si>
    <t>DSP</t>
    <phoneticPr fontId="1" type="noConversion"/>
  </si>
  <si>
    <t>生命值</t>
    <phoneticPr fontId="1" type="noConversion"/>
  </si>
  <si>
    <t>生命值百分比</t>
  </si>
  <si>
    <t>攻击百分比</t>
    <phoneticPr fontId="1" type="noConversion"/>
  </si>
  <si>
    <t>攻击百分比</t>
    <phoneticPr fontId="1" type="noConversion"/>
  </si>
  <si>
    <t>防御百分比</t>
    <phoneticPr fontId="1" type="noConversion"/>
  </si>
  <si>
    <t>防御百分比</t>
    <phoneticPr fontId="1" type="noConversion"/>
  </si>
  <si>
    <t>极限值</t>
    <phoneticPr fontId="1" type="noConversion"/>
  </si>
  <si>
    <t>极限值</t>
    <phoneticPr fontId="1" type="noConversion"/>
  </si>
  <si>
    <t>攻击</t>
    <phoneticPr fontId="1" type="noConversion"/>
  </si>
  <si>
    <t>防御</t>
    <phoneticPr fontId="1" type="noConversion"/>
  </si>
  <si>
    <t>生命百分比</t>
    <phoneticPr fontId="1" type="noConversion"/>
  </si>
  <si>
    <t>纯品质属性占比</t>
    <phoneticPr fontId="1" type="noConversion"/>
  </si>
  <si>
    <t>附加属性占比</t>
    <phoneticPr fontId="1" type="noConversion"/>
  </si>
  <si>
    <t>装备总属性推导</t>
    <phoneticPr fontId="1" type="noConversion"/>
  </si>
  <si>
    <t>装备属性（含附加属性）</t>
    <phoneticPr fontId="1" type="noConversion"/>
  </si>
  <si>
    <t>预估等级</t>
    <phoneticPr fontId="1" type="noConversion"/>
  </si>
  <si>
    <t>档次</t>
    <phoneticPr fontId="1" type="noConversion"/>
  </si>
  <si>
    <t>属性点</t>
    <phoneticPr fontId="1" type="noConversion"/>
  </si>
  <si>
    <t>DPS投放系数</t>
    <phoneticPr fontId="1" type="noConversion"/>
  </si>
  <si>
    <t>DPS属性膨胀率</t>
    <phoneticPr fontId="1" type="noConversion"/>
  </si>
  <si>
    <t>生命价值评估</t>
    <phoneticPr fontId="1" type="noConversion"/>
  </si>
  <si>
    <t>标准属性价值参考系</t>
    <phoneticPr fontId="1" type="noConversion"/>
  </si>
  <si>
    <t>参考等级</t>
    <phoneticPr fontId="1" type="noConversion"/>
  </si>
  <si>
    <t>每张整图属性比重</t>
    <phoneticPr fontId="1" type="noConversion"/>
  </si>
  <si>
    <t>属性分配</t>
    <phoneticPr fontId="1" type="noConversion"/>
  </si>
  <si>
    <t>分图比重</t>
    <phoneticPr fontId="1" type="noConversion"/>
  </si>
  <si>
    <t>整图比重</t>
    <phoneticPr fontId="1" type="noConversion"/>
  </si>
  <si>
    <t>三、</t>
    <phoneticPr fontId="1" type="noConversion"/>
  </si>
  <si>
    <t>一、</t>
    <phoneticPr fontId="1" type="noConversion"/>
  </si>
  <si>
    <t>二、</t>
    <phoneticPr fontId="1" type="noConversion"/>
  </si>
  <si>
    <t>龙魂分图属性</t>
    <phoneticPr fontId="1" type="noConversion"/>
  </si>
  <si>
    <t>整图属性比重</t>
    <phoneticPr fontId="1" type="noConversion"/>
  </si>
  <si>
    <t>ALL</t>
    <phoneticPr fontId="1" type="noConversion"/>
  </si>
  <si>
    <t>验证行</t>
    <phoneticPr fontId="1" type="noConversion"/>
  </si>
  <si>
    <t>属性价值评估</t>
    <phoneticPr fontId="1" type="noConversion"/>
  </si>
  <si>
    <t>暴击值</t>
    <phoneticPr fontId="1" type="noConversion"/>
  </si>
  <si>
    <t>韧性值</t>
    <phoneticPr fontId="1" type="noConversion"/>
  </si>
  <si>
    <t>命中值</t>
    <phoneticPr fontId="1" type="noConversion"/>
  </si>
  <si>
    <t>闪避值</t>
    <phoneticPr fontId="1" type="noConversion"/>
  </si>
  <si>
    <t>闪避有效生命</t>
    <phoneticPr fontId="1" type="noConversion"/>
  </si>
  <si>
    <t>暴击率有效攻击</t>
    <phoneticPr fontId="1" type="noConversion"/>
  </si>
  <si>
    <t>伤害加深</t>
    <phoneticPr fontId="1" type="noConversion"/>
  </si>
  <si>
    <t>生命值百分比</t>
    <phoneticPr fontId="1" type="noConversion"/>
  </si>
  <si>
    <t>攻击百分比</t>
    <phoneticPr fontId="1" type="noConversion"/>
  </si>
  <si>
    <t>防御百分比</t>
    <phoneticPr fontId="1" type="noConversion"/>
  </si>
  <si>
    <t>生命最大值</t>
    <phoneticPr fontId="1" type="noConversion"/>
  </si>
  <si>
    <t>攻击最大值</t>
    <phoneticPr fontId="1" type="noConversion"/>
  </si>
  <si>
    <t>防御最大值</t>
    <phoneticPr fontId="1" type="noConversion"/>
  </si>
  <si>
    <t>暴击倍数有效攻击</t>
    <phoneticPr fontId="1" type="noConversion"/>
  </si>
  <si>
    <t>龙魂</t>
    <phoneticPr fontId="1" type="noConversion"/>
  </si>
  <si>
    <t>龙魂</t>
    <phoneticPr fontId="1" type="noConversion"/>
  </si>
  <si>
    <t>马仔装备</t>
    <phoneticPr fontId="1" type="noConversion"/>
  </si>
  <si>
    <t>单个马仔装备</t>
    <phoneticPr fontId="1" type="noConversion"/>
  </si>
  <si>
    <t>装备</t>
    <phoneticPr fontId="1" type="noConversion"/>
  </si>
  <si>
    <t>暴击/韧性最大值</t>
    <phoneticPr fontId="1" type="noConversion"/>
  </si>
  <si>
    <t>暴击率</t>
    <phoneticPr fontId="1" type="noConversion"/>
  </si>
  <si>
    <t>暴击倍数百分比</t>
    <phoneticPr fontId="1" type="noConversion"/>
  </si>
  <si>
    <t>1点暴击值</t>
    <phoneticPr fontId="1" type="noConversion"/>
  </si>
  <si>
    <t>1点闪避值</t>
  </si>
  <si>
    <t>有效DSP=DPS*伤害加深+DPS*暴击几率*暴击倍数*(1+伤害加深）+攻击百分比*攻击-防御百分比*防御</t>
    <phoneticPr fontId="1" type="noConversion"/>
  </si>
  <si>
    <t>有效攻击VS有效生命</t>
    <phoneticPr fontId="1" type="noConversion"/>
  </si>
  <si>
    <t>减伤百分比权重</t>
    <phoneticPr fontId="1" type="noConversion"/>
  </si>
  <si>
    <t>加伤百分比权重</t>
    <phoneticPr fontId="1" type="noConversion"/>
  </si>
  <si>
    <t>马仔升星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</si>
  <si>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</si>
  <si>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</si>
  <si>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</si>
  <si>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</si>
  <si>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</si>
  <si>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属性份额</t>
    <phoneticPr fontId="1" type="noConversion"/>
  </si>
  <si>
    <t>属性权重</t>
    <phoneticPr fontId="1" type="noConversion"/>
  </si>
  <si>
    <t>装备强化每级属性</t>
    <phoneticPr fontId="1" type="noConversion"/>
  </si>
  <si>
    <t>装备升星每级属性</t>
    <phoneticPr fontId="1" type="noConversion"/>
  </si>
  <si>
    <t>属性个数</t>
    <phoneticPr fontId="1" type="noConversion"/>
  </si>
  <si>
    <t>100%暴击价值</t>
    <phoneticPr fontId="1" type="noConversion"/>
  </si>
  <si>
    <t>平均每级的价值</t>
    <phoneticPr fontId="1" type="noConversion"/>
  </si>
  <si>
    <t>等级</t>
    <phoneticPr fontId="1" type="noConversion"/>
  </si>
  <si>
    <t>无属性</t>
    <phoneticPr fontId="1" type="noConversion"/>
  </si>
  <si>
    <t>无属性</t>
    <phoneticPr fontId="1" type="noConversion"/>
  </si>
  <si>
    <t>无属性</t>
    <phoneticPr fontId="1" type="noConversion"/>
  </si>
  <si>
    <t>生命膨胀率</t>
    <phoneticPr fontId="1" type="noConversion"/>
  </si>
  <si>
    <t>攻击膨胀率</t>
    <phoneticPr fontId="1" type="noConversion"/>
  </si>
  <si>
    <t>防御膨胀率</t>
    <phoneticPr fontId="1" type="noConversion"/>
  </si>
  <si>
    <t>回合下数</t>
    <phoneticPr fontId="1" type="noConversion"/>
  </si>
  <si>
    <t>平砍伤害</t>
    <phoneticPr fontId="1" type="noConversion"/>
  </si>
  <si>
    <t>躶体平砍伤害</t>
    <phoneticPr fontId="1" type="noConversion"/>
  </si>
  <si>
    <t>生命加成</t>
    <phoneticPr fontId="1" type="noConversion"/>
  </si>
  <si>
    <t>攻击加成</t>
    <phoneticPr fontId="1" type="noConversion"/>
  </si>
  <si>
    <t>防御加成</t>
    <phoneticPr fontId="1" type="noConversion"/>
  </si>
  <si>
    <t>伤害减免</t>
    <phoneticPr fontId="1" type="noConversion"/>
  </si>
  <si>
    <t>伤害加深</t>
    <phoneticPr fontId="1" type="noConversion"/>
  </si>
  <si>
    <t>有效生命=生命/(1-闪避)+生命百分比*生命+生命*伤害减免+生命*防御百分比</t>
    <phoneticPr fontId="1" type="noConversion"/>
  </si>
  <si>
    <t>暴击倍数</t>
    <phoneticPr fontId="1" type="noConversion"/>
  </si>
  <si>
    <t>初始</t>
    <phoneticPr fontId="1" type="noConversion"/>
  </si>
  <si>
    <t>战斗力</t>
    <phoneticPr fontId="1" type="noConversion"/>
  </si>
  <si>
    <t>总价值</t>
    <phoneticPr fontId="1" type="noConversion"/>
  </si>
  <si>
    <t>生命占比</t>
    <phoneticPr fontId="1" type="noConversion"/>
  </si>
  <si>
    <t>攻占比</t>
    <phoneticPr fontId="1" type="noConversion"/>
  </si>
  <si>
    <t>防占比</t>
    <phoneticPr fontId="1" type="noConversion"/>
  </si>
  <si>
    <t>总属性80级</t>
    <phoneticPr fontId="1" type="noConversion"/>
  </si>
  <si>
    <t>装备等级</t>
    <phoneticPr fontId="1" type="noConversion"/>
  </si>
  <si>
    <t>权重</t>
    <phoneticPr fontId="1" type="noConversion"/>
  </si>
  <si>
    <t>装备总套数</t>
    <phoneticPr fontId="1" type="noConversion"/>
  </si>
  <si>
    <t>百分比</t>
    <phoneticPr fontId="1" type="noConversion"/>
  </si>
  <si>
    <t>属性权重</t>
    <phoneticPr fontId="1" type="noConversion"/>
  </si>
  <si>
    <t>80级属性</t>
    <phoneticPr fontId="1" type="noConversion"/>
  </si>
  <si>
    <t>闪避值</t>
  </si>
  <si>
    <t>命中值</t>
  </si>
  <si>
    <t>暴击值</t>
  </si>
  <si>
    <t>暴击倍数</t>
  </si>
  <si>
    <t>韧性值</t>
  </si>
  <si>
    <t>伤害减免</t>
  </si>
  <si>
    <t>伤害加深</t>
  </si>
  <si>
    <t>生命加成</t>
  </si>
  <si>
    <t>攻击加成</t>
  </si>
  <si>
    <t>防御加成</t>
  </si>
  <si>
    <t>装备</t>
    <phoneticPr fontId="1" type="noConversion"/>
  </si>
  <si>
    <t>细化体验</t>
    <phoneticPr fontId="1" type="noConversion"/>
  </si>
  <si>
    <t>每件马仔装备</t>
    <phoneticPr fontId="1" type="noConversion"/>
  </si>
  <si>
    <t>每级培养</t>
    <phoneticPr fontId="1" type="noConversion"/>
  </si>
  <si>
    <t>每次升级</t>
    <phoneticPr fontId="1" type="noConversion"/>
  </si>
  <si>
    <t>每次升星增加成长</t>
    <phoneticPr fontId="1" type="noConversion"/>
  </si>
  <si>
    <t>系统名称</t>
  </si>
  <si>
    <t>生命权重</t>
  </si>
  <si>
    <t>攻击权重</t>
  </si>
  <si>
    <t>防御权重</t>
  </si>
  <si>
    <t>闪避权重</t>
  </si>
  <si>
    <t>命中权重</t>
  </si>
  <si>
    <t>暴击率权重</t>
  </si>
  <si>
    <t>暴击倍数权重</t>
  </si>
  <si>
    <t>韧性权重</t>
  </si>
  <si>
    <t>减伤百分比权重</t>
  </si>
  <si>
    <t>加伤百分比权重</t>
  </si>
  <si>
    <t>生命百分比</t>
  </si>
  <si>
    <t>攻击百分比</t>
  </si>
  <si>
    <t>防御百分比</t>
  </si>
  <si>
    <t>龙魂</t>
  </si>
  <si>
    <t>装备</t>
  </si>
  <si>
    <t>命格</t>
  </si>
  <si>
    <t>称号</t>
  </si>
  <si>
    <t>时装</t>
  </si>
  <si>
    <t>祥云</t>
  </si>
  <si>
    <t>翅膀</t>
  </si>
  <si>
    <t>躶体</t>
  </si>
  <si>
    <t>马仔</t>
  </si>
  <si>
    <t>减伤权重</t>
  </si>
  <si>
    <t>伤害加深权重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</si>
</sst>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76" formatCode="0.00_ "/>
    <numFmt numFmtId="177" formatCode="#,##0.00_ "/>
    <numFmt numFmtId="178" formatCode="0.0_ "/>
    <numFmt numFmtId="179" formatCode="#,##0_ "/>
    <numFmt numFmtId="180" formatCode="#,##0_);[Red]\(#,##0\)"/>
    <numFmt numFmtId="181" formatCode="#,##0.000000_ "/>
    <numFmt numFmtId="182" formatCode="0.0000%"/>
    <numFmt numFmtId="183" formatCode="0.0000_ "/>
    <numFmt numFmtId="184" formatCode="#,##0.00_);[Red]\(#,##0.00\)"/>
    <numFmt numFmtId="185" formatCode="0.0000000_ "/>
    <numFmt numFmtId="186" formatCode="0.00000000_ "/>
    <numFmt numFmtId="187" formatCode="#,##0.0000_ "/>
    <numFmt numFmtId="188" formatCode="#,##0.00_);\(#,##0.00\)"/>
    <numFmt numFmtId="189" formatCode="0_ "/>
  </numFmts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2"/>
      <charset val="134"/>
      <scheme val="minor"/>
    </font>
    <font>
      <sz val="9"/>
      <color theme="1"/>
      <name val="宋体"/>
      <family val="3"/>
      <charset val="134"/>
      <scheme val="minor"/>
    </font>
    <font>
      <sz val="11"/>
      <color theme="0"/>
      <name val="宋体"/>
      <family val="2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scheme val="minor"/>
    </font>
    <font>
      <strike/>
      <sz val="11"/>
      <color theme="1"/>
      <name val="宋体"/>
      <family val="2"/>
      <scheme val="minor"/>
    </font>
    <font>
      <strike/>
      <sz val="11"/>
      <color theme="1"/>
      <name val="宋体"/>
      <family val="3"/>
      <charset val="134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0" borderId="1" xfId="0" applyBorder="1"/>
    <xf numFmtId="0" fontId="0" fillId="0" borderId="1" xfId="0" applyBorder="1" applyAlignment="1">
      <alignment vertical="center"/>
    </xf>
    <xf numFmtId="0" fontId="0" fillId="2" borderId="1" xfId="0" applyFill="1" applyBorder="1"/>
    <xf numFmtId="0" fontId="0" fillId="2" borderId="0" xfId="0" applyFill="1"/>
    <xf numFmtId="0" fontId="0" fillId="0" borderId="1" xfId="0" applyFill="1" applyBorder="1"/>
    <xf numFmtId="0" fontId="0" fillId="8" borderId="1" xfId="0" applyFill="1" applyBorder="1"/>
    <xf numFmtId="0" fontId="0" fillId="11" borderId="1" xfId="0" applyFill="1" applyBorder="1"/>
    <xf numFmtId="176" fontId="0" fillId="11" borderId="1" xfId="0" applyNumberFormat="1" applyFill="1" applyBorder="1"/>
    <xf numFmtId="0" fontId="0" fillId="5" borderId="1" xfId="0" applyFill="1" applyBorder="1"/>
    <xf numFmtId="0" fontId="0" fillId="6" borderId="1" xfId="0" applyFill="1" applyBorder="1"/>
    <xf numFmtId="0" fontId="0" fillId="12" borderId="1" xfId="0" applyFill="1" applyBorder="1"/>
    <xf numFmtId="177" fontId="0" fillId="0" borderId="1" xfId="0" applyNumberFormat="1" applyBorder="1"/>
    <xf numFmtId="0" fontId="0" fillId="0" borderId="0" xfId="0" applyAlignment="1">
      <alignment vertical="center"/>
    </xf>
    <xf numFmtId="0" fontId="0" fillId="0" borderId="0" xfId="0" applyFill="1"/>
    <xf numFmtId="0" fontId="0" fillId="0" borderId="0" xfId="0" applyBorder="1"/>
    <xf numFmtId="0" fontId="0" fillId="0" borderId="0" xfId="0" applyFill="1" applyAlignment="1">
      <alignment wrapText="1"/>
    </xf>
    <xf numFmtId="0" fontId="0" fillId="0" borderId="0" xfId="0" applyNumberFormat="1" applyFill="1" applyAlignment="1">
      <alignment wrapText="1"/>
    </xf>
    <xf numFmtId="0" fontId="0" fillId="0" borderId="1" xfId="0" applyFill="1" applyBorder="1" applyAlignment="1">
      <alignment wrapText="1"/>
    </xf>
    <xf numFmtId="0" fontId="0" fillId="0" borderId="5" xfId="0" applyFill="1" applyBorder="1"/>
    <xf numFmtId="178" fontId="0" fillId="0" borderId="1" xfId="0" applyNumberFormat="1" applyFill="1" applyBorder="1"/>
    <xf numFmtId="0" fontId="0" fillId="0" borderId="0" xfId="0" applyFill="1" applyBorder="1" applyAlignment="1">
      <alignment wrapText="1"/>
    </xf>
    <xf numFmtId="0" fontId="0" fillId="14" borderId="1" xfId="0" applyFill="1" applyBorder="1"/>
    <xf numFmtId="0" fontId="0" fillId="0" borderId="0" xfId="0" applyFill="1" applyBorder="1"/>
    <xf numFmtId="0" fontId="0" fillId="9" borderId="1" xfId="0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0" fillId="10" borderId="1" xfId="0" applyFill="1" applyBorder="1" applyAlignment="1">
      <alignment vertical="center"/>
    </xf>
    <xf numFmtId="0" fontId="0" fillId="13" borderId="1" xfId="0" applyFill="1" applyBorder="1"/>
    <xf numFmtId="0" fontId="0" fillId="7" borderId="1" xfId="0" applyFill="1" applyBorder="1"/>
    <xf numFmtId="0" fontId="0" fillId="16" borderId="1" xfId="0" applyFill="1" applyBorder="1"/>
    <xf numFmtId="0" fontId="0" fillId="5" borderId="6" xfId="0" applyFill="1" applyBorder="1" applyAlignment="1">
      <alignment wrapText="1"/>
    </xf>
    <xf numFmtId="10" fontId="0" fillId="0" borderId="0" xfId="0" applyNumberFormat="1"/>
    <xf numFmtId="0" fontId="0" fillId="17" borderId="0" xfId="0" applyFill="1"/>
    <xf numFmtId="0" fontId="0" fillId="17" borderId="1" xfId="0" applyFill="1" applyBorder="1"/>
    <xf numFmtId="179" fontId="0" fillId="0" borderId="1" xfId="0" applyNumberFormat="1" applyBorder="1"/>
    <xf numFmtId="179" fontId="0" fillId="0" borderId="0" xfId="0" applyNumberFormat="1"/>
    <xf numFmtId="0" fontId="0" fillId="0" borderId="0" xfId="0" applyAlignment="1"/>
    <xf numFmtId="0" fontId="0" fillId="2" borderId="1" xfId="0" applyFill="1" applyBorder="1" applyAlignment="1">
      <alignment horizontal="center"/>
    </xf>
    <xf numFmtId="0" fontId="0" fillId="0" borderId="3" xfId="0" applyFill="1" applyBorder="1"/>
    <xf numFmtId="179" fontId="0" fillId="0" borderId="1" xfId="0" applyNumberFormat="1" applyFill="1" applyBorder="1"/>
    <xf numFmtId="0" fontId="0" fillId="17" borderId="7" xfId="0" applyFill="1" applyBorder="1"/>
    <xf numFmtId="0" fontId="0" fillId="0" borderId="7" xfId="0" applyBorder="1"/>
    <xf numFmtId="0" fontId="0" fillId="0" borderId="0" xfId="0" applyNumberFormat="1" applyAlignment="1">
      <alignment vertical="center"/>
    </xf>
    <xf numFmtId="0" fontId="5" fillId="0" borderId="0" xfId="0" applyFont="1"/>
    <xf numFmtId="0" fontId="0" fillId="0" borderId="1" xfId="0" applyNumberFormat="1" applyBorder="1" applyAlignment="1">
      <alignment vertical="center"/>
    </xf>
    <xf numFmtId="0" fontId="0" fillId="14" borderId="1" xfId="0" applyFill="1" applyBorder="1" applyAlignment="1">
      <alignment vertical="center"/>
    </xf>
    <xf numFmtId="177" fontId="0" fillId="0" borderId="0" xfId="0" applyNumberFormat="1"/>
    <xf numFmtId="0" fontId="0" fillId="11" borderId="1" xfId="0" applyFill="1" applyBorder="1" applyAlignment="1">
      <alignment vertical="center"/>
    </xf>
    <xf numFmtId="0" fontId="0" fillId="5" borderId="1" xfId="0" applyNumberFormat="1" applyFill="1" applyBorder="1" applyAlignment="1">
      <alignment vertical="center"/>
    </xf>
    <xf numFmtId="0" fontId="0" fillId="13" borderId="3" xfId="0" applyFill="1" applyBorder="1"/>
    <xf numFmtId="0" fontId="0" fillId="0" borderId="7" xfId="0" applyBorder="1" applyAlignment="1">
      <alignment vertical="center"/>
    </xf>
    <xf numFmtId="0" fontId="0" fillId="11" borderId="7" xfId="0" applyFill="1" applyBorder="1" applyAlignment="1">
      <alignment vertical="center"/>
    </xf>
    <xf numFmtId="0" fontId="0" fillId="5" borderId="7" xfId="0" applyFill="1" applyBorder="1"/>
    <xf numFmtId="0" fontId="0" fillId="19" borderId="0" xfId="0" applyFill="1"/>
    <xf numFmtId="0" fontId="6" fillId="20" borderId="1" xfId="0" applyFont="1" applyFill="1" applyBorder="1"/>
    <xf numFmtId="0" fontId="7" fillId="18" borderId="1" xfId="0" applyFont="1" applyFill="1" applyBorder="1"/>
    <xf numFmtId="179" fontId="0" fillId="0" borderId="0" xfId="0" applyNumberFormat="1" applyFill="1"/>
    <xf numFmtId="0" fontId="8" fillId="0" borderId="0" xfId="0" applyFont="1"/>
    <xf numFmtId="0" fontId="0" fillId="11" borderId="0" xfId="0" applyFill="1"/>
    <xf numFmtId="0" fontId="0" fillId="0" borderId="1" xfId="0" applyBorder="1" applyAlignment="1"/>
    <xf numFmtId="0" fontId="0" fillId="11" borderId="7" xfId="0" applyFill="1" applyBorder="1"/>
    <xf numFmtId="179" fontId="0" fillId="11" borderId="1" xfId="0" applyNumberFormat="1" applyFill="1" applyBorder="1"/>
    <xf numFmtId="181" fontId="0" fillId="0" borderId="0" xfId="0" applyNumberFormat="1"/>
    <xf numFmtId="0" fontId="0" fillId="14" borderId="7" xfId="0" applyFill="1" applyBorder="1"/>
    <xf numFmtId="10" fontId="6" fillId="20" borderId="1" xfId="0" applyNumberFormat="1" applyFont="1" applyFill="1" applyBorder="1"/>
    <xf numFmtId="10" fontId="7" fillId="18" borderId="1" xfId="0" applyNumberFormat="1" applyFont="1" applyFill="1" applyBorder="1"/>
    <xf numFmtId="177" fontId="0" fillId="21" borderId="1" xfId="0" applyNumberFormat="1" applyFill="1" applyBorder="1"/>
    <xf numFmtId="0" fontId="0" fillId="0" borderId="2" xfId="0" applyBorder="1"/>
    <xf numFmtId="180" fontId="0" fillId="0" borderId="1" xfId="0" applyNumberFormat="1" applyBorder="1"/>
    <xf numFmtId="0" fontId="0" fillId="0" borderId="11" xfId="0" applyFill="1" applyBorder="1"/>
    <xf numFmtId="0" fontId="0" fillId="11" borderId="11" xfId="0" applyFill="1" applyBorder="1" applyAlignment="1">
      <alignment vertical="center"/>
    </xf>
    <xf numFmtId="0" fontId="0" fillId="7" borderId="7" xfId="0" applyFill="1" applyBorder="1"/>
    <xf numFmtId="0" fontId="0" fillId="0" borderId="9" xfId="0" applyBorder="1"/>
    <xf numFmtId="0" fontId="7" fillId="18" borderId="3" xfId="0" applyFont="1" applyFill="1" applyBorder="1"/>
    <xf numFmtId="0" fontId="0" fillId="0" borderId="4" xfId="0" applyBorder="1"/>
    <xf numFmtId="0" fontId="0" fillId="17" borderId="2" xfId="0" applyFill="1" applyBorder="1"/>
    <xf numFmtId="177" fontId="0" fillId="0" borderId="1" xfId="0" applyNumberFormat="1" applyFill="1" applyBorder="1"/>
    <xf numFmtId="0" fontId="0" fillId="0" borderId="1" xfId="0" applyBorder="1" applyAlignment="1">
      <alignment horizontal="center" vertical="center"/>
    </xf>
    <xf numFmtId="0" fontId="0" fillId="5" borderId="18" xfId="0" applyFill="1" applyBorder="1"/>
    <xf numFmtId="0" fontId="0" fillId="5" borderId="13" xfId="0" applyFill="1" applyBorder="1"/>
    <xf numFmtId="0" fontId="0" fillId="12" borderId="12" xfId="0" applyFill="1" applyBorder="1"/>
    <xf numFmtId="0" fontId="0" fillId="12" borderId="21" xfId="0" applyFill="1" applyBorder="1"/>
    <xf numFmtId="0" fontId="0" fillId="12" borderId="13" xfId="0" applyFill="1" applyBorder="1"/>
    <xf numFmtId="0" fontId="0" fillId="12" borderId="14" xfId="0" applyFill="1" applyBorder="1"/>
    <xf numFmtId="0" fontId="0" fillId="12" borderId="15" xfId="0" applyFill="1" applyBorder="1"/>
    <xf numFmtId="0" fontId="0" fillId="12" borderId="16" xfId="0" applyFill="1" applyBorder="1"/>
    <xf numFmtId="0" fontId="0" fillId="12" borderId="22" xfId="0" applyFill="1" applyBorder="1"/>
    <xf numFmtId="0" fontId="0" fillId="12" borderId="17" xfId="0" applyFill="1" applyBorder="1"/>
    <xf numFmtId="177" fontId="0" fillId="0" borderId="3" xfId="0" applyNumberFormat="1" applyBorder="1"/>
    <xf numFmtId="182" fontId="0" fillId="0" borderId="1" xfId="0" applyNumberFormat="1" applyBorder="1"/>
    <xf numFmtId="0" fontId="0" fillId="0" borderId="10" xfId="0" applyBorder="1" applyAlignment="1"/>
    <xf numFmtId="10" fontId="0" fillId="0" borderId="1" xfId="0" applyNumberFormat="1" applyBorder="1"/>
    <xf numFmtId="183" fontId="6" fillId="20" borderId="1" xfId="0" applyNumberFormat="1" applyFont="1" applyFill="1" applyBorder="1"/>
    <xf numFmtId="0" fontId="0" fillId="0" borderId="0" xfId="0" applyFill="1" applyAlignment="1">
      <alignment vertical="center"/>
    </xf>
    <xf numFmtId="0" fontId="0" fillId="0" borderId="1" xfId="0" applyFont="1" applyFill="1" applyBorder="1"/>
    <xf numFmtId="0" fontId="8" fillId="0" borderId="1" xfId="0" applyFont="1" applyFill="1" applyBorder="1"/>
    <xf numFmtId="0" fontId="0" fillId="5" borderId="2" xfId="0" applyFill="1" applyBorder="1"/>
    <xf numFmtId="179" fontId="9" fillId="0" borderId="4" xfId="0" applyNumberFormat="1" applyFont="1" applyBorder="1"/>
    <xf numFmtId="0" fontId="0" fillId="0" borderId="12" xfId="0" applyFont="1" applyFill="1" applyBorder="1"/>
    <xf numFmtId="0" fontId="8" fillId="0" borderId="14" xfId="0" applyFont="1" applyFill="1" applyBorder="1"/>
    <xf numFmtId="0" fontId="8" fillId="0" borderId="16" xfId="0" applyFont="1" applyFill="1" applyBorder="1"/>
    <xf numFmtId="185" fontId="9" fillId="0" borderId="4" xfId="0" applyNumberFormat="1" applyFont="1" applyBorder="1"/>
    <xf numFmtId="0" fontId="0" fillId="5" borderId="9" xfId="0" applyFill="1" applyBorder="1"/>
    <xf numFmtId="0" fontId="0" fillId="22" borderId="2" xfId="0" applyFill="1" applyBorder="1" applyAlignment="1">
      <alignment vertical="center"/>
    </xf>
    <xf numFmtId="0" fontId="0" fillId="11" borderId="0" xfId="0" applyFill="1" applyBorder="1"/>
    <xf numFmtId="0" fontId="0" fillId="0" borderId="2" xfId="0" applyBorder="1" applyAlignment="1"/>
    <xf numFmtId="0" fontId="0" fillId="17" borderId="9" xfId="0" applyFill="1" applyBorder="1"/>
    <xf numFmtId="0" fontId="0" fillId="5" borderId="12" xfId="0" applyFill="1" applyBorder="1"/>
    <xf numFmtId="0" fontId="0" fillId="5" borderId="21" xfId="0" applyFill="1" applyBorder="1"/>
    <xf numFmtId="177" fontId="0" fillId="0" borderId="7" xfId="0" applyNumberFormat="1" applyBorder="1"/>
    <xf numFmtId="0" fontId="0" fillId="17" borderId="21" xfId="0" applyFill="1" applyBorder="1"/>
    <xf numFmtId="0" fontId="0" fillId="5" borderId="24" xfId="0" applyFill="1" applyBorder="1"/>
    <xf numFmtId="0" fontId="0" fillId="17" borderId="18" xfId="0" applyFill="1" applyBorder="1"/>
    <xf numFmtId="0" fontId="0" fillId="17" borderId="12" xfId="0" applyFill="1" applyBorder="1"/>
    <xf numFmtId="9" fontId="0" fillId="0" borderId="1" xfId="0" applyNumberFormat="1" applyBorder="1"/>
    <xf numFmtId="0" fontId="0" fillId="3" borderId="3" xfId="0" applyFill="1" applyBorder="1" applyAlignment="1">
      <alignment vertical="center"/>
    </xf>
    <xf numFmtId="180" fontId="0" fillId="0" borderId="9" xfId="0" applyNumberFormat="1" applyBorder="1"/>
    <xf numFmtId="180" fontId="0" fillId="0" borderId="23" xfId="0" applyNumberFormat="1" applyBorder="1"/>
    <xf numFmtId="0" fontId="0" fillId="17" borderId="24" xfId="0" applyFill="1" applyBorder="1"/>
    <xf numFmtId="0" fontId="0" fillId="0" borderId="7" xfId="0" applyBorder="1" applyAlignment="1"/>
    <xf numFmtId="0" fontId="0" fillId="23" borderId="1" xfId="0" applyFill="1" applyBorder="1"/>
    <xf numFmtId="185" fontId="0" fillId="0" borderId="0" xfId="0" applyNumberFormat="1"/>
    <xf numFmtId="0" fontId="0" fillId="5" borderId="7" xfId="0" applyNumberFormat="1" applyFill="1" applyBorder="1" applyAlignment="1">
      <alignment vertic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22" borderId="1" xfId="0" applyFill="1" applyBorder="1" applyAlignment="1">
      <alignment vertical="center"/>
    </xf>
    <xf numFmtId="179" fontId="0" fillId="0" borderId="0" xfId="0" applyNumberFormat="1" applyBorder="1"/>
    <xf numFmtId="0" fontId="0" fillId="0" borderId="8" xfId="0" applyBorder="1" applyAlignment="1"/>
    <xf numFmtId="0" fontId="0" fillId="17" borderId="0" xfId="0" applyFill="1" applyBorder="1"/>
    <xf numFmtId="186" fontId="0" fillId="0" borderId="0" xfId="0" applyNumberFormat="1"/>
    <xf numFmtId="10" fontId="0" fillId="0" borderId="1" xfId="0" applyNumberFormat="1" applyFill="1" applyBorder="1"/>
    <xf numFmtId="187" fontId="0" fillId="0" borderId="21" xfId="0" applyNumberFormat="1" applyBorder="1"/>
    <xf numFmtId="187" fontId="0" fillId="0" borderId="1" xfId="0" applyNumberFormat="1" applyBorder="1"/>
    <xf numFmtId="187" fontId="0" fillId="0" borderId="15" xfId="0" applyNumberFormat="1" applyBorder="1"/>
    <xf numFmtId="187" fontId="0" fillId="0" borderId="22" xfId="0" applyNumberFormat="1" applyBorder="1"/>
    <xf numFmtId="187" fontId="0" fillId="0" borderId="17" xfId="0" applyNumberFormat="1" applyBorder="1"/>
    <xf numFmtId="0" fontId="0" fillId="0" borderId="0" xfId="0" applyAlignment="1">
      <alignment vertical="top"/>
    </xf>
    <xf numFmtId="184" fontId="0" fillId="0" borderId="0" xfId="0" applyNumberFormat="1"/>
    <xf numFmtId="0" fontId="7" fillId="15" borderId="1" xfId="0" applyFont="1" applyFill="1" applyBorder="1"/>
    <xf numFmtId="0" fontId="7" fillId="15" borderId="3" xfId="0" applyFont="1" applyFill="1" applyBorder="1"/>
    <xf numFmtId="0" fontId="6" fillId="15" borderId="1" xfId="0" applyFont="1" applyFill="1" applyBorder="1"/>
    <xf numFmtId="0" fontId="11" fillId="0" borderId="1" xfId="0" applyFont="1" applyFill="1" applyBorder="1"/>
    <xf numFmtId="0" fontId="11" fillId="0" borderId="1" xfId="0" applyFont="1" applyBorder="1"/>
    <xf numFmtId="9" fontId="11" fillId="0" borderId="1" xfId="0" applyNumberFormat="1" applyFont="1" applyBorder="1"/>
    <xf numFmtId="186" fontId="0" fillId="0" borderId="1" xfId="0" applyNumberFormat="1" applyBorder="1"/>
    <xf numFmtId="0" fontId="0" fillId="17" borderId="0" xfId="0" applyFill="1" applyBorder="1" applyAlignment="1">
      <alignment horizontal="center" vertical="center"/>
    </xf>
    <xf numFmtId="0" fontId="0" fillId="0" borderId="2" xfId="0" applyFill="1" applyBorder="1"/>
    <xf numFmtId="10" fontId="0" fillId="0" borderId="2" xfId="0" applyNumberFormat="1" applyFill="1" applyBorder="1"/>
    <xf numFmtId="0" fontId="0" fillId="0" borderId="0" xfId="0" applyNumberFormat="1" applyFill="1" applyBorder="1"/>
    <xf numFmtId="180" fontId="0" fillId="0" borderId="2" xfId="0" applyNumberFormat="1" applyBorder="1"/>
    <xf numFmtId="180" fontId="0" fillId="0" borderId="21" xfId="0" applyNumberFormat="1" applyBorder="1"/>
    <xf numFmtId="180" fontId="0" fillId="0" borderId="22" xfId="0" applyNumberFormat="1" applyBorder="1"/>
    <xf numFmtId="188" fontId="0" fillId="0" borderId="0" xfId="0" applyNumberFormat="1"/>
    <xf numFmtId="189" fontId="0" fillId="0" borderId="1" xfId="0" applyNumberFormat="1" applyBorder="1"/>
    <xf numFmtId="9" fontId="0" fillId="0" borderId="0" xfId="0" applyNumberFormat="1"/>
    <xf numFmtId="0" fontId="0" fillId="0" borderId="3" xfId="0" applyFill="1" applyBorder="1" applyAlignment="1">
      <alignment vertical="center"/>
    </xf>
    <xf numFmtId="0" fontId="0" fillId="0" borderId="25" xfId="0" applyNumberFormat="1" applyFill="1" applyBorder="1"/>
    <xf numFmtId="179" fontId="0" fillId="0" borderId="0" xfId="0" applyNumberFormat="1" applyFill="1" applyBorder="1"/>
    <xf numFmtId="0" fontId="0" fillId="0" borderId="3" xfId="0" applyFill="1" applyBorder="1" applyAlignment="1"/>
    <xf numFmtId="0" fontId="0" fillId="0" borderId="0" xfId="0" applyBorder="1" applyAlignment="1">
      <alignment horizontal="center" vertical="center" textRotation="255"/>
    </xf>
    <xf numFmtId="0" fontId="0" fillId="0" borderId="0" xfId="0" applyFill="1" applyBorder="1" applyAlignment="1">
      <alignment vertical="center"/>
    </xf>
    <xf numFmtId="0" fontId="0" fillId="0" borderId="1" xfId="0" applyBorder="1" applyAlignment="1">
      <alignment horizontal="center"/>
    </xf>
    <xf numFmtId="177" fontId="0" fillId="24" borderId="1" xfId="0" applyNumberFormat="1" applyFill="1" applyBorder="1"/>
    <xf numFmtId="0" fontId="0" fillId="17" borderId="5" xfId="0" applyFill="1" applyBorder="1"/>
    <xf numFmtId="0" fontId="0" fillId="0" borderId="1" xfId="0" applyNumberFormat="1" applyFill="1" applyBorder="1"/>
    <xf numFmtId="0" fontId="0" fillId="0" borderId="1" xfId="0" applyNumberFormat="1" applyBorder="1"/>
    <xf numFmtId="0" fontId="0" fillId="17" borderId="1" xfId="0" applyNumberFormat="1" applyFill="1" applyBorder="1"/>
    <xf numFmtId="0" fontId="0" fillId="0" borderId="0" xfId="0" applyNumberFormat="1"/>
    <xf numFmtId="0" fontId="0" fillId="5" borderId="0" xfId="0" applyFill="1"/>
    <xf numFmtId="179" fontId="0" fillId="0" borderId="3" xfId="0" applyNumberFormat="1" applyFill="1" applyBorder="1"/>
    <xf numFmtId="0" fontId="0" fillId="22" borderId="0" xfId="0" applyFill="1" applyBorder="1" applyAlignment="1">
      <alignment vertical="center"/>
    </xf>
    <xf numFmtId="10" fontId="0" fillId="0" borderId="1" xfId="0" applyNumberFormat="1" applyBorder="1" applyAlignment="1">
      <alignment vertical="center"/>
    </xf>
    <xf numFmtId="0" fontId="0" fillId="0" borderId="0" xfId="0"/>
    <xf numFmtId="10" fontId="0" fillId="0" borderId="0" xfId="0" applyNumberFormat="1"/>
    <xf numFmtId="0" fontId="0" fillId="19" borderId="0" xfId="0" applyFill="1"/>
    <xf numFmtId="10" fontId="6" fillId="20" borderId="1" xfId="0" applyNumberFormat="1" applyFont="1" applyFill="1" applyBorder="1"/>
    <xf numFmtId="0" fontId="10" fillId="0" borderId="1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7" fillId="20" borderId="11" xfId="0" applyFont="1" applyFill="1" applyBorder="1" applyAlignment="1">
      <alignment horizontal="left"/>
    </xf>
    <xf numFmtId="0" fontId="7" fillId="20" borderId="0" xfId="0" applyFont="1" applyFill="1" applyBorder="1" applyAlignment="1">
      <alignment horizontal="left"/>
    </xf>
    <xf numFmtId="0" fontId="7" fillId="18" borderId="11" xfId="0" applyFont="1" applyFill="1" applyBorder="1" applyAlignment="1">
      <alignment horizontal="left"/>
    </xf>
    <xf numFmtId="0" fontId="7" fillId="18" borderId="0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 textRotation="255"/>
    </xf>
  </cellXfs>
  <cellStyles count="1">
    <cellStyle name="常规" xfId="0" builtinId="0"/>
  </cellStyles>
  <dxfs count="119"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Medium9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354564755838641"/>
          <c:y val="0.199074074074074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'2、属性成长'!$E$5:$E$105</c:f>
              <c:numCache>
                <c:formatCode>General</c:formatCode>
                <c:ptCount val="101"/>
                <c:pt idx="0">
                  <c:v>60</c:v>
                </c:pt>
                <c:pt idx="1">
                  <c:v>66</c:v>
                </c:pt>
                <c:pt idx="2">
                  <c:v>72</c:v>
                </c:pt>
                <c:pt idx="3">
                  <c:v>78</c:v>
                </c:pt>
                <c:pt idx="4">
                  <c:v>84</c:v>
                </c:pt>
                <c:pt idx="5">
                  <c:v>90</c:v>
                </c:pt>
                <c:pt idx="6">
                  <c:v>148.19999999999999</c:v>
                </c:pt>
                <c:pt idx="7">
                  <c:v>169.89374999999998</c:v>
                </c:pt>
                <c:pt idx="8">
                  <c:v>193.05</c:v>
                </c:pt>
                <c:pt idx="9">
                  <c:v>242.45135869565217</c:v>
                </c:pt>
                <c:pt idx="10">
                  <c:v>295.92391304347831</c:v>
                </c:pt>
                <c:pt idx="11">
                  <c:v>353.46766304347824</c:v>
                </c:pt>
                <c:pt idx="12">
                  <c:v>415.08260869565214</c:v>
                </c:pt>
                <c:pt idx="13">
                  <c:v>480.76874999999995</c:v>
                </c:pt>
                <c:pt idx="14">
                  <c:v>550.52608695652179</c:v>
                </c:pt>
                <c:pt idx="15">
                  <c:v>624.35461956521738</c:v>
                </c:pt>
                <c:pt idx="16">
                  <c:v>702.25434782608704</c:v>
                </c:pt>
                <c:pt idx="17">
                  <c:v>784.22527173913045</c:v>
                </c:pt>
                <c:pt idx="18">
                  <c:v>870.26739130434817</c:v>
                </c:pt>
                <c:pt idx="19">
                  <c:v>960.38070652173917</c:v>
                </c:pt>
                <c:pt idx="20">
                  <c:v>1054.5652173913045</c:v>
                </c:pt>
                <c:pt idx="21">
                  <c:v>1152.8209239130438</c:v>
                </c:pt>
                <c:pt idx="22">
                  <c:v>1255.1478260869567</c:v>
                </c:pt>
                <c:pt idx="23">
                  <c:v>1386.9305392976592</c:v>
                </c:pt>
                <c:pt idx="24">
                  <c:v>1524.3229096989967</c:v>
                </c:pt>
                <c:pt idx="25">
                  <c:v>1667.3249372909704</c:v>
                </c:pt>
                <c:pt idx="26">
                  <c:v>1838.9766220735789</c:v>
                </c:pt>
                <c:pt idx="27">
                  <c:v>2017.5179640468232</c:v>
                </c:pt>
                <c:pt idx="28">
                  <c:v>2202.9489632107029</c:v>
                </c:pt>
                <c:pt idx="29">
                  <c:v>2395.2696195652184</c:v>
                </c:pt>
                <c:pt idx="30">
                  <c:v>2626.9109322742484</c:v>
                </c:pt>
                <c:pt idx="31">
                  <c:v>2868.8867307692312</c:v>
                </c:pt>
                <c:pt idx="32">
                  <c:v>3122.3317976588637</c:v>
                </c:pt>
                <c:pt idx="33">
                  <c:v>3386.1896112040149</c:v>
                </c:pt>
                <c:pt idx="34">
                  <c:v>3660.4601714046826</c:v>
                </c:pt>
                <c:pt idx="35">
                  <c:v>3945.1434782608699</c:v>
                </c:pt>
                <c:pt idx="36">
                  <c:v>4240.2395317725759</c:v>
                </c:pt>
                <c:pt idx="37">
                  <c:v>4545.7483319397998</c:v>
                </c:pt>
                <c:pt idx="38">
                  <c:v>4861.6698787625419</c:v>
                </c:pt>
                <c:pt idx="39">
                  <c:v>5188.0041722408032</c:v>
                </c:pt>
                <c:pt idx="40">
                  <c:v>5574.5237458194006</c:v>
                </c:pt>
                <c:pt idx="41">
                  <c:v>5974.9269816053529</c:v>
                </c:pt>
                <c:pt idx="42">
                  <c:v>6389.2138795986639</c:v>
                </c:pt>
                <c:pt idx="43">
                  <c:v>6817.3844397993325</c:v>
                </c:pt>
                <c:pt idx="44">
                  <c:v>7259.4386622073589</c:v>
                </c:pt>
                <c:pt idx="45">
                  <c:v>7715.3765468227448</c:v>
                </c:pt>
                <c:pt idx="46">
                  <c:v>8185.1980936454875</c:v>
                </c:pt>
                <c:pt idx="47">
                  <c:v>8668.9033026755878</c:v>
                </c:pt>
                <c:pt idx="48">
                  <c:v>9166.4921739130477</c:v>
                </c:pt>
                <c:pt idx="49">
                  <c:v>9677.9647073578635</c:v>
                </c:pt>
                <c:pt idx="50">
                  <c:v>10270.448014214051</c:v>
                </c:pt>
                <c:pt idx="51">
                  <c:v>10880.285898829434</c:v>
                </c:pt>
                <c:pt idx="52">
                  <c:v>11507.478361204016</c:v>
                </c:pt>
                <c:pt idx="53">
                  <c:v>12152.025401337796</c:v>
                </c:pt>
                <c:pt idx="54">
                  <c:v>12813.927019230772</c:v>
                </c:pt>
                <c:pt idx="55">
                  <c:v>13493.183214882944</c:v>
                </c:pt>
                <c:pt idx="56">
                  <c:v>14189.793988294317</c:v>
                </c:pt>
                <c:pt idx="57">
                  <c:v>14903.759339464887</c:v>
                </c:pt>
                <c:pt idx="58">
                  <c:v>15635.079268394653</c:v>
                </c:pt>
                <c:pt idx="59">
                  <c:v>16383.753775083616</c:v>
                </c:pt>
                <c:pt idx="60">
                  <c:v>17234.26454849499</c:v>
                </c:pt>
                <c:pt idx="61">
                  <c:v>18105.600815217396</c:v>
                </c:pt>
                <c:pt idx="62">
                  <c:v>18997.762575250843</c:v>
                </c:pt>
                <c:pt idx="63">
                  <c:v>19910.749828595326</c:v>
                </c:pt>
                <c:pt idx="64">
                  <c:v>20844.562575250846</c:v>
                </c:pt>
                <c:pt idx="65">
                  <c:v>21799.200815217395</c:v>
                </c:pt>
                <c:pt idx="66">
                  <c:v>22774.664548494995</c:v>
                </c:pt>
                <c:pt idx="67">
                  <c:v>23770.953775083628</c:v>
                </c:pt>
                <c:pt idx="68">
                  <c:v>24788.068494983298</c:v>
                </c:pt>
                <c:pt idx="69">
                  <c:v>25826.008708194004</c:v>
                </c:pt>
                <c:pt idx="70">
                  <c:v>26986.610681438149</c:v>
                </c:pt>
                <c:pt idx="71">
                  <c:v>28171.509063545167</c:v>
                </c:pt>
                <c:pt idx="72">
                  <c:v>29380.703854515068</c:v>
                </c:pt>
                <c:pt idx="73">
                  <c:v>30614.195054347845</c:v>
                </c:pt>
                <c:pt idx="74">
                  <c:v>31871.982663043495</c:v>
                </c:pt>
                <c:pt idx="75">
                  <c:v>33154.066680602024</c:v>
                </c:pt>
                <c:pt idx="76">
                  <c:v>34460.447107023429</c:v>
                </c:pt>
                <c:pt idx="77">
                  <c:v>35791.123942307706</c:v>
                </c:pt>
                <c:pt idx="78">
                  <c:v>37146.097186454856</c:v>
                </c:pt>
                <c:pt idx="79">
                  <c:v>38525.366839464899</c:v>
                </c:pt>
                <c:pt idx="80">
                  <c:v>40048.123745819401</c:v>
                </c:pt>
                <c:pt idx="81">
                  <c:v>41598.647976588647</c:v>
                </c:pt>
                <c:pt idx="82">
                  <c:v>43176.939531772587</c:v>
                </c:pt>
                <c:pt idx="83">
                  <c:v>44782.998411371249</c:v>
                </c:pt>
                <c:pt idx="84">
                  <c:v>46416.824615384627</c:v>
                </c:pt>
                <c:pt idx="85">
                  <c:v>48078.418143812705</c:v>
                </c:pt>
                <c:pt idx="86">
                  <c:v>49767.778996655521</c:v>
                </c:pt>
                <c:pt idx="87">
                  <c:v>51484.90717391303</c:v>
                </c:pt>
                <c:pt idx="88">
                  <c:v>53229.80267558527</c:v>
                </c:pt>
                <c:pt idx="89">
                  <c:v>55002.465501672232</c:v>
                </c:pt>
                <c:pt idx="90">
                  <c:v>56802.895652173887</c:v>
                </c:pt>
                <c:pt idx="91">
                  <c:v>58631.09312709028</c:v>
                </c:pt>
                <c:pt idx="92">
                  <c:v>60487.057926421388</c:v>
                </c:pt>
                <c:pt idx="93">
                  <c:v>62370.790050167183</c:v>
                </c:pt>
                <c:pt idx="94">
                  <c:v>64282.289498327722</c:v>
                </c:pt>
                <c:pt idx="95">
                  <c:v>66221.556270902962</c:v>
                </c:pt>
                <c:pt idx="96">
                  <c:v>68188.590367892932</c:v>
                </c:pt>
                <c:pt idx="97">
                  <c:v>70183.391789297617</c:v>
                </c:pt>
                <c:pt idx="98">
                  <c:v>72205.960535116988</c:v>
                </c:pt>
                <c:pt idx="99">
                  <c:v>74256.296605351105</c:v>
                </c:pt>
                <c:pt idx="100">
                  <c:v>76334.399999999936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7376272"/>
        <c:axId val="717376832"/>
      </c:lineChart>
      <c:catAx>
        <c:axId val="7173762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17376832"/>
        <c:crosses val="autoZero"/>
        <c:auto val="1"/>
        <c:lblAlgn val="ctr"/>
        <c:lblOffset val="100"/>
        <c:noMultiLvlLbl val="0"/>
      </c:catAx>
      <c:valAx>
        <c:axId val="71737683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71737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777240</xdr:colOff>
      <xdr:row>113</xdr:row>
      <xdr:rowOff>7620</xdr:rowOff>
    </xdr:from>
    <xdr:to>
      <xdr:col>11</xdr:col>
      <xdr:colOff>274320</xdr:colOff>
      <xdr:row>128</xdr:row>
      <xdr:rowOff>7620</xdr:rowOff>
    </xdr:to>
    <xdr:graphicFrame macro="">
      <xdr:nvGraphicFramePr>
        <xdr:cNvPr id="5" name="图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K32"/>
  <sheetViews>
    <sheetView workbookViewId="0">
      <selection activeCell="G10" sqref="G10:K10"/>
    </sheetView>
  </sheetViews>
  <sheetFormatPr defaultRowHeight="13.5" x14ac:dyDescent="0.15"/>
  <cols>
    <col min="2" max="2" width="16.125" bestFit="1" customWidth="1"/>
    <col min="4" max="4" width="14.375" customWidth="1"/>
    <col min="5" max="5" width="11.5" customWidth="1"/>
    <col min="6" max="6" width="11.625" bestFit="1" customWidth="1"/>
  </cols>
  <sheetData>
    <row r="1" spans="2:11" x14ac:dyDescent="0.15">
      <c r="B1" s="2" t="s">
        <v>168</v>
      </c>
      <c r="C1" s="44" t="s">
        <v>167</v>
      </c>
    </row>
    <row r="2" spans="2:11" x14ac:dyDescent="0.15">
      <c r="B2" s="2" t="s">
        <v>251</v>
      </c>
      <c r="C2" s="44">
        <v>0</v>
      </c>
    </row>
    <row r="3" spans="2:11" x14ac:dyDescent="0.15">
      <c r="B3" s="2" t="s">
        <v>169</v>
      </c>
      <c r="C3" s="44">
        <v>1</v>
      </c>
    </row>
    <row r="4" spans="2:11" x14ac:dyDescent="0.15">
      <c r="B4" s="2" t="s">
        <v>170</v>
      </c>
      <c r="C4" s="44">
        <v>2</v>
      </c>
    </row>
    <row r="5" spans="2:11" x14ac:dyDescent="0.15">
      <c r="B5" s="2" t="s">
        <v>171</v>
      </c>
      <c r="C5" s="44">
        <v>3</v>
      </c>
    </row>
    <row r="6" spans="2:11" x14ac:dyDescent="0.15">
      <c r="B6" s="2" t="s">
        <v>420</v>
      </c>
      <c r="C6" s="44">
        <v>4</v>
      </c>
    </row>
    <row r="7" spans="2:11" x14ac:dyDescent="0.15">
      <c r="B7" s="2" t="s">
        <v>421</v>
      </c>
      <c r="C7" s="44">
        <v>5</v>
      </c>
    </row>
    <row r="8" spans="2:11" x14ac:dyDescent="0.15">
      <c r="B8" s="2" t="s">
        <v>380</v>
      </c>
      <c r="C8" s="44">
        <v>6</v>
      </c>
      <c r="F8" s="1"/>
      <c r="G8" s="1" t="s">
        <v>407</v>
      </c>
      <c r="H8" s="1" t="s">
        <v>408</v>
      </c>
      <c r="I8" s="1" t="s">
        <v>409</v>
      </c>
      <c r="J8" s="1" t="s">
        <v>410</v>
      </c>
      <c r="K8" s="1" t="s">
        <v>411</v>
      </c>
    </row>
    <row r="9" spans="2:11" x14ac:dyDescent="0.15">
      <c r="B9" s="2" t="s">
        <v>381</v>
      </c>
      <c r="C9" s="44">
        <v>7</v>
      </c>
      <c r="F9" s="1" t="s">
        <v>413</v>
      </c>
      <c r="G9" s="1">
        <v>1.2</v>
      </c>
      <c r="H9" s="1">
        <v>2</v>
      </c>
      <c r="I9" s="1">
        <v>2.5</v>
      </c>
      <c r="J9" s="1">
        <v>2.7</v>
      </c>
      <c r="K9" s="5">
        <v>3</v>
      </c>
    </row>
    <row r="10" spans="2:11" x14ac:dyDescent="0.15">
      <c r="B10" s="2" t="s">
        <v>378</v>
      </c>
      <c r="C10" s="44">
        <v>8</v>
      </c>
      <c r="F10" s="1" t="s">
        <v>412</v>
      </c>
      <c r="G10" s="114">
        <f>G9/$K$9</f>
        <v>0.39999999999999997</v>
      </c>
      <c r="H10" s="114">
        <f t="shared" ref="H10:K10" si="0">H9/$K$9</f>
        <v>0.66666666666666663</v>
      </c>
      <c r="I10" s="114">
        <f t="shared" si="0"/>
        <v>0.83333333333333337</v>
      </c>
      <c r="J10" s="114">
        <f t="shared" si="0"/>
        <v>0.9</v>
      </c>
      <c r="K10" s="114">
        <f t="shared" si="0"/>
        <v>1</v>
      </c>
    </row>
    <row r="11" spans="2:11" x14ac:dyDescent="0.15">
      <c r="B11" s="2" t="s">
        <v>379</v>
      </c>
      <c r="C11" s="44">
        <v>9</v>
      </c>
    </row>
    <row r="12" spans="2:11" x14ac:dyDescent="0.15">
      <c r="B12" s="2" t="s">
        <v>435</v>
      </c>
      <c r="C12" s="44">
        <v>10</v>
      </c>
    </row>
    <row r="13" spans="2:11" x14ac:dyDescent="0.15">
      <c r="B13" s="156" t="s">
        <v>422</v>
      </c>
      <c r="C13" s="44">
        <v>11</v>
      </c>
    </row>
    <row r="14" spans="2:11" x14ac:dyDescent="0.15">
      <c r="B14" s="2" t="s">
        <v>429</v>
      </c>
      <c r="C14" s="44">
        <v>21</v>
      </c>
    </row>
    <row r="15" spans="2:11" x14ac:dyDescent="0.15">
      <c r="B15" s="2" t="s">
        <v>430</v>
      </c>
      <c r="C15" s="44">
        <v>22</v>
      </c>
    </row>
    <row r="16" spans="2:11" x14ac:dyDescent="0.15">
      <c r="B16" s="2" t="s">
        <v>431</v>
      </c>
      <c r="C16" s="44">
        <v>23</v>
      </c>
    </row>
    <row r="17" spans="2:3" x14ac:dyDescent="0.15">
      <c r="B17" s="2" t="s">
        <v>433</v>
      </c>
      <c r="C17" s="44">
        <v>24</v>
      </c>
    </row>
    <row r="18" spans="2:3" x14ac:dyDescent="0.15">
      <c r="B18" s="2" t="s">
        <v>432</v>
      </c>
      <c r="C18" s="44">
        <v>25</v>
      </c>
    </row>
    <row r="19" spans="2:3" x14ac:dyDescent="0.15">
      <c r="B19" s="2"/>
      <c r="C19" s="44"/>
    </row>
    <row r="20" spans="2:3" x14ac:dyDescent="0.15">
      <c r="B20" s="2"/>
      <c r="C20" s="44"/>
    </row>
    <row r="21" spans="2:3" x14ac:dyDescent="0.15">
      <c r="B21" s="2"/>
      <c r="C21" s="44"/>
    </row>
    <row r="22" spans="2:3" x14ac:dyDescent="0.15">
      <c r="B22" s="2"/>
      <c r="C22" s="44"/>
    </row>
    <row r="23" spans="2:3" x14ac:dyDescent="0.15">
      <c r="B23" s="2"/>
      <c r="C23" s="44"/>
    </row>
    <row r="24" spans="2:3" x14ac:dyDescent="0.15">
      <c r="B24" s="2"/>
      <c r="C24" s="44"/>
    </row>
    <row r="25" spans="2:3" ht="10.15" customHeight="1" x14ac:dyDescent="0.15"/>
    <row r="26" spans="2:3" ht="24" customHeight="1" x14ac:dyDescent="0.15"/>
    <row r="27" spans="2:3" x14ac:dyDescent="0.15">
      <c r="B27" s="2" t="s">
        <v>245</v>
      </c>
      <c r="C27" s="1" t="s">
        <v>244</v>
      </c>
    </row>
    <row r="28" spans="2:3" x14ac:dyDescent="0.15">
      <c r="B28" s="1" t="s">
        <v>246</v>
      </c>
      <c r="C28" s="1">
        <v>0</v>
      </c>
    </row>
    <row r="29" spans="2:3" x14ac:dyDescent="0.15">
      <c r="B29" s="1" t="s">
        <v>247</v>
      </c>
      <c r="C29" s="1">
        <v>1</v>
      </c>
    </row>
    <row r="30" spans="2:3" x14ac:dyDescent="0.15">
      <c r="B30" s="1" t="s">
        <v>248</v>
      </c>
      <c r="C30" s="1">
        <v>2</v>
      </c>
    </row>
    <row r="31" spans="2:3" x14ac:dyDescent="0.15">
      <c r="B31" s="1" t="s">
        <v>249</v>
      </c>
      <c r="C31" s="1">
        <v>3</v>
      </c>
    </row>
    <row r="32" spans="2:3" x14ac:dyDescent="0.15">
      <c r="B32" s="1" t="s">
        <v>250</v>
      </c>
      <c r="C32" s="1">
        <v>4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0000"/>
  </sheetPr>
  <dimension ref="A1:R38"/>
  <sheetViews>
    <sheetView workbookViewId="0">
      <selection activeCell="I17" sqref="I17"/>
    </sheetView>
  </sheetViews>
  <sheetFormatPr defaultRowHeight="13.5" x14ac:dyDescent="0.15"/>
  <cols>
    <col min="3" max="3" width="17.375" customWidth="1"/>
    <col min="9" max="9" width="21.5" bestFit="1" customWidth="1"/>
    <col min="11" max="11" width="16.375" customWidth="1"/>
    <col min="12" max="12" width="13.125" customWidth="1"/>
    <col min="13" max="13" width="13.875" bestFit="1" customWidth="1"/>
    <col min="15" max="15" width="12.75" bestFit="1" customWidth="1"/>
  </cols>
  <sheetData>
    <row r="1" spans="1:18" x14ac:dyDescent="0.15">
      <c r="A1" t="s">
        <v>322</v>
      </c>
    </row>
    <row r="2" spans="1:18" x14ac:dyDescent="0.15">
      <c r="A2" s="179" t="s">
        <v>325</v>
      </c>
      <c r="B2" s="179"/>
      <c r="C2" s="179"/>
      <c r="D2" s="179"/>
      <c r="E2" s="179"/>
      <c r="F2" s="179"/>
      <c r="G2" s="179"/>
      <c r="H2" s="179"/>
      <c r="I2" s="1" t="s">
        <v>172</v>
      </c>
      <c r="J2" s="1"/>
      <c r="K2" s="1" t="s">
        <v>173</v>
      </c>
      <c r="L2" s="1"/>
      <c r="M2" s="1"/>
    </row>
    <row r="3" spans="1:18" x14ac:dyDescent="0.15">
      <c r="A3" s="179" t="str">
        <f>"躲避率=(防御者闪避值-攻击者命中值)/(防御者闪避值-攻击者命中值+"&amp;J3/M3-J3&amp;"）"</f>
        <v>躲避率=(防御者闪避值-攻击者命中值)/(防御者闪避值-攻击者命中值+116666.666666667）</v>
      </c>
      <c r="B3" s="179"/>
      <c r="C3" s="179"/>
      <c r="D3" s="179"/>
      <c r="E3" s="179"/>
      <c r="F3" s="179"/>
      <c r="G3" s="179"/>
      <c r="H3" s="179"/>
      <c r="I3" s="1" t="s">
        <v>323</v>
      </c>
      <c r="J3" s="1">
        <v>50000</v>
      </c>
      <c r="K3" s="1"/>
      <c r="L3" s="1" t="s">
        <v>349</v>
      </c>
      <c r="M3" s="91">
        <v>0.3</v>
      </c>
    </row>
    <row r="4" spans="1:18" x14ac:dyDescent="0.15">
      <c r="A4" s="181" t="str">
        <f>"暴击倍数BUF=1.5+暴击倍数值/"&amp;I11/M4</f>
        <v>暴击倍数BUF=1.5+暴击倍数值/50000</v>
      </c>
      <c r="B4" s="182"/>
      <c r="C4" s="182"/>
      <c r="D4" s="182"/>
      <c r="E4" s="182"/>
      <c r="F4" s="182"/>
      <c r="G4" s="182"/>
      <c r="H4" s="183"/>
      <c r="I4" s="1" t="s">
        <v>324</v>
      </c>
      <c r="J4" s="1">
        <v>50000</v>
      </c>
      <c r="K4" s="1"/>
      <c r="L4" s="1" t="s">
        <v>349</v>
      </c>
      <c r="M4" s="91">
        <v>1</v>
      </c>
    </row>
    <row r="5" spans="1:18" x14ac:dyDescent="0.15">
      <c r="A5" s="179" t="str">
        <f>"暴击BUF=MAX(（暴击值-韧性值）/"&amp;J5/M5&amp;",0)"</f>
        <v>暴击BUF=MAX(（暴击值-韧性值）/166666.666666667,0)</v>
      </c>
      <c r="B5" s="179"/>
      <c r="C5" s="179"/>
      <c r="D5" s="179"/>
      <c r="E5" s="179"/>
      <c r="F5" s="179"/>
      <c r="G5" s="179"/>
      <c r="H5" s="179"/>
      <c r="I5" s="1" t="s">
        <v>397</v>
      </c>
      <c r="J5" s="1">
        <v>50000</v>
      </c>
      <c r="K5" s="1"/>
      <c r="L5" s="1" t="s">
        <v>349</v>
      </c>
      <c r="M5" s="91">
        <v>0.3</v>
      </c>
      <c r="N5">
        <v>1.5</v>
      </c>
    </row>
    <row r="6" spans="1:18" x14ac:dyDescent="0.15">
      <c r="A6" s="180" t="str">
        <f>"伤害BUF=MAX((伤害加深-伤害减免*(防御者等级-攻击者等级)^0.1）/"&amp;J6/M6&amp;",0)"</f>
        <v>伤害BUF=MAX((伤害加深-伤害减免*(防御者等级-攻击者等级)^0.1）/66666.6666666667,0)</v>
      </c>
      <c r="B6" s="180"/>
      <c r="C6" s="180"/>
      <c r="D6" s="180"/>
      <c r="E6" s="180"/>
      <c r="F6" s="180"/>
      <c r="G6" s="180"/>
      <c r="H6" s="180"/>
      <c r="I6" s="1" t="s">
        <v>327</v>
      </c>
      <c r="J6" s="1">
        <v>20000</v>
      </c>
      <c r="K6" s="1"/>
      <c r="L6" s="1" t="s">
        <v>349</v>
      </c>
      <c r="M6" s="91">
        <v>0.3</v>
      </c>
    </row>
    <row r="7" spans="1:18" x14ac:dyDescent="0.15">
      <c r="A7" s="177" t="s">
        <v>328</v>
      </c>
      <c r="B7" s="178"/>
      <c r="C7" s="178"/>
      <c r="D7" s="178"/>
      <c r="E7" s="178"/>
      <c r="F7" s="178"/>
      <c r="G7" s="178"/>
      <c r="H7" s="178"/>
      <c r="I7" s="142" t="s">
        <v>326</v>
      </c>
      <c r="J7" s="143">
        <v>50000</v>
      </c>
      <c r="K7" s="143"/>
      <c r="L7" s="143" t="s">
        <v>349</v>
      </c>
      <c r="M7" s="144">
        <v>0.2</v>
      </c>
    </row>
    <row r="8" spans="1:18" x14ac:dyDescent="0.15">
      <c r="I8" s="5" t="s">
        <v>388</v>
      </c>
      <c r="J8" s="5">
        <v>10000</v>
      </c>
      <c r="K8" s="1"/>
      <c r="L8" s="1" t="s">
        <v>195</v>
      </c>
      <c r="M8" s="131">
        <v>0.1</v>
      </c>
      <c r="R8" t="s">
        <v>175</v>
      </c>
    </row>
    <row r="9" spans="1:18" x14ac:dyDescent="0.15">
      <c r="I9" s="5" t="s">
        <v>389</v>
      </c>
      <c r="J9" s="5">
        <v>20000</v>
      </c>
      <c r="K9" s="1"/>
      <c r="L9" s="1" t="s">
        <v>195</v>
      </c>
      <c r="M9" s="131">
        <v>0.2</v>
      </c>
      <c r="R9" t="s">
        <v>176</v>
      </c>
    </row>
    <row r="10" spans="1:18" x14ac:dyDescent="0.15">
      <c r="I10" s="147" t="s">
        <v>390</v>
      </c>
      <c r="J10" s="147">
        <v>20000</v>
      </c>
      <c r="K10" s="67"/>
      <c r="L10" s="67" t="s">
        <v>195</v>
      </c>
      <c r="M10" s="148">
        <v>0.3</v>
      </c>
      <c r="R10" t="s">
        <v>177</v>
      </c>
    </row>
    <row r="11" spans="1:18" ht="14.25" thickBot="1" x14ac:dyDescent="0.2">
      <c r="C11" s="1"/>
      <c r="D11" s="1"/>
      <c r="E11" s="1"/>
      <c r="F11" s="1">
        <v>50000</v>
      </c>
      <c r="G11" s="1">
        <v>50000</v>
      </c>
      <c r="H11" s="1">
        <v>50000</v>
      </c>
      <c r="I11" s="1">
        <v>50000</v>
      </c>
      <c r="J11" s="1">
        <v>50000</v>
      </c>
      <c r="K11" s="154">
        <v>20000</v>
      </c>
      <c r="L11" s="154">
        <v>20000</v>
      </c>
      <c r="M11" s="5">
        <v>10000</v>
      </c>
      <c r="N11" s="34">
        <v>20000</v>
      </c>
      <c r="O11" s="34">
        <v>20000</v>
      </c>
      <c r="R11" t="s">
        <v>178</v>
      </c>
    </row>
    <row r="12" spans="1:18" x14ac:dyDescent="0.15">
      <c r="C12" s="9" t="str">
        <f>'0、规划配置'!B3</f>
        <v>生命</v>
      </c>
      <c r="D12" s="9" t="str">
        <f>'0、规划配置'!B4</f>
        <v>攻击</v>
      </c>
      <c r="E12" s="48" t="str">
        <f>'0、规划配置'!B5</f>
        <v>防御</v>
      </c>
      <c r="F12" s="9" t="str">
        <f>'0、规划配置'!B9</f>
        <v>闪避值</v>
      </c>
      <c r="G12" s="9" t="str">
        <f>'0、规划配置'!B8</f>
        <v>命中值</v>
      </c>
      <c r="H12" s="9" t="str">
        <f>'0、规划配置'!B10</f>
        <v>暴击值</v>
      </c>
      <c r="I12" s="9" t="str">
        <f>'0、规划配置'!B12</f>
        <v>暴击倍数</v>
      </c>
      <c r="J12" s="9" t="str">
        <f>'0、规划配置'!B11</f>
        <v>韧性值</v>
      </c>
      <c r="K12" s="106" t="str">
        <f>'0、规划配置'!B18</f>
        <v>伤害减免</v>
      </c>
      <c r="L12" s="40" t="str">
        <f>'0、规划配置'!B17</f>
        <v>伤害加深</v>
      </c>
      <c r="M12" s="33" t="str">
        <f>'0、规划配置'!B14</f>
        <v>生命加成</v>
      </c>
      <c r="N12" s="33" t="str">
        <f>'0、规划配置'!B15</f>
        <v>攻击加成</v>
      </c>
      <c r="O12" s="33" t="str">
        <f>'0、规划配置'!B16</f>
        <v>防御加成</v>
      </c>
      <c r="P12" s="113"/>
    </row>
    <row r="13" spans="1:18" x14ac:dyDescent="0.15">
      <c r="C13" s="1">
        <f>ROUND(SUM('3、总属性战斗节奏拟合'!A5:A104)/100,2)</f>
        <v>0.04</v>
      </c>
      <c r="D13" s="1">
        <v>1</v>
      </c>
      <c r="E13" s="1">
        <v>1</v>
      </c>
      <c r="F13" s="1">
        <f>ROUND('4、人物躶体&amp;总属性表'!AC105,2)</f>
        <v>0.34</v>
      </c>
      <c r="G13" s="1">
        <f>ROUND('4、人物躶体&amp;总属性表'!AC105,2)</f>
        <v>0.34</v>
      </c>
      <c r="H13" s="1">
        <f>ROUND('4、人物躶体&amp;总属性表'!AD105,2)</f>
        <v>0.18</v>
      </c>
      <c r="I13" s="1">
        <f>ROUND('4、人物躶体&amp;总属性表'!AE105/各种公式!J4*各种公式!M4,2)</f>
        <v>0.12</v>
      </c>
      <c r="J13" s="1">
        <f>H13</f>
        <v>0.18</v>
      </c>
      <c r="K13" s="1">
        <f>L13</f>
        <v>0.3</v>
      </c>
      <c r="L13" s="1">
        <f>ROUND('4、人物躶体&amp;总属性表'!AF105/J6,2)</f>
        <v>0.3</v>
      </c>
      <c r="M13" s="1">
        <f>ROUND('4、人物躶体&amp;总属性表'!AG105/M11,2)</f>
        <v>0.4</v>
      </c>
      <c r="N13" s="1">
        <f>ROUND('4、人物躶体&amp;总属性表'!AH105/N11,2)</f>
        <v>0.36</v>
      </c>
      <c r="O13" s="1">
        <f>ROUND('4、人物躶体&amp;总属性表'!AI105/O11,2)</f>
        <v>0.24</v>
      </c>
    </row>
    <row r="14" spans="1:18" x14ac:dyDescent="0.15">
      <c r="C14" s="43" t="s">
        <v>174</v>
      </c>
    </row>
    <row r="15" spans="1:18" x14ac:dyDescent="0.15">
      <c r="C15" s="36"/>
      <c r="D15" s="36"/>
      <c r="E15" s="36"/>
      <c r="F15" s="36">
        <f>F11*F13</f>
        <v>17000</v>
      </c>
      <c r="G15" s="36">
        <f t="shared" ref="G15:O15" si="0">G11*G13</f>
        <v>17000</v>
      </c>
      <c r="H15" s="36">
        <f t="shared" si="0"/>
        <v>9000</v>
      </c>
      <c r="I15" s="36">
        <f t="shared" si="0"/>
        <v>6000</v>
      </c>
      <c r="J15" s="36">
        <f t="shared" si="0"/>
        <v>9000</v>
      </c>
      <c r="K15" s="36">
        <f t="shared" si="0"/>
        <v>6000</v>
      </c>
      <c r="L15" s="36">
        <f t="shared" si="0"/>
        <v>6000</v>
      </c>
      <c r="M15" s="36">
        <f t="shared" si="0"/>
        <v>4000</v>
      </c>
      <c r="N15" s="36">
        <f t="shared" si="0"/>
        <v>7200</v>
      </c>
      <c r="O15" s="36">
        <f t="shared" si="0"/>
        <v>4800</v>
      </c>
    </row>
    <row r="17" spans="1:15" x14ac:dyDescent="0.15">
      <c r="A17" s="137"/>
      <c r="B17" s="137"/>
      <c r="C17" s="137" t="str">
        <f>C12&amp;"*"&amp;ROUND(C13,4)&amp;
"+"</f>
        <v>生命*0.04+</v>
      </c>
      <c r="D17" s="137" t="str">
        <f t="shared" ref="D17:E17" si="1">D12&amp;"*"&amp;D13&amp;"+"</f>
        <v>攻击*1+</v>
      </c>
      <c r="E17" s="137" t="str">
        <f t="shared" si="1"/>
        <v>防御*1+</v>
      </c>
      <c r="F17" s="137" t="str">
        <f t="shared" ref="F17:N17" si="2">F12&amp;"*"&amp;ROUND(F13,4)&amp;"+"</f>
        <v>闪避值*0.34+</v>
      </c>
      <c r="G17" t="str">
        <f t="shared" si="2"/>
        <v>命中值*0.34+</v>
      </c>
      <c r="H17" t="str">
        <f t="shared" si="2"/>
        <v>暴击值*0.18+</v>
      </c>
      <c r="I17" t="str">
        <f t="shared" si="2"/>
        <v>暴击倍数*0.12+</v>
      </c>
      <c r="J17" t="str">
        <f t="shared" si="2"/>
        <v>韧性值*0.18+</v>
      </c>
      <c r="K17" t="str">
        <f t="shared" si="2"/>
        <v>伤害减免*0.3+</v>
      </c>
      <c r="L17" t="str">
        <f t="shared" si="2"/>
        <v>伤害加深*0.3+</v>
      </c>
      <c r="M17" t="str">
        <f t="shared" si="2"/>
        <v>生命加成*0.4+</v>
      </c>
      <c r="N17" t="str">
        <f t="shared" si="2"/>
        <v>攻击加成*0.36+</v>
      </c>
      <c r="O17" t="str">
        <f>O12&amp;"*"&amp;ROUND(O13,4)</f>
        <v>防御加成*0.24</v>
      </c>
    </row>
    <row r="18" spans="1:15" x14ac:dyDescent="0.15">
      <c r="A18" s="137"/>
      <c r="B18" s="137"/>
      <c r="C18" s="137"/>
      <c r="D18" s="137"/>
      <c r="E18" s="137"/>
      <c r="F18" s="137"/>
      <c r="G18" s="137"/>
      <c r="H18" s="137"/>
    </row>
    <row r="19" spans="1:15" x14ac:dyDescent="0.15">
      <c r="A19" s="137"/>
      <c r="B19" s="137"/>
      <c r="C19" s="137"/>
      <c r="D19" s="137"/>
      <c r="E19" s="137"/>
      <c r="F19" s="137"/>
      <c r="G19" s="137"/>
      <c r="H19" s="137"/>
    </row>
    <row r="20" spans="1:15" x14ac:dyDescent="0.15">
      <c r="A20" s="137"/>
      <c r="B20" s="137"/>
      <c r="C20" s="137"/>
      <c r="D20" s="137"/>
      <c r="E20" s="137"/>
      <c r="F20" s="137"/>
      <c r="G20" s="137"/>
      <c r="H20" s="137"/>
    </row>
    <row r="21" spans="1:15" x14ac:dyDescent="0.15">
      <c r="A21" s="137"/>
      <c r="B21" s="137"/>
      <c r="C21" s="137"/>
      <c r="D21" s="137"/>
      <c r="E21" s="137"/>
      <c r="F21" s="137"/>
      <c r="G21" s="137"/>
      <c r="H21" s="137"/>
      <c r="K21" s="155"/>
    </row>
    <row r="22" spans="1:15" x14ac:dyDescent="0.15">
      <c r="A22" s="137"/>
      <c r="B22" s="137"/>
      <c r="C22" s="137"/>
      <c r="D22" s="137"/>
      <c r="E22" s="137"/>
      <c r="F22" s="137"/>
      <c r="G22" s="137"/>
      <c r="H22" s="137"/>
    </row>
    <row r="23" spans="1:15" x14ac:dyDescent="0.15">
      <c r="A23" s="137"/>
      <c r="B23" s="137"/>
      <c r="C23" s="137"/>
      <c r="D23" s="137"/>
      <c r="E23" s="137"/>
      <c r="F23" s="137"/>
      <c r="G23" s="137"/>
      <c r="H23" s="137"/>
    </row>
    <row r="24" spans="1:15" x14ac:dyDescent="0.15">
      <c r="A24" s="137"/>
      <c r="B24" s="137"/>
      <c r="C24" s="137"/>
      <c r="D24" s="137"/>
      <c r="E24" s="137"/>
      <c r="F24" s="137"/>
      <c r="G24" s="137"/>
      <c r="H24" s="137"/>
    </row>
    <row r="25" spans="1:15" x14ac:dyDescent="0.15">
      <c r="A25" s="137"/>
      <c r="B25" s="137"/>
      <c r="C25" s="137"/>
      <c r="D25" s="137"/>
      <c r="E25" s="137"/>
      <c r="F25" s="137"/>
      <c r="G25" s="137"/>
      <c r="H25" s="137"/>
    </row>
    <row r="26" spans="1:15" x14ac:dyDescent="0.15">
      <c r="A26" s="137"/>
      <c r="B26" s="137"/>
      <c r="C26" s="137"/>
      <c r="D26" s="137"/>
      <c r="E26" s="137"/>
      <c r="F26" s="137"/>
      <c r="G26" s="137"/>
      <c r="H26" s="137"/>
    </row>
    <row r="27" spans="1:15" x14ac:dyDescent="0.15">
      <c r="A27" s="137"/>
      <c r="B27" s="137"/>
      <c r="C27" s="137"/>
      <c r="D27" s="137"/>
      <c r="E27" s="137"/>
      <c r="F27" s="137"/>
      <c r="G27" s="137"/>
      <c r="H27" s="137"/>
    </row>
    <row r="28" spans="1:15" x14ac:dyDescent="0.15">
      <c r="A28" s="137"/>
      <c r="B28" s="137"/>
      <c r="C28" s="137"/>
      <c r="D28" s="137"/>
      <c r="E28" s="137"/>
      <c r="F28" s="137"/>
      <c r="G28" s="137"/>
      <c r="H28" s="137"/>
    </row>
    <row r="29" spans="1:15" x14ac:dyDescent="0.15">
      <c r="A29" s="137"/>
      <c r="B29" s="137"/>
      <c r="C29" s="137"/>
      <c r="D29" s="137"/>
      <c r="E29" s="137"/>
      <c r="F29" s="137"/>
      <c r="G29" s="137"/>
      <c r="H29" s="137"/>
    </row>
    <row r="30" spans="1:15" x14ac:dyDescent="0.15">
      <c r="A30" s="137"/>
      <c r="B30" s="137"/>
      <c r="C30" s="137"/>
      <c r="D30" s="137"/>
      <c r="E30" s="137"/>
      <c r="F30" s="137"/>
      <c r="G30" s="137"/>
      <c r="H30" s="137"/>
    </row>
    <row r="31" spans="1:15" x14ac:dyDescent="0.15">
      <c r="A31" s="137"/>
      <c r="B31" s="137"/>
      <c r="C31" s="137"/>
      <c r="D31" s="137"/>
      <c r="E31" s="137"/>
      <c r="F31" s="137"/>
      <c r="G31" s="137"/>
      <c r="H31" s="137"/>
    </row>
    <row r="32" spans="1:15" x14ac:dyDescent="0.15">
      <c r="D32" s="137"/>
      <c r="E32" s="137"/>
      <c r="F32" s="137"/>
      <c r="G32" s="137"/>
      <c r="H32" s="137"/>
    </row>
    <row r="33" spans="3:8" x14ac:dyDescent="0.15">
      <c r="C33" s="137"/>
      <c r="D33" s="137"/>
      <c r="E33" s="137"/>
      <c r="F33" s="137"/>
      <c r="G33" s="137"/>
      <c r="H33" s="137"/>
    </row>
    <row r="34" spans="3:8" x14ac:dyDescent="0.15">
      <c r="C34" s="137"/>
      <c r="D34" s="137"/>
      <c r="E34" s="137"/>
      <c r="F34" s="137"/>
      <c r="G34" s="137"/>
      <c r="H34" s="137"/>
    </row>
    <row r="35" spans="3:8" x14ac:dyDescent="0.15">
      <c r="C35" s="137"/>
      <c r="D35" s="137"/>
      <c r="E35" s="137"/>
      <c r="F35" s="137"/>
      <c r="G35" s="137"/>
      <c r="H35" s="137"/>
    </row>
    <row r="36" spans="3:8" x14ac:dyDescent="0.15">
      <c r="C36" s="137"/>
      <c r="D36" s="137"/>
      <c r="E36" s="137"/>
      <c r="F36" s="137"/>
      <c r="G36" s="137"/>
      <c r="H36" s="137"/>
    </row>
    <row r="37" spans="3:8" x14ac:dyDescent="0.15">
      <c r="C37" s="137"/>
      <c r="D37" s="137"/>
      <c r="E37" s="137"/>
      <c r="F37" s="137"/>
      <c r="G37" s="137"/>
      <c r="H37" s="137"/>
    </row>
    <row r="38" spans="3:8" x14ac:dyDescent="0.15">
      <c r="C38" s="137"/>
      <c r="D38" s="137"/>
      <c r="E38" s="137"/>
      <c r="F38" s="137"/>
      <c r="G38" s="137"/>
      <c r="H38" s="137"/>
    </row>
  </sheetData>
  <mergeCells count="6">
    <mergeCell ref="A7:H7"/>
    <mergeCell ref="A3:H3"/>
    <mergeCell ref="A2:H2"/>
    <mergeCell ref="A6:H6"/>
    <mergeCell ref="A5:H5"/>
    <mergeCell ref="A4:H4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B1:S88"/>
  <sheetViews>
    <sheetView workbookViewId="0">
      <selection activeCell="M26" sqref="M26"/>
    </sheetView>
  </sheetViews>
  <sheetFormatPr defaultRowHeight="13.5" x14ac:dyDescent="0.15"/>
  <cols>
    <col min="3" max="3" width="23.375" customWidth="1"/>
    <col min="4" max="5" width="11.625" bestFit="1" customWidth="1"/>
    <col min="6" max="6" width="13" customWidth="1"/>
    <col min="7" max="7" width="15.625" customWidth="1"/>
    <col min="8" max="8" width="15" bestFit="1" customWidth="1"/>
    <col min="9" max="9" width="11.5" customWidth="1"/>
    <col min="10" max="12" width="15" bestFit="1" customWidth="1"/>
    <col min="13" max="13" width="15.75" customWidth="1"/>
    <col min="14" max="14" width="15.625" customWidth="1"/>
    <col min="15" max="15" width="15.75" customWidth="1"/>
    <col min="16" max="17" width="11.625" bestFit="1" customWidth="1"/>
  </cols>
  <sheetData>
    <row r="1" spans="3:19" x14ac:dyDescent="0.15">
      <c r="C1" s="1"/>
      <c r="D1" s="1" t="s">
        <v>3</v>
      </c>
      <c r="E1" s="1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</row>
    <row r="2" spans="3:19" ht="14.45" customHeight="1" x14ac:dyDescent="0.15">
      <c r="C2" s="1" t="s">
        <v>6</v>
      </c>
      <c r="D2" s="7">
        <v>6</v>
      </c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3" spans="3:19" ht="18" customHeight="1" x14ac:dyDescent="0.15">
      <c r="C3" s="1" t="s">
        <v>5</v>
      </c>
      <c r="D3" s="8">
        <v>0.55000000000000004</v>
      </c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</row>
    <row r="4" spans="3:19" ht="23.45" customHeight="1" x14ac:dyDescent="0.15">
      <c r="C4" s="1" t="s">
        <v>241</v>
      </c>
      <c r="D4" s="8">
        <v>4</v>
      </c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</row>
    <row r="5" spans="3:19" x14ac:dyDescent="0.15">
      <c r="C5" s="38"/>
    </row>
    <row r="8" spans="3:19" x14ac:dyDescent="0.15">
      <c r="D8" s="3"/>
      <c r="E8" s="3" t="s">
        <v>1</v>
      </c>
      <c r="F8" s="3" t="s">
        <v>156</v>
      </c>
      <c r="G8" s="3" t="s">
        <v>157</v>
      </c>
      <c r="H8" s="3" t="s">
        <v>163</v>
      </c>
      <c r="I8" s="3" t="s">
        <v>164</v>
      </c>
      <c r="J8" s="3" t="s">
        <v>235</v>
      </c>
      <c r="K8" s="3" t="s">
        <v>236</v>
      </c>
      <c r="L8" s="3" t="s">
        <v>237</v>
      </c>
      <c r="M8" s="3" t="s">
        <v>238</v>
      </c>
      <c r="N8" s="3" t="s">
        <v>239</v>
      </c>
      <c r="O8" s="3" t="s">
        <v>240</v>
      </c>
    </row>
    <row r="9" spans="3:19" x14ac:dyDescent="0.15">
      <c r="D9" s="187" t="s">
        <v>0</v>
      </c>
      <c r="E9" s="1">
        <v>1</v>
      </c>
      <c r="F9" s="7">
        <v>30</v>
      </c>
      <c r="G9" s="7">
        <v>30</v>
      </c>
      <c r="H9" s="1">
        <f>F9/$D$2</f>
        <v>5</v>
      </c>
      <c r="I9" s="1">
        <f>G9/$D$2</f>
        <v>5</v>
      </c>
      <c r="J9" s="7">
        <v>1</v>
      </c>
      <c r="K9" s="7">
        <v>0</v>
      </c>
      <c r="L9" s="7">
        <v>0</v>
      </c>
      <c r="M9" s="7">
        <v>0</v>
      </c>
      <c r="N9" s="7">
        <f>SUM(J9:M9)*COUNTIF(J9:M9,"&gt;0")</f>
        <v>1</v>
      </c>
      <c r="O9" s="1">
        <f>COUNTIF(J9:M9,"&gt;0")</f>
        <v>1</v>
      </c>
    </row>
    <row r="10" spans="3:19" x14ac:dyDescent="0.15">
      <c r="D10" s="188"/>
      <c r="E10" s="1">
        <v>10</v>
      </c>
      <c r="F10" s="7">
        <v>35</v>
      </c>
      <c r="G10" s="7">
        <v>40</v>
      </c>
      <c r="H10" s="1">
        <f t="shared" ref="H10:H19" si="0">F10/$D$2</f>
        <v>5.833333333333333</v>
      </c>
      <c r="I10" s="1">
        <f t="shared" ref="I10:I19" si="1">G10/$D$2</f>
        <v>6.666666666666667</v>
      </c>
      <c r="J10" s="7">
        <v>1</v>
      </c>
      <c r="K10" s="7">
        <v>1</v>
      </c>
      <c r="L10" s="7">
        <v>0</v>
      </c>
      <c r="M10" s="7"/>
      <c r="N10" s="7">
        <f t="shared" ref="N10:N19" si="2">SUM(J10:M10)</f>
        <v>2</v>
      </c>
      <c r="O10" s="1">
        <f t="shared" ref="O10:O19" si="3">COUNTIF(J10:M10,"&gt;0")</f>
        <v>2</v>
      </c>
    </row>
    <row r="11" spans="3:19" x14ac:dyDescent="0.15">
      <c r="D11" s="188"/>
      <c r="E11" s="1">
        <v>20</v>
      </c>
      <c r="F11" s="7">
        <v>40</v>
      </c>
      <c r="G11" s="7">
        <v>60</v>
      </c>
      <c r="H11" s="1">
        <f t="shared" si="0"/>
        <v>6.666666666666667</v>
      </c>
      <c r="I11" s="1">
        <f t="shared" si="1"/>
        <v>10</v>
      </c>
      <c r="J11" s="7">
        <v>0.8</v>
      </c>
      <c r="K11" s="7">
        <v>0.8</v>
      </c>
      <c r="L11" s="7">
        <v>1</v>
      </c>
      <c r="M11" s="7">
        <v>1</v>
      </c>
      <c r="N11" s="7">
        <f t="shared" si="2"/>
        <v>3.6</v>
      </c>
      <c r="O11" s="1">
        <f t="shared" si="3"/>
        <v>4</v>
      </c>
    </row>
    <row r="12" spans="3:19" x14ac:dyDescent="0.15">
      <c r="D12" s="188"/>
      <c r="E12" s="1">
        <v>30</v>
      </c>
      <c r="F12" s="7">
        <v>45</v>
      </c>
      <c r="G12" s="7">
        <v>80</v>
      </c>
      <c r="H12" s="1">
        <f t="shared" si="0"/>
        <v>7.5</v>
      </c>
      <c r="I12" s="1">
        <f t="shared" si="1"/>
        <v>13.333333333333334</v>
      </c>
      <c r="J12" s="7">
        <v>0.7</v>
      </c>
      <c r="K12" s="7">
        <v>0.7</v>
      </c>
      <c r="L12" s="7">
        <v>0.8</v>
      </c>
      <c r="M12" s="7">
        <v>0.8</v>
      </c>
      <c r="N12" s="7">
        <f t="shared" si="2"/>
        <v>3</v>
      </c>
      <c r="O12" s="1">
        <f t="shared" si="3"/>
        <v>4</v>
      </c>
    </row>
    <row r="13" spans="3:19" x14ac:dyDescent="0.15">
      <c r="D13" s="188"/>
      <c r="E13" s="1">
        <v>40</v>
      </c>
      <c r="F13" s="7">
        <v>60</v>
      </c>
      <c r="G13" s="7">
        <v>100</v>
      </c>
      <c r="H13" s="1">
        <f t="shared" si="0"/>
        <v>10</v>
      </c>
      <c r="I13" s="1">
        <f t="shared" si="1"/>
        <v>16.666666666666668</v>
      </c>
      <c r="J13" s="7">
        <v>0.65</v>
      </c>
      <c r="K13" s="7">
        <v>0.65</v>
      </c>
      <c r="L13" s="7">
        <v>0.7</v>
      </c>
      <c r="M13" s="7">
        <v>0.7</v>
      </c>
      <c r="N13" s="7">
        <f t="shared" si="2"/>
        <v>2.7</v>
      </c>
      <c r="O13" s="1">
        <f t="shared" si="3"/>
        <v>4</v>
      </c>
    </row>
    <row r="14" spans="3:19" x14ac:dyDescent="0.15">
      <c r="D14" s="188"/>
      <c r="E14" s="1">
        <v>50</v>
      </c>
      <c r="F14" s="7">
        <v>80</v>
      </c>
      <c r="G14" s="7">
        <v>120</v>
      </c>
      <c r="H14" s="1">
        <f t="shared" si="0"/>
        <v>13.333333333333334</v>
      </c>
      <c r="I14" s="1">
        <f t="shared" si="1"/>
        <v>20</v>
      </c>
      <c r="J14" s="7">
        <v>0.5</v>
      </c>
      <c r="K14" s="7">
        <v>0.5</v>
      </c>
      <c r="L14" s="7">
        <v>0.5</v>
      </c>
      <c r="M14" s="7">
        <v>0.5</v>
      </c>
      <c r="N14" s="7">
        <f t="shared" si="2"/>
        <v>2</v>
      </c>
      <c r="O14" s="1">
        <f t="shared" si="3"/>
        <v>4</v>
      </c>
    </row>
    <row r="15" spans="3:19" x14ac:dyDescent="0.15">
      <c r="D15" s="188"/>
      <c r="E15" s="1">
        <v>60</v>
      </c>
      <c r="F15" s="7">
        <v>80</v>
      </c>
      <c r="G15" s="7">
        <v>140</v>
      </c>
      <c r="H15" s="1">
        <f t="shared" si="0"/>
        <v>13.333333333333334</v>
      </c>
      <c r="I15" s="1">
        <f t="shared" si="1"/>
        <v>23.333333333333332</v>
      </c>
      <c r="J15" s="7">
        <v>0.4</v>
      </c>
      <c r="K15" s="7">
        <v>0.4</v>
      </c>
      <c r="L15" s="7">
        <v>0.4</v>
      </c>
      <c r="M15" s="7">
        <v>0.4</v>
      </c>
      <c r="N15" s="7">
        <f t="shared" si="2"/>
        <v>1.6</v>
      </c>
      <c r="O15" s="1">
        <f t="shared" si="3"/>
        <v>4</v>
      </c>
    </row>
    <row r="16" spans="3:19" x14ac:dyDescent="0.15">
      <c r="D16" s="188"/>
      <c r="E16" s="1">
        <v>70</v>
      </c>
      <c r="F16" s="7">
        <v>90</v>
      </c>
      <c r="G16" s="7">
        <v>140</v>
      </c>
      <c r="H16" s="1">
        <f t="shared" si="0"/>
        <v>15</v>
      </c>
      <c r="I16" s="1">
        <f t="shared" si="1"/>
        <v>23.333333333333332</v>
      </c>
      <c r="J16" s="7">
        <v>0.4</v>
      </c>
      <c r="K16" s="7">
        <v>0.4</v>
      </c>
      <c r="L16" s="7">
        <v>0.4</v>
      </c>
      <c r="M16" s="7">
        <v>0.4</v>
      </c>
      <c r="N16" s="7">
        <f t="shared" si="2"/>
        <v>1.6</v>
      </c>
      <c r="O16" s="1">
        <f t="shared" si="3"/>
        <v>4</v>
      </c>
    </row>
    <row r="17" spans="4:15" x14ac:dyDescent="0.15">
      <c r="D17" s="188"/>
      <c r="E17" s="1">
        <v>80</v>
      </c>
      <c r="F17" s="7">
        <v>90</v>
      </c>
      <c r="G17" s="7">
        <v>140</v>
      </c>
      <c r="H17" s="1">
        <f t="shared" si="0"/>
        <v>15</v>
      </c>
      <c r="I17" s="1">
        <f t="shared" si="1"/>
        <v>23.333333333333332</v>
      </c>
      <c r="J17" s="7">
        <v>0.4</v>
      </c>
      <c r="K17" s="7">
        <v>0.4</v>
      </c>
      <c r="L17" s="7">
        <v>0.4</v>
      </c>
      <c r="M17" s="7">
        <v>0.4</v>
      </c>
      <c r="N17" s="7">
        <f t="shared" si="2"/>
        <v>1.6</v>
      </c>
      <c r="O17" s="1">
        <f t="shared" si="3"/>
        <v>4</v>
      </c>
    </row>
    <row r="18" spans="4:15" x14ac:dyDescent="0.15">
      <c r="D18" s="188"/>
      <c r="E18" s="1">
        <v>90</v>
      </c>
      <c r="F18" s="7">
        <v>90</v>
      </c>
      <c r="G18" s="7">
        <v>140</v>
      </c>
      <c r="H18" s="1">
        <f t="shared" si="0"/>
        <v>15</v>
      </c>
      <c r="I18" s="1">
        <f t="shared" si="1"/>
        <v>23.333333333333332</v>
      </c>
      <c r="J18" s="7">
        <v>0.4</v>
      </c>
      <c r="K18" s="7">
        <v>0.4</v>
      </c>
      <c r="L18" s="7">
        <v>0.4</v>
      </c>
      <c r="M18" s="7">
        <v>0.4</v>
      </c>
      <c r="N18" s="7">
        <f t="shared" si="2"/>
        <v>1.6</v>
      </c>
      <c r="O18" s="1">
        <f t="shared" si="3"/>
        <v>4</v>
      </c>
    </row>
    <row r="19" spans="4:15" x14ac:dyDescent="0.15">
      <c r="D19" s="189"/>
      <c r="E19" s="1">
        <v>100</v>
      </c>
      <c r="F19" s="7">
        <v>90</v>
      </c>
      <c r="G19" s="7">
        <v>140</v>
      </c>
      <c r="H19" s="1">
        <f t="shared" si="0"/>
        <v>15</v>
      </c>
      <c r="I19" s="1">
        <f t="shared" si="1"/>
        <v>23.333333333333332</v>
      </c>
      <c r="J19" s="7">
        <v>0.4</v>
      </c>
      <c r="K19" s="7">
        <v>0.4</v>
      </c>
      <c r="L19" s="7">
        <v>0.4</v>
      </c>
      <c r="M19" s="7">
        <v>0.4</v>
      </c>
      <c r="N19" s="7">
        <f t="shared" si="2"/>
        <v>1.6</v>
      </c>
      <c r="O19" s="1">
        <f t="shared" si="3"/>
        <v>4</v>
      </c>
    </row>
    <row r="20" spans="4:15" x14ac:dyDescent="0.15">
      <c r="D20" s="187" t="s">
        <v>2</v>
      </c>
      <c r="E20" s="4"/>
      <c r="F20" s="191" t="s">
        <v>161</v>
      </c>
      <c r="G20" s="192"/>
      <c r="H20" s="193"/>
      <c r="I20" s="194" t="s">
        <v>162</v>
      </c>
      <c r="J20" s="194"/>
      <c r="K20" s="194"/>
    </row>
    <row r="21" spans="4:15" x14ac:dyDescent="0.15">
      <c r="D21" s="188"/>
      <c r="E21" s="4"/>
      <c r="F21" s="37" t="s">
        <v>159</v>
      </c>
      <c r="G21" s="37" t="s">
        <v>158</v>
      </c>
      <c r="H21" s="3" t="s">
        <v>160</v>
      </c>
      <c r="I21" s="22" t="s">
        <v>159</v>
      </c>
      <c r="J21" s="22" t="s">
        <v>158</v>
      </c>
      <c r="K21" s="22" t="s">
        <v>160</v>
      </c>
    </row>
    <row r="22" spans="4:15" x14ac:dyDescent="0.15">
      <c r="D22" s="188"/>
      <c r="E22" s="1">
        <v>1</v>
      </c>
      <c r="F22" s="12">
        <f>MAX(($D$2-N9)/$D$3,0)*H9</f>
        <v>45.454545454545453</v>
      </c>
      <c r="G22" s="12">
        <f>H9*O9*$D$4</f>
        <v>20</v>
      </c>
      <c r="H22" s="66">
        <f>F22+G22</f>
        <v>65.454545454545453</v>
      </c>
      <c r="I22" s="12">
        <f t="shared" ref="I22:I30" si="4">MAX(($D$2-N9)/$D$3,0)*I9</f>
        <v>45.454545454545453</v>
      </c>
      <c r="J22" s="12">
        <f>I9*O9*$D$4</f>
        <v>20</v>
      </c>
      <c r="K22" s="66">
        <f>I22+J22</f>
        <v>65.454545454545453</v>
      </c>
    </row>
    <row r="23" spans="4:15" x14ac:dyDescent="0.15">
      <c r="D23" s="188"/>
      <c r="E23" s="1">
        <v>10</v>
      </c>
      <c r="F23" s="12">
        <f t="shared" ref="F23:F28" si="5">MAX(($D$2-N10)/$D$3,0)*H10</f>
        <v>42.424242424242422</v>
      </c>
      <c r="G23" s="12">
        <f t="shared" ref="G23:G30" si="6">H10*O10*$D$4</f>
        <v>46.666666666666664</v>
      </c>
      <c r="H23" s="66">
        <f t="shared" ref="H23:H30" si="7">F23+G23</f>
        <v>89.090909090909093</v>
      </c>
      <c r="I23" s="12">
        <f t="shared" si="4"/>
        <v>48.484848484848484</v>
      </c>
      <c r="J23" s="12">
        <f t="shared" ref="J23:J30" si="8">I10*O10*$D$4</f>
        <v>53.333333333333336</v>
      </c>
      <c r="K23" s="66">
        <f t="shared" ref="K23:K30" si="9">I23+J23</f>
        <v>101.81818181818181</v>
      </c>
    </row>
    <row r="24" spans="4:15" x14ac:dyDescent="0.15">
      <c r="D24" s="188"/>
      <c r="E24" s="1">
        <v>20</v>
      </c>
      <c r="F24" s="12">
        <f t="shared" si="5"/>
        <v>29.09090909090909</v>
      </c>
      <c r="G24" s="12">
        <f t="shared" si="6"/>
        <v>106.66666666666667</v>
      </c>
      <c r="H24" s="66">
        <f t="shared" si="7"/>
        <v>135.75757575757575</v>
      </c>
      <c r="I24" s="12">
        <f t="shared" si="4"/>
        <v>43.636363636363633</v>
      </c>
      <c r="J24" s="12">
        <f t="shared" si="8"/>
        <v>160</v>
      </c>
      <c r="K24" s="66">
        <f t="shared" si="9"/>
        <v>203.63636363636363</v>
      </c>
    </row>
    <row r="25" spans="4:15" x14ac:dyDescent="0.15">
      <c r="D25" s="188"/>
      <c r="E25" s="1">
        <v>30</v>
      </c>
      <c r="F25" s="12">
        <f t="shared" si="5"/>
        <v>40.909090909090907</v>
      </c>
      <c r="G25" s="12">
        <f t="shared" si="6"/>
        <v>120</v>
      </c>
      <c r="H25" s="66">
        <f t="shared" si="7"/>
        <v>160.90909090909091</v>
      </c>
      <c r="I25" s="12">
        <f t="shared" si="4"/>
        <v>72.72727272727272</v>
      </c>
      <c r="J25" s="12">
        <f t="shared" si="8"/>
        <v>213.33333333333334</v>
      </c>
      <c r="K25" s="66">
        <f t="shared" si="9"/>
        <v>286.06060606060606</v>
      </c>
    </row>
    <row r="26" spans="4:15" x14ac:dyDescent="0.15">
      <c r="D26" s="188"/>
      <c r="E26" s="1">
        <v>40</v>
      </c>
      <c r="F26" s="12">
        <f t="shared" si="5"/>
        <v>59.999999999999993</v>
      </c>
      <c r="G26" s="12">
        <f t="shared" si="6"/>
        <v>160</v>
      </c>
      <c r="H26" s="66">
        <f t="shared" si="7"/>
        <v>220</v>
      </c>
      <c r="I26" s="12">
        <f t="shared" si="4"/>
        <v>99.999999999999986</v>
      </c>
      <c r="J26" s="12">
        <f t="shared" si="8"/>
        <v>266.66666666666669</v>
      </c>
      <c r="K26" s="66">
        <f t="shared" si="9"/>
        <v>366.66666666666669</v>
      </c>
    </row>
    <row r="27" spans="4:15" x14ac:dyDescent="0.15">
      <c r="D27" s="188"/>
      <c r="E27" s="1">
        <v>50</v>
      </c>
      <c r="F27" s="12">
        <f t="shared" si="5"/>
        <v>96.969696969696969</v>
      </c>
      <c r="G27" s="12">
        <f t="shared" si="6"/>
        <v>213.33333333333334</v>
      </c>
      <c r="H27" s="66">
        <f t="shared" si="7"/>
        <v>310.30303030303031</v>
      </c>
      <c r="I27" s="12">
        <f t="shared" si="4"/>
        <v>145.45454545454544</v>
      </c>
      <c r="J27" s="12">
        <f t="shared" si="8"/>
        <v>320</v>
      </c>
      <c r="K27" s="66">
        <f t="shared" si="9"/>
        <v>465.45454545454544</v>
      </c>
    </row>
    <row r="28" spans="4:15" x14ac:dyDescent="0.15">
      <c r="D28" s="188"/>
      <c r="E28" s="1">
        <v>60</v>
      </c>
      <c r="F28" s="12">
        <f t="shared" si="5"/>
        <v>106.66666666666667</v>
      </c>
      <c r="G28" s="12">
        <f t="shared" si="6"/>
        <v>213.33333333333334</v>
      </c>
      <c r="H28" s="66">
        <f t="shared" si="7"/>
        <v>320</v>
      </c>
      <c r="I28" s="12">
        <f t="shared" si="4"/>
        <v>186.66666666666666</v>
      </c>
      <c r="J28" s="12">
        <f t="shared" si="8"/>
        <v>373.33333333333331</v>
      </c>
      <c r="K28" s="66">
        <f t="shared" si="9"/>
        <v>560</v>
      </c>
    </row>
    <row r="29" spans="4:15" x14ac:dyDescent="0.15">
      <c r="D29" s="188"/>
      <c r="E29" s="1">
        <v>70</v>
      </c>
      <c r="F29" s="12">
        <f>MAX(($D$2-N16)/$D$3,0)*H16</f>
        <v>120</v>
      </c>
      <c r="G29" s="12">
        <f>H16*O16*$D$4</f>
        <v>240</v>
      </c>
      <c r="H29" s="66">
        <f t="shared" si="7"/>
        <v>360</v>
      </c>
      <c r="I29" s="12">
        <f t="shared" si="4"/>
        <v>186.66666666666666</v>
      </c>
      <c r="J29" s="12">
        <f t="shared" si="8"/>
        <v>373.33333333333331</v>
      </c>
      <c r="K29" s="66">
        <f t="shared" si="9"/>
        <v>560</v>
      </c>
    </row>
    <row r="30" spans="4:15" x14ac:dyDescent="0.15">
      <c r="D30" s="188"/>
      <c r="E30" s="1">
        <v>80</v>
      </c>
      <c r="F30" s="12">
        <f>MAX(($D$2-N17)/$D$3,0)*H17</f>
        <v>120</v>
      </c>
      <c r="G30" s="12">
        <f t="shared" si="6"/>
        <v>240</v>
      </c>
      <c r="H30" s="66">
        <f t="shared" si="7"/>
        <v>360</v>
      </c>
      <c r="I30" s="12">
        <f t="shared" si="4"/>
        <v>186.66666666666666</v>
      </c>
      <c r="J30" s="12">
        <f t="shared" si="8"/>
        <v>373.33333333333331</v>
      </c>
      <c r="K30" s="66">
        <f t="shared" si="9"/>
        <v>560</v>
      </c>
    </row>
    <row r="31" spans="4:15" x14ac:dyDescent="0.15">
      <c r="D31" s="188"/>
      <c r="E31" s="1">
        <v>90</v>
      </c>
      <c r="F31" s="12">
        <f>MAX(($D$2-N18)/$D$3,0)*H18</f>
        <v>120</v>
      </c>
      <c r="G31" s="12">
        <f>H18*O18*$D$4</f>
        <v>240</v>
      </c>
      <c r="H31" s="66">
        <f>F31+G31</f>
        <v>360</v>
      </c>
      <c r="I31" s="12">
        <f>MAX(($D$2-N18)/$D$3,0)*I18</f>
        <v>186.66666666666666</v>
      </c>
      <c r="J31" s="12">
        <f>I18*O18*$D$4</f>
        <v>373.33333333333331</v>
      </c>
      <c r="K31" s="66">
        <f>I31+J31</f>
        <v>560</v>
      </c>
    </row>
    <row r="32" spans="4:15" x14ac:dyDescent="0.15">
      <c r="D32" s="189"/>
      <c r="E32" s="1">
        <v>100</v>
      </c>
      <c r="F32" s="12">
        <f>MAX(($D$2-N19)/$D$3,0)*H19</f>
        <v>120</v>
      </c>
      <c r="G32" s="12">
        <f>H19*O19*$D$4</f>
        <v>240</v>
      </c>
      <c r="H32" s="66">
        <f>F32+G32</f>
        <v>360</v>
      </c>
      <c r="I32" s="12">
        <f>MAX(($D$2-N19)/$D$3,0)*I19</f>
        <v>186.66666666666666</v>
      </c>
      <c r="J32" s="12">
        <f>I19*O19*$D$4</f>
        <v>373.33333333333331</v>
      </c>
      <c r="K32" s="66">
        <f>I32+J32</f>
        <v>560</v>
      </c>
    </row>
    <row r="44" spans="2:17" x14ac:dyDescent="0.15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</row>
    <row r="45" spans="2:17" x14ac:dyDescent="0.15">
      <c r="F45" s="190" t="s">
        <v>9</v>
      </c>
      <c r="G45" s="190"/>
      <c r="H45" s="190"/>
      <c r="I45" s="190"/>
      <c r="J45" s="190"/>
      <c r="K45" s="1"/>
      <c r="L45" s="195" t="s">
        <v>267</v>
      </c>
      <c r="M45" s="195"/>
      <c r="N45" s="195"/>
      <c r="O45" s="195"/>
      <c r="P45" s="59"/>
      <c r="Q45" s="36"/>
    </row>
    <row r="46" spans="2:17" x14ac:dyDescent="0.15">
      <c r="D46" s="56"/>
      <c r="F46" s="22" t="s">
        <v>1</v>
      </c>
      <c r="G46" s="22" t="s">
        <v>8</v>
      </c>
      <c r="H46" s="22" t="s">
        <v>242</v>
      </c>
      <c r="I46" s="22" t="s">
        <v>243</v>
      </c>
      <c r="J46" s="63" t="s">
        <v>264</v>
      </c>
      <c r="K46" s="22"/>
      <c r="L46" s="22" t="s">
        <v>223</v>
      </c>
      <c r="M46" s="22" t="s">
        <v>222</v>
      </c>
      <c r="N46" s="22" t="s">
        <v>220</v>
      </c>
      <c r="O46" s="22" t="s">
        <v>221</v>
      </c>
      <c r="P46" s="22" t="s">
        <v>224</v>
      </c>
    </row>
    <row r="47" spans="2:17" x14ac:dyDescent="0.15">
      <c r="F47" s="1">
        <v>1</v>
      </c>
      <c r="G47" s="7">
        <v>2</v>
      </c>
      <c r="H47" s="7">
        <f>VLOOKUP(F47,$E$8:$G$19,2,TRUE)/$D$2</f>
        <v>5</v>
      </c>
      <c r="I47" s="7">
        <f>20</f>
        <v>20</v>
      </c>
      <c r="J47" s="60">
        <v>200</v>
      </c>
      <c r="L47" s="1" t="s">
        <v>225</v>
      </c>
      <c r="M47" s="68">
        <f>'3、总属性战斗节奏拟合'!D5</f>
        <v>495.65999999999997</v>
      </c>
      <c r="N47" s="68">
        <f>'3、总属性战斗节奏拟合'!E5</f>
        <v>118.80000000000001</v>
      </c>
      <c r="O47" s="68">
        <f>'3、总属性战斗节奏拟合'!F5</f>
        <v>52.800000000000004</v>
      </c>
      <c r="P47" s="68"/>
    </row>
    <row r="48" spans="2:17" x14ac:dyDescent="0.15">
      <c r="F48" s="1">
        <v>10</v>
      </c>
      <c r="G48" s="7">
        <v>2</v>
      </c>
      <c r="H48" s="7">
        <v>9</v>
      </c>
      <c r="I48" s="7">
        <f>H48*4</f>
        <v>36</v>
      </c>
      <c r="J48" s="60"/>
      <c r="L48" s="1" t="s">
        <v>226</v>
      </c>
      <c r="M48" s="68">
        <f>'3、总属性战斗节奏拟合'!D104</f>
        <v>4427395.1999999965</v>
      </c>
      <c r="N48" s="68">
        <f>'3、总属性战斗节奏拟合'!E104</f>
        <v>137401.9199999999</v>
      </c>
      <c r="O48" s="68">
        <f>'3、总属性战斗节奏拟合'!F104</f>
        <v>61067.519999999953</v>
      </c>
      <c r="P48" s="68">
        <f>SUM(M48:O48)</f>
        <v>4625864.6399999959</v>
      </c>
    </row>
    <row r="49" spans="3:10" x14ac:dyDescent="0.15">
      <c r="C49" s="7">
        <v>1.5</v>
      </c>
      <c r="F49" s="1">
        <v>20</v>
      </c>
      <c r="G49" s="7">
        <v>2</v>
      </c>
      <c r="H49" s="7">
        <v>12</v>
      </c>
      <c r="I49" s="7">
        <f>H49*4</f>
        <v>48</v>
      </c>
      <c r="J49" s="7"/>
    </row>
    <row r="50" spans="3:10" x14ac:dyDescent="0.15">
      <c r="C50" s="7">
        <v>1.6</v>
      </c>
      <c r="F50" s="1">
        <v>30</v>
      </c>
      <c r="G50" s="7">
        <v>2</v>
      </c>
      <c r="H50" s="7">
        <v>36</v>
      </c>
      <c r="I50" s="7">
        <f t="shared" ref="I50:I53" si="10">H50*4</f>
        <v>144</v>
      </c>
      <c r="J50" s="7"/>
    </row>
    <row r="51" spans="3:10" x14ac:dyDescent="0.15">
      <c r="C51" s="7">
        <v>1.7</v>
      </c>
      <c r="F51" s="1">
        <v>40</v>
      </c>
      <c r="G51" s="7">
        <v>2</v>
      </c>
      <c r="H51" s="7">
        <v>54</v>
      </c>
      <c r="I51" s="7">
        <f t="shared" si="10"/>
        <v>216</v>
      </c>
      <c r="J51" s="7"/>
    </row>
    <row r="52" spans="3:10" x14ac:dyDescent="0.15">
      <c r="C52" s="7">
        <v>1.8</v>
      </c>
      <c r="F52" s="1">
        <v>50</v>
      </c>
      <c r="G52" s="7">
        <v>2</v>
      </c>
      <c r="H52" s="7">
        <v>72</v>
      </c>
      <c r="I52" s="7">
        <f t="shared" si="10"/>
        <v>288</v>
      </c>
      <c r="J52" s="7"/>
    </row>
    <row r="53" spans="3:10" x14ac:dyDescent="0.15">
      <c r="C53" s="7">
        <v>1.9</v>
      </c>
      <c r="F53" s="5">
        <v>60</v>
      </c>
      <c r="G53" s="7">
        <v>2</v>
      </c>
      <c r="H53" s="7">
        <v>72</v>
      </c>
      <c r="I53" s="7">
        <f t="shared" si="10"/>
        <v>288</v>
      </c>
      <c r="J53" s="7"/>
    </row>
    <row r="54" spans="3:10" x14ac:dyDescent="0.15">
      <c r="C54" s="7">
        <v>2</v>
      </c>
      <c r="F54" s="5">
        <v>70</v>
      </c>
      <c r="G54" s="7">
        <v>2</v>
      </c>
      <c r="H54" s="7">
        <v>72</v>
      </c>
      <c r="I54" s="7">
        <f t="shared" ref="I54:I56" si="11">H54*4</f>
        <v>288</v>
      </c>
      <c r="J54" s="7"/>
    </row>
    <row r="55" spans="3:10" x14ac:dyDescent="0.15">
      <c r="C55" s="7">
        <v>2.1</v>
      </c>
      <c r="F55" s="5">
        <v>80</v>
      </c>
      <c r="G55" s="7">
        <v>2</v>
      </c>
      <c r="H55" s="7">
        <v>72</v>
      </c>
      <c r="I55" s="7">
        <f t="shared" si="11"/>
        <v>288</v>
      </c>
      <c r="J55" s="7"/>
    </row>
    <row r="56" spans="3:10" x14ac:dyDescent="0.15">
      <c r="C56" s="7">
        <v>2.2000000000000002</v>
      </c>
      <c r="F56" s="5">
        <v>90</v>
      </c>
      <c r="G56" s="7">
        <v>2</v>
      </c>
      <c r="H56" s="7">
        <v>72</v>
      </c>
      <c r="I56" s="7">
        <f t="shared" si="11"/>
        <v>288</v>
      </c>
      <c r="J56" s="7"/>
    </row>
    <row r="57" spans="3:10" x14ac:dyDescent="0.15">
      <c r="C57" s="7">
        <v>2.2999999999999998</v>
      </c>
      <c r="F57" s="5">
        <v>100</v>
      </c>
      <c r="G57" s="7">
        <v>2</v>
      </c>
      <c r="H57" s="7">
        <v>72</v>
      </c>
      <c r="I57" s="7">
        <f t="shared" ref="I57" si="12">H57*4</f>
        <v>288</v>
      </c>
      <c r="J57" s="7"/>
    </row>
    <row r="58" spans="3:10" x14ac:dyDescent="0.15">
      <c r="C58" s="7">
        <v>2.4</v>
      </c>
      <c r="H58" t="s">
        <v>318</v>
      </c>
      <c r="I58">
        <f>H52/6</f>
        <v>12</v>
      </c>
    </row>
    <row r="59" spans="3:10" x14ac:dyDescent="0.15">
      <c r="C59" s="7">
        <v>2.5</v>
      </c>
    </row>
    <row r="62" spans="3:10" ht="14.25" thickBot="1" x14ac:dyDescent="0.2">
      <c r="E62" s="184" t="s">
        <v>165</v>
      </c>
      <c r="F62" s="196"/>
      <c r="G62" s="196"/>
      <c r="H62" s="196"/>
      <c r="I62" s="197"/>
    </row>
    <row r="63" spans="3:10" x14ac:dyDescent="0.15">
      <c r="E63" s="41" t="s">
        <v>1</v>
      </c>
      <c r="F63" s="80" t="s">
        <v>10</v>
      </c>
      <c r="G63" s="81" t="s">
        <v>11</v>
      </c>
      <c r="H63" s="81" t="s">
        <v>12</v>
      </c>
      <c r="I63" s="82" t="s">
        <v>4</v>
      </c>
    </row>
    <row r="64" spans="3:10" x14ac:dyDescent="0.15">
      <c r="E64" s="41">
        <v>1</v>
      </c>
      <c r="F64" s="83">
        <f>1/H47</f>
        <v>0.2</v>
      </c>
      <c r="G64" s="11">
        <v>1</v>
      </c>
      <c r="H64" s="11">
        <v>1</v>
      </c>
      <c r="I64" s="84">
        <v>1</v>
      </c>
    </row>
    <row r="65" spans="3:9" x14ac:dyDescent="0.15">
      <c r="E65" s="41">
        <v>10</v>
      </c>
      <c r="F65" s="83">
        <f t="shared" ref="F65:F74" si="13">1/H48</f>
        <v>0.1111111111111111</v>
      </c>
      <c r="G65" s="11">
        <v>1</v>
      </c>
      <c r="H65" s="11">
        <v>1</v>
      </c>
      <c r="I65" s="84">
        <v>1</v>
      </c>
    </row>
    <row r="66" spans="3:9" x14ac:dyDescent="0.15">
      <c r="E66" s="41">
        <v>20</v>
      </c>
      <c r="F66" s="83">
        <f t="shared" si="13"/>
        <v>8.3333333333333329E-2</v>
      </c>
      <c r="G66" s="11">
        <v>1</v>
      </c>
      <c r="H66" s="11">
        <v>1</v>
      </c>
      <c r="I66" s="84">
        <v>1</v>
      </c>
    </row>
    <row r="67" spans="3:9" x14ac:dyDescent="0.15">
      <c r="E67" s="41">
        <v>30</v>
      </c>
      <c r="F67" s="83">
        <f t="shared" si="13"/>
        <v>2.7777777777777776E-2</v>
      </c>
      <c r="G67" s="11">
        <v>1</v>
      </c>
      <c r="H67" s="11">
        <v>1</v>
      </c>
      <c r="I67" s="84">
        <v>1</v>
      </c>
    </row>
    <row r="68" spans="3:9" x14ac:dyDescent="0.15">
      <c r="E68" s="41">
        <v>40</v>
      </c>
      <c r="F68" s="83">
        <f t="shared" si="13"/>
        <v>1.8518518518518517E-2</v>
      </c>
      <c r="G68" s="11">
        <v>1</v>
      </c>
      <c r="H68" s="11">
        <v>1</v>
      </c>
      <c r="I68" s="84">
        <v>1</v>
      </c>
    </row>
    <row r="69" spans="3:9" x14ac:dyDescent="0.15">
      <c r="E69" s="41">
        <v>50</v>
      </c>
      <c r="F69" s="83">
        <f t="shared" si="13"/>
        <v>1.3888888888888888E-2</v>
      </c>
      <c r="G69" s="11">
        <v>1</v>
      </c>
      <c r="H69" s="11">
        <v>1</v>
      </c>
      <c r="I69" s="84">
        <v>1</v>
      </c>
    </row>
    <row r="70" spans="3:9" x14ac:dyDescent="0.15">
      <c r="E70" s="41">
        <v>60</v>
      </c>
      <c r="F70" s="83">
        <f t="shared" si="13"/>
        <v>1.3888888888888888E-2</v>
      </c>
      <c r="G70" s="11">
        <v>1</v>
      </c>
      <c r="H70" s="11">
        <v>1</v>
      </c>
      <c r="I70" s="84">
        <v>1</v>
      </c>
    </row>
    <row r="71" spans="3:9" x14ac:dyDescent="0.15">
      <c r="E71" s="41">
        <v>70</v>
      </c>
      <c r="F71" s="83">
        <f t="shared" si="13"/>
        <v>1.3888888888888888E-2</v>
      </c>
      <c r="G71" s="11">
        <v>1</v>
      </c>
      <c r="H71" s="11">
        <v>1</v>
      </c>
      <c r="I71" s="84">
        <v>1</v>
      </c>
    </row>
    <row r="72" spans="3:9" x14ac:dyDescent="0.15">
      <c r="E72" s="41">
        <v>80</v>
      </c>
      <c r="F72" s="83">
        <f t="shared" si="13"/>
        <v>1.3888888888888888E-2</v>
      </c>
      <c r="G72" s="11">
        <v>1</v>
      </c>
      <c r="H72" s="11">
        <v>1</v>
      </c>
      <c r="I72" s="84">
        <v>1</v>
      </c>
    </row>
    <row r="73" spans="3:9" x14ac:dyDescent="0.15">
      <c r="E73" s="41">
        <v>90</v>
      </c>
      <c r="F73" s="83">
        <f t="shared" si="13"/>
        <v>1.3888888888888888E-2</v>
      </c>
      <c r="G73" s="11">
        <v>1</v>
      </c>
      <c r="H73" s="11">
        <v>1</v>
      </c>
      <c r="I73" s="84">
        <v>1</v>
      </c>
    </row>
    <row r="74" spans="3:9" ht="14.25" thickBot="1" x14ac:dyDescent="0.2">
      <c r="E74" s="41">
        <v>100</v>
      </c>
      <c r="F74" s="85">
        <f t="shared" si="13"/>
        <v>1.3888888888888888E-2</v>
      </c>
      <c r="G74" s="86">
        <v>1</v>
      </c>
      <c r="H74" s="86">
        <v>1</v>
      </c>
      <c r="I74" s="87">
        <v>1</v>
      </c>
    </row>
    <row r="75" spans="3:9" ht="14.25" thickBot="1" x14ac:dyDescent="0.2">
      <c r="C75" s="1" t="s">
        <v>262</v>
      </c>
      <c r="D75" s="1" t="s">
        <v>166</v>
      </c>
      <c r="E75" s="184" t="s">
        <v>261</v>
      </c>
      <c r="F75" s="185"/>
      <c r="G75" s="185"/>
      <c r="H75" s="185"/>
      <c r="I75" s="186"/>
    </row>
    <row r="76" spans="3:9" x14ac:dyDescent="0.15">
      <c r="C76" s="1"/>
      <c r="D76" s="1">
        <f>SUM(F76:H76)</f>
        <v>8</v>
      </c>
      <c r="E76" s="41">
        <v>1</v>
      </c>
      <c r="F76" s="80">
        <f t="shared" ref="F76:F85" si="14">I76*H47</f>
        <v>5</v>
      </c>
      <c r="G76" s="81">
        <f>G47</f>
        <v>2</v>
      </c>
      <c r="H76" s="81">
        <v>1</v>
      </c>
      <c r="I76" s="82">
        <f>G76-H76</f>
        <v>1</v>
      </c>
    </row>
    <row r="77" spans="3:9" x14ac:dyDescent="0.15">
      <c r="C77" s="1">
        <f>D77/D76-1</f>
        <v>0.5</v>
      </c>
      <c r="D77" s="1">
        <f t="shared" ref="D77:D86" si="15">SUM(F77:H77)</f>
        <v>12</v>
      </c>
      <c r="E77" s="41">
        <v>10</v>
      </c>
      <c r="F77" s="83">
        <f t="shared" si="14"/>
        <v>9</v>
      </c>
      <c r="G77" s="11">
        <f t="shared" ref="G77:G86" si="16">G48</f>
        <v>2</v>
      </c>
      <c r="H77" s="11">
        <v>1</v>
      </c>
      <c r="I77" s="84">
        <f>G77-H77</f>
        <v>1</v>
      </c>
    </row>
    <row r="78" spans="3:9" x14ac:dyDescent="0.15">
      <c r="C78" s="1">
        <f t="shared" ref="C78:C86" si="17">D78/D77-1</f>
        <v>0.25</v>
      </c>
      <c r="D78" s="1">
        <f t="shared" si="15"/>
        <v>15</v>
      </c>
      <c r="E78" s="41">
        <v>20</v>
      </c>
      <c r="F78" s="83">
        <f t="shared" si="14"/>
        <v>12</v>
      </c>
      <c r="G78" s="11">
        <f t="shared" si="16"/>
        <v>2</v>
      </c>
      <c r="H78" s="11">
        <v>1</v>
      </c>
      <c r="I78" s="84">
        <f t="shared" ref="I78:I86" si="18">G78-H78</f>
        <v>1</v>
      </c>
    </row>
    <row r="79" spans="3:9" x14ac:dyDescent="0.15">
      <c r="C79" s="1">
        <f t="shared" si="17"/>
        <v>1.6</v>
      </c>
      <c r="D79" s="1">
        <f t="shared" si="15"/>
        <v>39</v>
      </c>
      <c r="E79" s="41">
        <v>30</v>
      </c>
      <c r="F79" s="83">
        <f t="shared" si="14"/>
        <v>36</v>
      </c>
      <c r="G79" s="11">
        <f t="shared" si="16"/>
        <v>2</v>
      </c>
      <c r="H79" s="11">
        <v>1</v>
      </c>
      <c r="I79" s="84">
        <f t="shared" si="18"/>
        <v>1</v>
      </c>
    </row>
    <row r="80" spans="3:9" x14ac:dyDescent="0.15">
      <c r="C80" s="1">
        <f t="shared" si="17"/>
        <v>0.46153846153846145</v>
      </c>
      <c r="D80" s="1">
        <f t="shared" si="15"/>
        <v>57</v>
      </c>
      <c r="E80" s="41">
        <v>40</v>
      </c>
      <c r="F80" s="83">
        <f t="shared" si="14"/>
        <v>54</v>
      </c>
      <c r="G80" s="11">
        <f t="shared" si="16"/>
        <v>2</v>
      </c>
      <c r="H80" s="11">
        <v>1</v>
      </c>
      <c r="I80" s="84">
        <f t="shared" si="18"/>
        <v>1</v>
      </c>
    </row>
    <row r="81" spans="3:9" x14ac:dyDescent="0.15">
      <c r="C81" s="1">
        <f t="shared" si="17"/>
        <v>0.31578947368421062</v>
      </c>
      <c r="D81" s="1">
        <f t="shared" si="15"/>
        <v>75</v>
      </c>
      <c r="E81" s="41">
        <v>50</v>
      </c>
      <c r="F81" s="83">
        <f t="shared" si="14"/>
        <v>72</v>
      </c>
      <c r="G81" s="11">
        <f t="shared" si="16"/>
        <v>2</v>
      </c>
      <c r="H81" s="11">
        <v>1</v>
      </c>
      <c r="I81" s="84">
        <f t="shared" si="18"/>
        <v>1</v>
      </c>
    </row>
    <row r="82" spans="3:9" x14ac:dyDescent="0.15">
      <c r="C82" s="1">
        <f t="shared" si="17"/>
        <v>0</v>
      </c>
      <c r="D82" s="1">
        <f t="shared" si="15"/>
        <v>75</v>
      </c>
      <c r="E82" s="41">
        <v>60</v>
      </c>
      <c r="F82" s="83">
        <f t="shared" si="14"/>
        <v>72</v>
      </c>
      <c r="G82" s="11">
        <f t="shared" si="16"/>
        <v>2</v>
      </c>
      <c r="H82" s="11">
        <v>1</v>
      </c>
      <c r="I82" s="84">
        <f t="shared" si="18"/>
        <v>1</v>
      </c>
    </row>
    <row r="83" spans="3:9" x14ac:dyDescent="0.15">
      <c r="C83" s="1">
        <f t="shared" si="17"/>
        <v>0</v>
      </c>
      <c r="D83" s="1">
        <f t="shared" si="15"/>
        <v>75</v>
      </c>
      <c r="E83" s="41">
        <v>70</v>
      </c>
      <c r="F83" s="83">
        <f t="shared" si="14"/>
        <v>72</v>
      </c>
      <c r="G83" s="11">
        <f t="shared" si="16"/>
        <v>2</v>
      </c>
      <c r="H83" s="11">
        <v>1</v>
      </c>
      <c r="I83" s="84">
        <f t="shared" si="18"/>
        <v>1</v>
      </c>
    </row>
    <row r="84" spans="3:9" x14ac:dyDescent="0.15">
      <c r="C84" s="1">
        <f t="shared" si="17"/>
        <v>0</v>
      </c>
      <c r="D84" s="1">
        <f t="shared" si="15"/>
        <v>75</v>
      </c>
      <c r="E84" s="41">
        <v>80</v>
      </c>
      <c r="F84" s="83">
        <f t="shared" si="14"/>
        <v>72</v>
      </c>
      <c r="G84" s="11">
        <f t="shared" si="16"/>
        <v>2</v>
      </c>
      <c r="H84" s="11">
        <v>1</v>
      </c>
      <c r="I84" s="84">
        <f t="shared" si="18"/>
        <v>1</v>
      </c>
    </row>
    <row r="85" spans="3:9" x14ac:dyDescent="0.15">
      <c r="C85" s="1">
        <f t="shared" si="17"/>
        <v>0</v>
      </c>
      <c r="D85" s="1">
        <f t="shared" si="15"/>
        <v>75</v>
      </c>
      <c r="E85" s="41">
        <v>90</v>
      </c>
      <c r="F85" s="83">
        <f t="shared" si="14"/>
        <v>72</v>
      </c>
      <c r="G85" s="11">
        <f t="shared" si="16"/>
        <v>2</v>
      </c>
      <c r="H85" s="11">
        <v>1</v>
      </c>
      <c r="I85" s="84">
        <f t="shared" si="18"/>
        <v>1</v>
      </c>
    </row>
    <row r="86" spans="3:9" ht="14.25" thickBot="1" x14ac:dyDescent="0.2">
      <c r="C86" s="1">
        <f t="shared" si="17"/>
        <v>0</v>
      </c>
      <c r="D86" s="1">
        <f t="shared" si="15"/>
        <v>75</v>
      </c>
      <c r="E86" s="41">
        <v>100</v>
      </c>
      <c r="F86" s="85">
        <f>I86*H56</f>
        <v>72</v>
      </c>
      <c r="G86" s="86">
        <f t="shared" si="16"/>
        <v>2</v>
      </c>
      <c r="H86" s="86">
        <v>1</v>
      </c>
      <c r="I86" s="87">
        <f t="shared" si="18"/>
        <v>1</v>
      </c>
    </row>
    <row r="87" spans="3:9" x14ac:dyDescent="0.15">
      <c r="E87" s="67" t="s">
        <v>13</v>
      </c>
      <c r="F87" s="88">
        <f>F86/SUM($F$86:$I$86)</f>
        <v>0.94736842105263153</v>
      </c>
      <c r="G87" s="88">
        <f>G86/SUM($F$86:$I$86)</f>
        <v>2.6315789473684209E-2</v>
      </c>
      <c r="H87" s="88">
        <f>H86/SUM($F$86:$I$86)</f>
        <v>1.3157894736842105E-2</v>
      </c>
      <c r="I87" s="88">
        <v>0</v>
      </c>
    </row>
    <row r="88" spans="3:9" x14ac:dyDescent="0.15">
      <c r="E88" s="38">
        <v>1</v>
      </c>
      <c r="F88">
        <v>2</v>
      </c>
      <c r="G88" s="38">
        <v>3</v>
      </c>
      <c r="H88">
        <v>4</v>
      </c>
      <c r="I88" s="38">
        <v>5</v>
      </c>
    </row>
  </sheetData>
  <mergeCells count="8">
    <mergeCell ref="L45:O45"/>
    <mergeCell ref="E62:I62"/>
    <mergeCell ref="E75:I75"/>
    <mergeCell ref="D20:D32"/>
    <mergeCell ref="F45:J45"/>
    <mergeCell ref="D9:D19"/>
    <mergeCell ref="F20:H20"/>
    <mergeCell ref="I20:K20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08"/>
  <sheetViews>
    <sheetView workbookViewId="0">
      <pane ySplit="4" topLeftCell="A5" activePane="bottomLeft" state="frozen"/>
      <selection pane="bottomLeft" activeCell="O2" sqref="O2"/>
    </sheetView>
  </sheetViews>
  <sheetFormatPr defaultRowHeight="13.5" x14ac:dyDescent="0.15"/>
  <cols>
    <col min="1" max="1" width="11.625" bestFit="1" customWidth="1"/>
    <col min="2" max="2" width="17.5" style="1" customWidth="1"/>
    <col min="3" max="3" width="14.25" customWidth="1"/>
    <col min="4" max="4" width="19.375" bestFit="1" customWidth="1"/>
    <col min="5" max="5" width="16" customWidth="1"/>
    <col min="6" max="6" width="15" bestFit="1" customWidth="1"/>
    <col min="8" max="8" width="10.5" bestFit="1" customWidth="1"/>
    <col min="16" max="16" width="13.875" bestFit="1" customWidth="1"/>
    <col min="17" max="17" width="15.75" customWidth="1"/>
    <col min="18" max="18" width="11.625" bestFit="1" customWidth="1"/>
    <col min="19" max="22" width="12.75" bestFit="1" customWidth="1"/>
    <col min="23" max="24" width="11.625" bestFit="1" customWidth="1"/>
    <col min="25" max="25" width="9.5" bestFit="1" customWidth="1"/>
  </cols>
  <sheetData>
    <row r="1" spans="1:25" x14ac:dyDescent="0.15">
      <c r="F1" t="s">
        <v>293</v>
      </c>
      <c r="G1">
        <v>0</v>
      </c>
      <c r="H1">
        <v>0.3</v>
      </c>
      <c r="I1">
        <v>0</v>
      </c>
      <c r="J1">
        <v>0</v>
      </c>
      <c r="K1">
        <v>0</v>
      </c>
      <c r="L1">
        <v>0</v>
      </c>
      <c r="M1">
        <v>0</v>
      </c>
      <c r="O1">
        <v>0</v>
      </c>
    </row>
    <row r="2" spans="1:25" x14ac:dyDescent="0.15">
      <c r="D2" s="1" t="s">
        <v>292</v>
      </c>
      <c r="E2" s="41">
        <v>100</v>
      </c>
      <c r="F2" s="1" t="s">
        <v>289</v>
      </c>
      <c r="G2" s="7">
        <v>26</v>
      </c>
      <c r="H2" s="1">
        <v>5</v>
      </c>
      <c r="I2" s="7">
        <v>23</v>
      </c>
      <c r="J2" s="1">
        <v>32</v>
      </c>
      <c r="K2" s="7">
        <v>81</v>
      </c>
      <c r="L2" s="7">
        <v>81</v>
      </c>
      <c r="M2" s="7">
        <v>81</v>
      </c>
      <c r="N2" s="1"/>
      <c r="O2" s="7">
        <v>9</v>
      </c>
      <c r="P2" s="1"/>
      <c r="R2" s="31"/>
    </row>
    <row r="3" spans="1:25" x14ac:dyDescent="0.15">
      <c r="B3" s="1" t="s">
        <v>227</v>
      </c>
      <c r="C3" s="72">
        <f>1/Q105</f>
        <v>51.3</v>
      </c>
      <c r="D3" s="15"/>
      <c r="F3" s="1" t="s">
        <v>288</v>
      </c>
      <c r="G3" s="7">
        <v>8</v>
      </c>
      <c r="H3" s="7">
        <v>12</v>
      </c>
      <c r="I3" s="7">
        <v>10</v>
      </c>
      <c r="J3" s="7">
        <v>0.3</v>
      </c>
      <c r="K3" s="7">
        <v>0</v>
      </c>
      <c r="L3" s="7">
        <v>0</v>
      </c>
      <c r="M3" s="7">
        <v>0</v>
      </c>
      <c r="N3" s="7">
        <v>1</v>
      </c>
      <c r="O3" s="7">
        <v>20</v>
      </c>
      <c r="P3" s="7">
        <f>SUM(G3:O3)</f>
        <v>51.3</v>
      </c>
      <c r="Q3" s="31">
        <f>SUM(K3:M3)/P3</f>
        <v>0</v>
      </c>
      <c r="R3" t="s">
        <v>23</v>
      </c>
    </row>
    <row r="4" spans="1:25" x14ac:dyDescent="0.15">
      <c r="A4" t="s">
        <v>14</v>
      </c>
      <c r="B4" s="1" t="s">
        <v>362</v>
      </c>
      <c r="C4" s="14" t="s">
        <v>361</v>
      </c>
      <c r="D4" s="23" t="s">
        <v>428</v>
      </c>
      <c r="E4" t="s">
        <v>427</v>
      </c>
      <c r="G4" s="13" t="s">
        <v>24</v>
      </c>
      <c r="H4" s="13" t="s">
        <v>26</v>
      </c>
      <c r="I4" s="13" t="s">
        <v>16</v>
      </c>
      <c r="J4" s="13" t="s">
        <v>69</v>
      </c>
      <c r="K4" s="115" t="s">
        <v>18</v>
      </c>
      <c r="L4" s="115" t="s">
        <v>258</v>
      </c>
      <c r="M4" s="115" t="s">
        <v>17</v>
      </c>
      <c r="N4" s="13" t="s">
        <v>15</v>
      </c>
      <c r="O4" s="13" t="s">
        <v>25</v>
      </c>
      <c r="P4" s="13" t="s">
        <v>149</v>
      </c>
      <c r="Q4" s="13" t="s">
        <v>143</v>
      </c>
      <c r="R4" s="2" t="s">
        <v>15</v>
      </c>
      <c r="S4" s="2" t="s">
        <v>150</v>
      </c>
      <c r="T4" s="2" t="s">
        <v>151</v>
      </c>
      <c r="U4" s="2" t="s">
        <v>152</v>
      </c>
      <c r="V4" s="2" t="s">
        <v>153</v>
      </c>
      <c r="W4" s="2" t="s">
        <v>154</v>
      </c>
      <c r="X4" s="2" t="s">
        <v>25</v>
      </c>
      <c r="Y4" s="2" t="s">
        <v>155</v>
      </c>
    </row>
    <row r="5" spans="1:25" x14ac:dyDescent="0.15">
      <c r="A5">
        <v>0</v>
      </c>
      <c r="B5">
        <v>0</v>
      </c>
      <c r="C5">
        <v>0.05</v>
      </c>
      <c r="E5">
        <v>60</v>
      </c>
      <c r="F5" t="s">
        <v>338</v>
      </c>
      <c r="G5">
        <f>(G3-G1)/($E$2-G2+1)</f>
        <v>0.10666666666666667</v>
      </c>
      <c r="H5">
        <f t="shared" ref="H5:O5" si="0">(H3-H1)/($E$2-H2+1)</f>
        <v>0.121875</v>
      </c>
      <c r="I5">
        <f t="shared" si="0"/>
        <v>0.12820512820512819</v>
      </c>
      <c r="J5">
        <f t="shared" si="0"/>
        <v>4.3478260869565218E-3</v>
      </c>
      <c r="K5">
        <f t="shared" si="0"/>
        <v>0</v>
      </c>
      <c r="L5">
        <f t="shared" si="0"/>
        <v>0</v>
      </c>
      <c r="M5">
        <f t="shared" si="0"/>
        <v>0</v>
      </c>
      <c r="N5">
        <v>0</v>
      </c>
      <c r="O5">
        <f t="shared" si="0"/>
        <v>0.21739130434782608</v>
      </c>
      <c r="P5">
        <f t="shared" ref="P5:P36" si="1">SUM(G5:O5)</f>
        <v>0.57848592530657739</v>
      </c>
      <c r="Q5">
        <f t="shared" ref="Q5:Q36" si="2">N5/P5</f>
        <v>0</v>
      </c>
      <c r="R5">
        <f>N5/$P$5*$E5</f>
        <v>0</v>
      </c>
      <c r="S5">
        <f t="shared" ref="S5:S36" si="3">H5/$P$5*$E5</f>
        <v>12.640756983196487</v>
      </c>
      <c r="T5">
        <f t="shared" ref="T5:T36" si="4">I5/$P$5*$E5</f>
        <v>13.297311750897027</v>
      </c>
      <c r="U5">
        <f t="shared" ref="U5:U36" si="5">M5/$P$5*$E5</f>
        <v>0</v>
      </c>
      <c r="V5">
        <f t="shared" ref="V5:V36" si="6">K5/$P$5*$E5</f>
        <v>0</v>
      </c>
      <c r="W5">
        <f t="shared" ref="W5:W36" si="7">G5/$P$5*$E5</f>
        <v>11.063363376746329</v>
      </c>
      <c r="X5">
        <f t="shared" ref="X5:X36" si="8">O5/$P$5*$E5</f>
        <v>22.547615577608006</v>
      </c>
      <c r="Y5">
        <f t="shared" ref="Y5:Y36" si="9">J5/$P$5*$E5</f>
        <v>0.45095231155216009</v>
      </c>
    </row>
    <row r="6" spans="1:25" x14ac:dyDescent="0.15">
      <c r="A6">
        <v>1</v>
      </c>
      <c r="B6">
        <f>B5+$C$6</f>
        <v>0.1</v>
      </c>
      <c r="C6">
        <v>0.1</v>
      </c>
      <c r="D6">
        <f>$E$5*(1+B6)</f>
        <v>66</v>
      </c>
      <c r="E6">
        <f t="shared" ref="E6:E37" si="10">D6/Q6</f>
        <v>66</v>
      </c>
      <c r="G6">
        <f>MAX($G$1+($A6-$G$2+1)*$G$5,0)</f>
        <v>0</v>
      </c>
      <c r="H6">
        <f>IF($A6-$H$2&gt;0,$H$1+($A6-$H$2+1)*$H$5,0)</f>
        <v>0</v>
      </c>
      <c r="I6">
        <f>MAX($I$1+($A6-$I$2+1)*$I$5,0)</f>
        <v>0</v>
      </c>
      <c r="J6">
        <f>MAX($J$1+($A6-$J$2+1)*$J$5,0)</f>
        <v>0</v>
      </c>
      <c r="K6">
        <f>MAX($K$1+(A6-$K$2+1)*$K$5,0)</f>
        <v>0</v>
      </c>
      <c r="L6">
        <f>MAX($L$1+(A6-$L$2+1)*$L$5,0)</f>
        <v>0</v>
      </c>
      <c r="M6">
        <f>MAX($M$1+($A6-$M$2+1)*$M$5,0)</f>
        <v>0</v>
      </c>
      <c r="N6">
        <v>1</v>
      </c>
      <c r="O6">
        <f>MAX($O$1+($A6-$O$2+1)*$O$5,0)</f>
        <v>0</v>
      </c>
      <c r="P6">
        <f t="shared" si="1"/>
        <v>1</v>
      </c>
      <c r="Q6" s="31">
        <f t="shared" si="2"/>
        <v>1</v>
      </c>
      <c r="R6">
        <f t="shared" ref="R6:R37" si="11">N6/P6*E6</f>
        <v>66</v>
      </c>
      <c r="S6">
        <f t="shared" si="3"/>
        <v>0</v>
      </c>
      <c r="T6">
        <f t="shared" si="4"/>
        <v>0</v>
      </c>
      <c r="U6">
        <f t="shared" si="5"/>
        <v>0</v>
      </c>
      <c r="V6">
        <f t="shared" si="6"/>
        <v>0</v>
      </c>
      <c r="W6">
        <f t="shared" si="7"/>
        <v>0</v>
      </c>
      <c r="X6">
        <f t="shared" si="8"/>
        <v>0</v>
      </c>
      <c r="Y6">
        <f t="shared" si="9"/>
        <v>0</v>
      </c>
    </row>
    <row r="7" spans="1:25" x14ac:dyDescent="0.15">
      <c r="A7">
        <v>2</v>
      </c>
      <c r="B7">
        <f t="shared" ref="B7:B14" si="12">B6+$C$6</f>
        <v>0.2</v>
      </c>
      <c r="D7">
        <f t="shared" ref="D7:D70" si="13">$E$5*(1+B7)</f>
        <v>72</v>
      </c>
      <c r="E7">
        <f t="shared" si="10"/>
        <v>72</v>
      </c>
      <c r="G7">
        <f t="shared" ref="G7:G70" si="14">MAX($G$1+($A7-$G$2+1)*$G$5,0)</f>
        <v>0</v>
      </c>
      <c r="H7">
        <f t="shared" ref="H7:H70" si="15">IF($A7-$H$2&gt;0,$H$1+($A7-$H$2+1)*$H$5,0)</f>
        <v>0</v>
      </c>
      <c r="I7">
        <f t="shared" ref="I7:I70" si="16">MAX($I$1+($A7-$I$2+1)*$I$5,0)</f>
        <v>0</v>
      </c>
      <c r="J7">
        <f t="shared" ref="J7:J70" si="17">MAX($J$1+($A7-$J$2+1)*$J$5,0)</f>
        <v>0</v>
      </c>
      <c r="K7">
        <f t="shared" ref="K7:K70" si="18">MAX((A7-$K$2+1)*$K$5,0)</f>
        <v>0</v>
      </c>
      <c r="L7">
        <f t="shared" ref="L7:L70" si="19">MAX((A7-$L$2+1)*$L$5,0)</f>
        <v>0</v>
      </c>
      <c r="M7">
        <f t="shared" ref="M7:M70" si="20">MAX(($A7-$M$2+1)*$M$5,0)</f>
        <v>0</v>
      </c>
      <c r="N7">
        <v>1</v>
      </c>
      <c r="O7">
        <f t="shared" ref="O7:O70" si="21">MAX($O$1+($A7-$O$2+1)*$O$5,0)</f>
        <v>0</v>
      </c>
      <c r="P7">
        <f t="shared" si="1"/>
        <v>1</v>
      </c>
      <c r="Q7" s="31">
        <f t="shared" si="2"/>
        <v>1</v>
      </c>
      <c r="R7">
        <f t="shared" si="11"/>
        <v>72</v>
      </c>
      <c r="S7">
        <f t="shared" si="3"/>
        <v>0</v>
      </c>
      <c r="T7">
        <f t="shared" si="4"/>
        <v>0</v>
      </c>
      <c r="U7">
        <f t="shared" si="5"/>
        <v>0</v>
      </c>
      <c r="V7">
        <f t="shared" si="6"/>
        <v>0</v>
      </c>
      <c r="W7">
        <f t="shared" si="7"/>
        <v>0</v>
      </c>
      <c r="X7">
        <f t="shared" si="8"/>
        <v>0</v>
      </c>
      <c r="Y7">
        <f t="shared" si="9"/>
        <v>0</v>
      </c>
    </row>
    <row r="8" spans="1:25" x14ac:dyDescent="0.15">
      <c r="A8">
        <v>3</v>
      </c>
      <c r="B8">
        <f t="shared" si="12"/>
        <v>0.30000000000000004</v>
      </c>
      <c r="D8">
        <f t="shared" si="13"/>
        <v>78</v>
      </c>
      <c r="E8">
        <f t="shared" si="10"/>
        <v>78</v>
      </c>
      <c r="G8">
        <f t="shared" si="14"/>
        <v>0</v>
      </c>
      <c r="H8">
        <f t="shared" si="15"/>
        <v>0</v>
      </c>
      <c r="I8">
        <f t="shared" si="16"/>
        <v>0</v>
      </c>
      <c r="J8">
        <f t="shared" si="17"/>
        <v>0</v>
      </c>
      <c r="K8">
        <f t="shared" si="18"/>
        <v>0</v>
      </c>
      <c r="L8">
        <f t="shared" si="19"/>
        <v>0</v>
      </c>
      <c r="M8">
        <f t="shared" si="20"/>
        <v>0</v>
      </c>
      <c r="N8">
        <v>1</v>
      </c>
      <c r="O8">
        <f t="shared" si="21"/>
        <v>0</v>
      </c>
      <c r="P8">
        <f t="shared" si="1"/>
        <v>1</v>
      </c>
      <c r="Q8" s="31">
        <f t="shared" si="2"/>
        <v>1</v>
      </c>
      <c r="R8">
        <f t="shared" si="11"/>
        <v>78</v>
      </c>
      <c r="S8">
        <f t="shared" si="3"/>
        <v>0</v>
      </c>
      <c r="T8">
        <f t="shared" si="4"/>
        <v>0</v>
      </c>
      <c r="U8">
        <f t="shared" si="5"/>
        <v>0</v>
      </c>
      <c r="V8">
        <f t="shared" si="6"/>
        <v>0</v>
      </c>
      <c r="W8">
        <f t="shared" si="7"/>
        <v>0</v>
      </c>
      <c r="X8">
        <f t="shared" si="8"/>
        <v>0</v>
      </c>
      <c r="Y8">
        <f t="shared" si="9"/>
        <v>0</v>
      </c>
    </row>
    <row r="9" spans="1:25" x14ac:dyDescent="0.15">
      <c r="A9">
        <v>4</v>
      </c>
      <c r="B9">
        <f t="shared" si="12"/>
        <v>0.4</v>
      </c>
      <c r="D9">
        <f t="shared" si="13"/>
        <v>84</v>
      </c>
      <c r="E9">
        <f t="shared" si="10"/>
        <v>84</v>
      </c>
      <c r="G9">
        <f t="shared" si="14"/>
        <v>0</v>
      </c>
      <c r="H9">
        <f t="shared" si="15"/>
        <v>0</v>
      </c>
      <c r="I9">
        <f t="shared" si="16"/>
        <v>0</v>
      </c>
      <c r="J9">
        <f t="shared" si="17"/>
        <v>0</v>
      </c>
      <c r="K9">
        <f t="shared" si="18"/>
        <v>0</v>
      </c>
      <c r="L9">
        <f t="shared" si="19"/>
        <v>0</v>
      </c>
      <c r="M9">
        <f t="shared" si="20"/>
        <v>0</v>
      </c>
      <c r="N9">
        <v>1</v>
      </c>
      <c r="O9">
        <f t="shared" si="21"/>
        <v>0</v>
      </c>
      <c r="P9">
        <f t="shared" si="1"/>
        <v>1</v>
      </c>
      <c r="Q9" s="31">
        <f t="shared" si="2"/>
        <v>1</v>
      </c>
      <c r="R9">
        <f t="shared" si="11"/>
        <v>84</v>
      </c>
      <c r="S9">
        <f t="shared" si="3"/>
        <v>0</v>
      </c>
      <c r="T9">
        <f t="shared" si="4"/>
        <v>0</v>
      </c>
      <c r="U9">
        <f t="shared" si="5"/>
        <v>0</v>
      </c>
      <c r="V9">
        <f t="shared" si="6"/>
        <v>0</v>
      </c>
      <c r="W9">
        <f t="shared" si="7"/>
        <v>0</v>
      </c>
      <c r="X9">
        <f t="shared" si="8"/>
        <v>0</v>
      </c>
      <c r="Y9">
        <f t="shared" si="9"/>
        <v>0</v>
      </c>
    </row>
    <row r="10" spans="1:25" x14ac:dyDescent="0.15">
      <c r="A10">
        <v>5</v>
      </c>
      <c r="B10">
        <f t="shared" si="12"/>
        <v>0.5</v>
      </c>
      <c r="D10">
        <f t="shared" si="13"/>
        <v>90</v>
      </c>
      <c r="E10">
        <f t="shared" si="10"/>
        <v>90</v>
      </c>
      <c r="G10">
        <f t="shared" si="14"/>
        <v>0</v>
      </c>
      <c r="H10">
        <f t="shared" si="15"/>
        <v>0</v>
      </c>
      <c r="I10">
        <f t="shared" si="16"/>
        <v>0</v>
      </c>
      <c r="J10">
        <f t="shared" si="17"/>
        <v>0</v>
      </c>
      <c r="K10">
        <f t="shared" si="18"/>
        <v>0</v>
      </c>
      <c r="L10">
        <f t="shared" si="19"/>
        <v>0</v>
      </c>
      <c r="M10">
        <f t="shared" si="20"/>
        <v>0</v>
      </c>
      <c r="N10">
        <v>1</v>
      </c>
      <c r="O10">
        <f t="shared" si="21"/>
        <v>0</v>
      </c>
      <c r="P10">
        <f t="shared" si="1"/>
        <v>1</v>
      </c>
      <c r="Q10" s="31">
        <f t="shared" si="2"/>
        <v>1</v>
      </c>
      <c r="R10">
        <f t="shared" si="11"/>
        <v>90</v>
      </c>
      <c r="S10">
        <f t="shared" si="3"/>
        <v>0</v>
      </c>
      <c r="T10">
        <f t="shared" si="4"/>
        <v>0</v>
      </c>
      <c r="U10">
        <f t="shared" si="5"/>
        <v>0</v>
      </c>
      <c r="V10">
        <f t="shared" si="6"/>
        <v>0</v>
      </c>
      <c r="W10">
        <f t="shared" si="7"/>
        <v>0</v>
      </c>
      <c r="X10">
        <f t="shared" si="8"/>
        <v>0</v>
      </c>
      <c r="Y10">
        <f t="shared" si="9"/>
        <v>0</v>
      </c>
    </row>
    <row r="11" spans="1:25" x14ac:dyDescent="0.15">
      <c r="A11">
        <v>6</v>
      </c>
      <c r="B11">
        <f t="shared" si="12"/>
        <v>0.6</v>
      </c>
      <c r="D11">
        <f t="shared" si="13"/>
        <v>96</v>
      </c>
      <c r="E11">
        <f t="shared" si="10"/>
        <v>148.19999999999999</v>
      </c>
      <c r="G11">
        <f t="shared" si="14"/>
        <v>0</v>
      </c>
      <c r="H11">
        <f t="shared" si="15"/>
        <v>0.54374999999999996</v>
      </c>
      <c r="I11">
        <f t="shared" si="16"/>
        <v>0</v>
      </c>
      <c r="J11">
        <f t="shared" si="17"/>
        <v>0</v>
      </c>
      <c r="K11">
        <f t="shared" si="18"/>
        <v>0</v>
      </c>
      <c r="L11">
        <f t="shared" si="19"/>
        <v>0</v>
      </c>
      <c r="M11">
        <f t="shared" si="20"/>
        <v>0</v>
      </c>
      <c r="N11">
        <v>1</v>
      </c>
      <c r="O11">
        <f t="shared" si="21"/>
        <v>0</v>
      </c>
      <c r="P11">
        <f t="shared" si="1"/>
        <v>1.54375</v>
      </c>
      <c r="Q11" s="31">
        <f t="shared" si="2"/>
        <v>0.64777327935222673</v>
      </c>
      <c r="R11">
        <f t="shared" si="11"/>
        <v>96</v>
      </c>
      <c r="S11">
        <f t="shared" si="3"/>
        <v>139.30114195482528</v>
      </c>
      <c r="T11">
        <f t="shared" si="4"/>
        <v>0</v>
      </c>
      <c r="U11">
        <f t="shared" si="5"/>
        <v>0</v>
      </c>
      <c r="V11">
        <f t="shared" si="6"/>
        <v>0</v>
      </c>
      <c r="W11">
        <f t="shared" si="7"/>
        <v>0</v>
      </c>
      <c r="X11">
        <f t="shared" si="8"/>
        <v>0</v>
      </c>
      <c r="Y11">
        <f t="shared" si="9"/>
        <v>0</v>
      </c>
    </row>
    <row r="12" spans="1:25" x14ac:dyDescent="0.15">
      <c r="A12">
        <v>7</v>
      </c>
      <c r="B12">
        <f t="shared" si="12"/>
        <v>0.7</v>
      </c>
      <c r="D12">
        <f t="shared" si="13"/>
        <v>102</v>
      </c>
      <c r="E12">
        <f t="shared" si="10"/>
        <v>169.89374999999998</v>
      </c>
      <c r="G12">
        <f t="shared" si="14"/>
        <v>0</v>
      </c>
      <c r="H12">
        <f t="shared" si="15"/>
        <v>0.66562499999999991</v>
      </c>
      <c r="I12">
        <f t="shared" si="16"/>
        <v>0</v>
      </c>
      <c r="J12">
        <f t="shared" si="17"/>
        <v>0</v>
      </c>
      <c r="K12">
        <f t="shared" si="18"/>
        <v>0</v>
      </c>
      <c r="L12">
        <f t="shared" si="19"/>
        <v>0</v>
      </c>
      <c r="M12">
        <f t="shared" si="20"/>
        <v>0</v>
      </c>
      <c r="N12">
        <v>1</v>
      </c>
      <c r="O12">
        <f t="shared" si="21"/>
        <v>0</v>
      </c>
      <c r="P12">
        <f t="shared" si="1"/>
        <v>1.6656249999999999</v>
      </c>
      <c r="Q12" s="31">
        <f t="shared" si="2"/>
        <v>0.60037523452157604</v>
      </c>
      <c r="R12">
        <f t="shared" si="11"/>
        <v>102</v>
      </c>
      <c r="S12">
        <f t="shared" si="3"/>
        <v>195.48535650857639</v>
      </c>
      <c r="T12">
        <f t="shared" si="4"/>
        <v>0</v>
      </c>
      <c r="U12">
        <f t="shared" si="5"/>
        <v>0</v>
      </c>
      <c r="V12">
        <f t="shared" si="6"/>
        <v>0</v>
      </c>
      <c r="W12">
        <f t="shared" si="7"/>
        <v>0</v>
      </c>
      <c r="X12">
        <f t="shared" si="8"/>
        <v>0</v>
      </c>
      <c r="Y12">
        <f t="shared" si="9"/>
        <v>0</v>
      </c>
    </row>
    <row r="13" spans="1:25" x14ac:dyDescent="0.15">
      <c r="A13">
        <v>8</v>
      </c>
      <c r="B13">
        <f t="shared" si="12"/>
        <v>0.79999999999999993</v>
      </c>
      <c r="D13">
        <f t="shared" si="13"/>
        <v>107.99999999999999</v>
      </c>
      <c r="E13">
        <f t="shared" si="10"/>
        <v>193.05</v>
      </c>
      <c r="G13">
        <f t="shared" si="14"/>
        <v>0</v>
      </c>
      <c r="H13">
        <f t="shared" si="15"/>
        <v>0.78749999999999998</v>
      </c>
      <c r="I13">
        <f t="shared" si="16"/>
        <v>0</v>
      </c>
      <c r="J13">
        <f t="shared" si="17"/>
        <v>0</v>
      </c>
      <c r="K13">
        <f t="shared" si="18"/>
        <v>0</v>
      </c>
      <c r="L13">
        <f t="shared" si="19"/>
        <v>0</v>
      </c>
      <c r="M13">
        <f t="shared" si="20"/>
        <v>0</v>
      </c>
      <c r="N13">
        <v>1</v>
      </c>
      <c r="O13">
        <f t="shared" si="21"/>
        <v>0</v>
      </c>
      <c r="P13">
        <f t="shared" si="1"/>
        <v>1.7875000000000001</v>
      </c>
      <c r="Q13" s="31">
        <f t="shared" si="2"/>
        <v>0.55944055944055937</v>
      </c>
      <c r="R13">
        <f t="shared" si="11"/>
        <v>107.99999999999999</v>
      </c>
      <c r="S13">
        <f t="shared" si="3"/>
        <v>262.80133768065497</v>
      </c>
      <c r="T13">
        <f t="shared" si="4"/>
        <v>0</v>
      </c>
      <c r="U13">
        <f t="shared" si="5"/>
        <v>0</v>
      </c>
      <c r="V13">
        <f t="shared" si="6"/>
        <v>0</v>
      </c>
      <c r="W13">
        <f t="shared" si="7"/>
        <v>0</v>
      </c>
      <c r="X13">
        <f t="shared" si="8"/>
        <v>0</v>
      </c>
      <c r="Y13">
        <f t="shared" si="9"/>
        <v>0</v>
      </c>
    </row>
    <row r="14" spans="1:25" x14ac:dyDescent="0.15">
      <c r="A14">
        <v>9</v>
      </c>
      <c r="B14">
        <f t="shared" si="12"/>
        <v>0.89999999999999991</v>
      </c>
      <c r="D14">
        <f t="shared" si="13"/>
        <v>114</v>
      </c>
      <c r="E14">
        <f t="shared" si="10"/>
        <v>242.45135869565217</v>
      </c>
      <c r="G14">
        <f t="shared" si="14"/>
        <v>0</v>
      </c>
      <c r="H14">
        <f t="shared" si="15"/>
        <v>0.90937500000000004</v>
      </c>
      <c r="I14">
        <f t="shared" si="16"/>
        <v>0</v>
      </c>
      <c r="J14">
        <f t="shared" si="17"/>
        <v>0</v>
      </c>
      <c r="K14">
        <f t="shared" si="18"/>
        <v>0</v>
      </c>
      <c r="L14">
        <f t="shared" si="19"/>
        <v>0</v>
      </c>
      <c r="M14">
        <f t="shared" si="20"/>
        <v>0</v>
      </c>
      <c r="N14">
        <v>1</v>
      </c>
      <c r="O14">
        <f t="shared" si="21"/>
        <v>0.21739130434782608</v>
      </c>
      <c r="P14">
        <f t="shared" si="1"/>
        <v>2.126766304347826</v>
      </c>
      <c r="Q14" s="31">
        <f t="shared" si="2"/>
        <v>0.4701974062480036</v>
      </c>
      <c r="R14">
        <f t="shared" si="11"/>
        <v>114</v>
      </c>
      <c r="S14">
        <f t="shared" si="3"/>
        <v>381.131492865643</v>
      </c>
      <c r="T14">
        <f t="shared" si="4"/>
        <v>0</v>
      </c>
      <c r="U14">
        <f t="shared" si="5"/>
        <v>0</v>
      </c>
      <c r="V14">
        <f t="shared" si="6"/>
        <v>0</v>
      </c>
      <c r="W14">
        <f t="shared" si="7"/>
        <v>0</v>
      </c>
      <c r="X14">
        <f t="shared" si="8"/>
        <v>91.111667202305213</v>
      </c>
      <c r="Y14">
        <f t="shared" si="9"/>
        <v>0</v>
      </c>
    </row>
    <row r="15" spans="1:25" x14ac:dyDescent="0.15">
      <c r="A15">
        <v>10</v>
      </c>
      <c r="B15">
        <f>B14+$C$15</f>
        <v>0.99999999999999989</v>
      </c>
      <c r="C15">
        <v>0.1</v>
      </c>
      <c r="D15">
        <f t="shared" si="13"/>
        <v>120</v>
      </c>
      <c r="E15">
        <f t="shared" si="10"/>
        <v>295.92391304347831</v>
      </c>
      <c r="G15">
        <f t="shared" si="14"/>
        <v>0</v>
      </c>
      <c r="H15">
        <f t="shared" si="15"/>
        <v>1.03125</v>
      </c>
      <c r="I15">
        <f t="shared" si="16"/>
        <v>0</v>
      </c>
      <c r="J15">
        <f t="shared" si="17"/>
        <v>0</v>
      </c>
      <c r="K15">
        <f t="shared" si="18"/>
        <v>0</v>
      </c>
      <c r="L15">
        <f t="shared" si="19"/>
        <v>0</v>
      </c>
      <c r="M15">
        <f t="shared" si="20"/>
        <v>0</v>
      </c>
      <c r="N15">
        <v>1</v>
      </c>
      <c r="O15">
        <f t="shared" si="21"/>
        <v>0.43478260869565216</v>
      </c>
      <c r="P15">
        <f t="shared" si="1"/>
        <v>2.4660326086956523</v>
      </c>
      <c r="Q15" s="31">
        <f t="shared" si="2"/>
        <v>0.4055096418732782</v>
      </c>
      <c r="R15">
        <f t="shared" si="11"/>
        <v>120.00000000000001</v>
      </c>
      <c r="S15">
        <f t="shared" si="3"/>
        <v>527.53493555501245</v>
      </c>
      <c r="T15">
        <f t="shared" si="4"/>
        <v>0</v>
      </c>
      <c r="U15">
        <f t="shared" si="5"/>
        <v>0</v>
      </c>
      <c r="V15">
        <f t="shared" si="6"/>
        <v>0</v>
      </c>
      <c r="W15">
        <f t="shared" si="7"/>
        <v>0</v>
      </c>
      <c r="X15">
        <f t="shared" si="8"/>
        <v>222.41262105086162</v>
      </c>
      <c r="Y15">
        <f t="shared" si="9"/>
        <v>0</v>
      </c>
    </row>
    <row r="16" spans="1:25" x14ac:dyDescent="0.15">
      <c r="A16">
        <v>11</v>
      </c>
      <c r="B16">
        <f t="shared" ref="B16:B24" si="22">B15+$C$15</f>
        <v>1.0999999999999999</v>
      </c>
      <c r="D16">
        <f t="shared" si="13"/>
        <v>125.99999999999997</v>
      </c>
      <c r="E16">
        <f t="shared" si="10"/>
        <v>353.46766304347824</v>
      </c>
      <c r="G16">
        <f t="shared" si="14"/>
        <v>0</v>
      </c>
      <c r="H16">
        <f t="shared" si="15"/>
        <v>1.153125</v>
      </c>
      <c r="I16">
        <f t="shared" si="16"/>
        <v>0</v>
      </c>
      <c r="J16">
        <f t="shared" si="17"/>
        <v>0</v>
      </c>
      <c r="K16">
        <f t="shared" si="18"/>
        <v>0</v>
      </c>
      <c r="L16">
        <f t="shared" si="19"/>
        <v>0</v>
      </c>
      <c r="M16">
        <f t="shared" si="20"/>
        <v>0</v>
      </c>
      <c r="N16">
        <v>1</v>
      </c>
      <c r="O16">
        <f t="shared" si="21"/>
        <v>0.65217391304347827</v>
      </c>
      <c r="P16">
        <f t="shared" si="1"/>
        <v>2.8052989130434787</v>
      </c>
      <c r="Q16" s="31">
        <f t="shared" si="2"/>
        <v>0.35646825204630206</v>
      </c>
      <c r="R16">
        <f t="shared" si="11"/>
        <v>125.99999999999997</v>
      </c>
      <c r="S16">
        <f t="shared" si="3"/>
        <v>704.58481549227156</v>
      </c>
      <c r="T16">
        <f t="shared" si="4"/>
        <v>0</v>
      </c>
      <c r="U16">
        <f t="shared" si="5"/>
        <v>0</v>
      </c>
      <c r="V16">
        <f t="shared" si="6"/>
        <v>0</v>
      </c>
      <c r="W16">
        <f t="shared" si="7"/>
        <v>0</v>
      </c>
      <c r="X16">
        <f t="shared" si="8"/>
        <v>398.49264927099136</v>
      </c>
      <c r="Y16">
        <f t="shared" si="9"/>
        <v>0</v>
      </c>
    </row>
    <row r="17" spans="1:25" x14ac:dyDescent="0.15">
      <c r="A17">
        <v>12</v>
      </c>
      <c r="B17">
        <f t="shared" si="22"/>
        <v>1.2</v>
      </c>
      <c r="D17">
        <f t="shared" si="13"/>
        <v>132</v>
      </c>
      <c r="E17">
        <f t="shared" si="10"/>
        <v>415.08260869565214</v>
      </c>
      <c r="G17">
        <f t="shared" si="14"/>
        <v>0</v>
      </c>
      <c r="H17">
        <f t="shared" si="15"/>
        <v>1.2749999999999999</v>
      </c>
      <c r="I17">
        <f t="shared" si="16"/>
        <v>0</v>
      </c>
      <c r="J17">
        <f t="shared" si="17"/>
        <v>0</v>
      </c>
      <c r="K17">
        <f t="shared" si="18"/>
        <v>0</v>
      </c>
      <c r="L17">
        <f t="shared" si="19"/>
        <v>0</v>
      </c>
      <c r="M17">
        <f t="shared" si="20"/>
        <v>0</v>
      </c>
      <c r="N17">
        <v>1</v>
      </c>
      <c r="O17">
        <f t="shared" si="21"/>
        <v>0.86956521739130432</v>
      </c>
      <c r="P17">
        <f t="shared" si="1"/>
        <v>3.1445652173913041</v>
      </c>
      <c r="Q17" s="31">
        <f t="shared" si="2"/>
        <v>0.31800898721050813</v>
      </c>
      <c r="R17">
        <f t="shared" si="11"/>
        <v>132</v>
      </c>
      <c r="S17">
        <f t="shared" si="3"/>
        <v>914.85428242092974</v>
      </c>
      <c r="T17">
        <f t="shared" si="4"/>
        <v>0</v>
      </c>
      <c r="U17">
        <f t="shared" si="5"/>
        <v>0</v>
      </c>
      <c r="V17">
        <f t="shared" si="6"/>
        <v>0</v>
      </c>
      <c r="W17">
        <f t="shared" si="7"/>
        <v>0</v>
      </c>
      <c r="X17">
        <f t="shared" si="8"/>
        <v>623.94153958801701</v>
      </c>
      <c r="Y17">
        <f t="shared" si="9"/>
        <v>0</v>
      </c>
    </row>
    <row r="18" spans="1:25" x14ac:dyDescent="0.15">
      <c r="A18">
        <v>13</v>
      </c>
      <c r="B18">
        <f t="shared" si="22"/>
        <v>1.3</v>
      </c>
      <c r="D18">
        <f t="shared" si="13"/>
        <v>138</v>
      </c>
      <c r="E18">
        <f t="shared" si="10"/>
        <v>480.76874999999995</v>
      </c>
      <c r="G18">
        <f t="shared" si="14"/>
        <v>0</v>
      </c>
      <c r="H18">
        <f t="shared" si="15"/>
        <v>1.3968750000000001</v>
      </c>
      <c r="I18">
        <f t="shared" si="16"/>
        <v>0</v>
      </c>
      <c r="J18">
        <f t="shared" si="17"/>
        <v>0</v>
      </c>
      <c r="K18">
        <f t="shared" si="18"/>
        <v>0</v>
      </c>
      <c r="L18">
        <f t="shared" si="19"/>
        <v>0</v>
      </c>
      <c r="M18">
        <f t="shared" si="20"/>
        <v>0</v>
      </c>
      <c r="N18">
        <v>1</v>
      </c>
      <c r="O18">
        <f t="shared" si="21"/>
        <v>1.0869565217391304</v>
      </c>
      <c r="P18">
        <f t="shared" si="1"/>
        <v>3.4838315217391305</v>
      </c>
      <c r="Q18" s="31">
        <f t="shared" si="2"/>
        <v>0.28704028704028706</v>
      </c>
      <c r="R18">
        <f t="shared" si="11"/>
        <v>138</v>
      </c>
      <c r="S18">
        <f t="shared" si="3"/>
        <v>1160.916486084496</v>
      </c>
      <c r="T18">
        <f t="shared" si="4"/>
        <v>0</v>
      </c>
      <c r="U18">
        <f t="shared" si="5"/>
        <v>0</v>
      </c>
      <c r="V18">
        <f t="shared" si="6"/>
        <v>0</v>
      </c>
      <c r="W18">
        <f t="shared" si="7"/>
        <v>0</v>
      </c>
      <c r="X18">
        <f t="shared" si="8"/>
        <v>903.34907972726057</v>
      </c>
      <c r="Y18">
        <f t="shared" si="9"/>
        <v>0</v>
      </c>
    </row>
    <row r="19" spans="1:25" x14ac:dyDescent="0.15">
      <c r="A19">
        <v>14</v>
      </c>
      <c r="B19">
        <f t="shared" si="22"/>
        <v>1.4000000000000001</v>
      </c>
      <c r="D19">
        <f t="shared" si="13"/>
        <v>144.00000000000003</v>
      </c>
      <c r="E19">
        <f t="shared" si="10"/>
        <v>550.52608695652179</v>
      </c>
      <c r="G19">
        <f t="shared" si="14"/>
        <v>0</v>
      </c>
      <c r="H19">
        <f t="shared" si="15"/>
        <v>1.51875</v>
      </c>
      <c r="I19">
        <f t="shared" si="16"/>
        <v>0</v>
      </c>
      <c r="J19">
        <f t="shared" si="17"/>
        <v>0</v>
      </c>
      <c r="K19">
        <f t="shared" si="18"/>
        <v>0</v>
      </c>
      <c r="L19">
        <f t="shared" si="19"/>
        <v>0</v>
      </c>
      <c r="M19">
        <f t="shared" si="20"/>
        <v>0</v>
      </c>
      <c r="N19">
        <v>1</v>
      </c>
      <c r="O19">
        <f t="shared" si="21"/>
        <v>1.3043478260869565</v>
      </c>
      <c r="P19">
        <f t="shared" si="1"/>
        <v>3.8230978260869564</v>
      </c>
      <c r="Q19" s="31">
        <f t="shared" si="2"/>
        <v>0.26156798635297462</v>
      </c>
      <c r="R19">
        <f t="shared" si="11"/>
        <v>144</v>
      </c>
      <c r="S19">
        <f t="shared" si="3"/>
        <v>1445.3445762264787</v>
      </c>
      <c r="T19">
        <f t="shared" si="4"/>
        <v>0</v>
      </c>
      <c r="U19">
        <f t="shared" si="5"/>
        <v>0</v>
      </c>
      <c r="V19">
        <f t="shared" si="6"/>
        <v>0</v>
      </c>
      <c r="W19">
        <f t="shared" si="7"/>
        <v>0</v>
      </c>
      <c r="X19">
        <f t="shared" si="8"/>
        <v>1241.305057414045</v>
      </c>
      <c r="Y19">
        <f t="shared" si="9"/>
        <v>0</v>
      </c>
    </row>
    <row r="20" spans="1:25" x14ac:dyDescent="0.15">
      <c r="A20">
        <v>15</v>
      </c>
      <c r="B20">
        <f t="shared" si="22"/>
        <v>1.5000000000000002</v>
      </c>
      <c r="D20">
        <f t="shared" si="13"/>
        <v>150</v>
      </c>
      <c r="E20">
        <f t="shared" si="10"/>
        <v>624.35461956521738</v>
      </c>
      <c r="G20">
        <f t="shared" si="14"/>
        <v>0</v>
      </c>
      <c r="H20">
        <f t="shared" si="15"/>
        <v>1.640625</v>
      </c>
      <c r="I20">
        <f t="shared" si="16"/>
        <v>0</v>
      </c>
      <c r="J20">
        <f t="shared" si="17"/>
        <v>0</v>
      </c>
      <c r="K20">
        <f t="shared" si="18"/>
        <v>0</v>
      </c>
      <c r="L20">
        <f t="shared" si="19"/>
        <v>0</v>
      </c>
      <c r="M20">
        <f t="shared" si="20"/>
        <v>0</v>
      </c>
      <c r="N20">
        <v>1</v>
      </c>
      <c r="O20">
        <f t="shared" si="21"/>
        <v>1.5217391304347825</v>
      </c>
      <c r="P20">
        <f t="shared" si="1"/>
        <v>4.1623641304347823</v>
      </c>
      <c r="Q20" s="31">
        <f t="shared" si="2"/>
        <v>0.24024808225885427</v>
      </c>
      <c r="R20">
        <f t="shared" si="11"/>
        <v>150</v>
      </c>
      <c r="S20">
        <f t="shared" si="3"/>
        <v>1770.7117025903865</v>
      </c>
      <c r="T20">
        <f t="shared" si="4"/>
        <v>0</v>
      </c>
      <c r="U20">
        <f t="shared" si="5"/>
        <v>0</v>
      </c>
      <c r="V20">
        <f t="shared" si="6"/>
        <v>0</v>
      </c>
      <c r="W20">
        <f t="shared" si="7"/>
        <v>0</v>
      </c>
      <c r="X20">
        <f t="shared" si="8"/>
        <v>1642.3992603736917</v>
      </c>
      <c r="Y20">
        <f t="shared" si="9"/>
        <v>0</v>
      </c>
    </row>
    <row r="21" spans="1:25" x14ac:dyDescent="0.15">
      <c r="A21">
        <v>16</v>
      </c>
      <c r="B21">
        <f t="shared" si="22"/>
        <v>1.6000000000000003</v>
      </c>
      <c r="D21">
        <f t="shared" si="13"/>
        <v>156.00000000000003</v>
      </c>
      <c r="E21">
        <f t="shared" si="10"/>
        <v>702.25434782608704</v>
      </c>
      <c r="G21">
        <f t="shared" si="14"/>
        <v>0</v>
      </c>
      <c r="H21">
        <f t="shared" si="15"/>
        <v>1.7625</v>
      </c>
      <c r="I21">
        <f t="shared" si="16"/>
        <v>0</v>
      </c>
      <c r="J21">
        <f t="shared" si="17"/>
        <v>0</v>
      </c>
      <c r="K21">
        <f t="shared" si="18"/>
        <v>0</v>
      </c>
      <c r="L21">
        <f t="shared" si="19"/>
        <v>0</v>
      </c>
      <c r="M21">
        <f t="shared" si="20"/>
        <v>0</v>
      </c>
      <c r="N21">
        <v>1</v>
      </c>
      <c r="O21">
        <f t="shared" si="21"/>
        <v>1.7391304347826086</v>
      </c>
      <c r="P21">
        <f t="shared" si="1"/>
        <v>4.5016304347826086</v>
      </c>
      <c r="Q21" s="31">
        <f t="shared" si="2"/>
        <v>0.22214173608595919</v>
      </c>
      <c r="R21">
        <f t="shared" si="11"/>
        <v>156.00000000000003</v>
      </c>
      <c r="S21">
        <f t="shared" si="3"/>
        <v>2139.5910149197289</v>
      </c>
      <c r="T21">
        <f t="shared" si="4"/>
        <v>0</v>
      </c>
      <c r="U21">
        <f t="shared" si="5"/>
        <v>0</v>
      </c>
      <c r="V21">
        <f t="shared" si="6"/>
        <v>0</v>
      </c>
      <c r="W21">
        <f t="shared" si="7"/>
        <v>0</v>
      </c>
      <c r="X21">
        <f t="shared" si="8"/>
        <v>2111.2214763315242</v>
      </c>
      <c r="Y21">
        <f t="shared" si="9"/>
        <v>0</v>
      </c>
    </row>
    <row r="22" spans="1:25" x14ac:dyDescent="0.15">
      <c r="A22">
        <v>17</v>
      </c>
      <c r="B22">
        <f t="shared" si="22"/>
        <v>1.7000000000000004</v>
      </c>
      <c r="D22">
        <f t="shared" si="13"/>
        <v>162</v>
      </c>
      <c r="E22">
        <f t="shared" si="10"/>
        <v>784.22527173913045</v>
      </c>
      <c r="G22">
        <f t="shared" si="14"/>
        <v>0</v>
      </c>
      <c r="H22">
        <f t="shared" si="15"/>
        <v>1.8843749999999999</v>
      </c>
      <c r="I22">
        <f t="shared" si="16"/>
        <v>0</v>
      </c>
      <c r="J22">
        <f t="shared" si="17"/>
        <v>0</v>
      </c>
      <c r="K22">
        <f t="shared" si="18"/>
        <v>0</v>
      </c>
      <c r="L22">
        <f t="shared" si="19"/>
        <v>0</v>
      </c>
      <c r="M22">
        <f t="shared" si="20"/>
        <v>0</v>
      </c>
      <c r="N22">
        <v>1</v>
      </c>
      <c r="O22">
        <f t="shared" si="21"/>
        <v>1.9565217391304348</v>
      </c>
      <c r="P22">
        <f t="shared" si="1"/>
        <v>4.8408967391304349</v>
      </c>
      <c r="Q22" s="31">
        <f t="shared" si="2"/>
        <v>0.20657329703331556</v>
      </c>
      <c r="R22">
        <f t="shared" si="11"/>
        <v>162</v>
      </c>
      <c r="S22">
        <f t="shared" si="3"/>
        <v>2554.5556629580137</v>
      </c>
      <c r="T22">
        <f t="shared" si="4"/>
        <v>0</v>
      </c>
      <c r="U22">
        <f t="shared" si="5"/>
        <v>0</v>
      </c>
      <c r="V22">
        <f t="shared" si="6"/>
        <v>0</v>
      </c>
      <c r="W22">
        <f t="shared" si="7"/>
        <v>0</v>
      </c>
      <c r="X22">
        <f t="shared" si="8"/>
        <v>2652.3614930128633</v>
      </c>
      <c r="Y22">
        <f t="shared" si="9"/>
        <v>0</v>
      </c>
    </row>
    <row r="23" spans="1:25" x14ac:dyDescent="0.15">
      <c r="A23">
        <v>18</v>
      </c>
      <c r="B23">
        <f t="shared" si="22"/>
        <v>1.8000000000000005</v>
      </c>
      <c r="D23">
        <f t="shared" si="13"/>
        <v>168.00000000000006</v>
      </c>
      <c r="E23">
        <f t="shared" si="10"/>
        <v>870.26739130434817</v>
      </c>
      <c r="G23">
        <f t="shared" si="14"/>
        <v>0</v>
      </c>
      <c r="H23">
        <f t="shared" si="15"/>
        <v>2.0062500000000001</v>
      </c>
      <c r="I23">
        <f t="shared" si="16"/>
        <v>0</v>
      </c>
      <c r="J23">
        <f t="shared" si="17"/>
        <v>0</v>
      </c>
      <c r="K23">
        <f t="shared" si="18"/>
        <v>0</v>
      </c>
      <c r="L23">
        <f t="shared" si="19"/>
        <v>0</v>
      </c>
      <c r="M23">
        <f t="shared" si="20"/>
        <v>0</v>
      </c>
      <c r="N23">
        <v>1</v>
      </c>
      <c r="O23">
        <f t="shared" si="21"/>
        <v>2.1739130434782608</v>
      </c>
      <c r="P23">
        <f t="shared" si="1"/>
        <v>5.1801630434782613</v>
      </c>
      <c r="Q23" s="31">
        <f t="shared" si="2"/>
        <v>0.19304411687562292</v>
      </c>
      <c r="R23">
        <f t="shared" si="11"/>
        <v>168.00000000000006</v>
      </c>
      <c r="S23">
        <f t="shared" si="3"/>
        <v>3018.1787964487526</v>
      </c>
      <c r="T23">
        <f t="shared" si="4"/>
        <v>0</v>
      </c>
      <c r="U23">
        <f t="shared" si="5"/>
        <v>0</v>
      </c>
      <c r="V23">
        <f t="shared" si="6"/>
        <v>0</v>
      </c>
      <c r="W23">
        <f t="shared" si="7"/>
        <v>0</v>
      </c>
      <c r="X23">
        <f t="shared" si="8"/>
        <v>3270.4090981430336</v>
      </c>
      <c r="Y23">
        <f t="shared" si="9"/>
        <v>0</v>
      </c>
    </row>
    <row r="24" spans="1:25" x14ac:dyDescent="0.15">
      <c r="A24">
        <v>19</v>
      </c>
      <c r="B24">
        <f t="shared" si="22"/>
        <v>1.9000000000000006</v>
      </c>
      <c r="D24">
        <f t="shared" si="13"/>
        <v>174.00000000000003</v>
      </c>
      <c r="E24">
        <f t="shared" si="10"/>
        <v>960.38070652173917</v>
      </c>
      <c r="G24">
        <f t="shared" si="14"/>
        <v>0</v>
      </c>
      <c r="H24">
        <f t="shared" si="15"/>
        <v>2.1281249999999998</v>
      </c>
      <c r="I24">
        <f t="shared" si="16"/>
        <v>0</v>
      </c>
      <c r="J24">
        <f t="shared" si="17"/>
        <v>0</v>
      </c>
      <c r="K24">
        <f t="shared" si="18"/>
        <v>0</v>
      </c>
      <c r="L24">
        <f t="shared" si="19"/>
        <v>0</v>
      </c>
      <c r="M24">
        <f t="shared" si="20"/>
        <v>0</v>
      </c>
      <c r="N24">
        <v>1</v>
      </c>
      <c r="O24">
        <f t="shared" si="21"/>
        <v>2.3913043478260869</v>
      </c>
      <c r="P24">
        <f t="shared" si="1"/>
        <v>5.5194293478260867</v>
      </c>
      <c r="Q24" s="31">
        <f t="shared" si="2"/>
        <v>0.1811781503089383</v>
      </c>
      <c r="R24">
        <f t="shared" si="11"/>
        <v>174.00000000000003</v>
      </c>
      <c r="S24">
        <f t="shared" si="3"/>
        <v>3533.033565135449</v>
      </c>
      <c r="T24">
        <f t="shared" si="4"/>
        <v>0</v>
      </c>
      <c r="U24">
        <f t="shared" si="5"/>
        <v>0</v>
      </c>
      <c r="V24">
        <f t="shared" si="6"/>
        <v>0</v>
      </c>
      <c r="W24">
        <f t="shared" si="7"/>
        <v>0</v>
      </c>
      <c r="X24">
        <f t="shared" si="8"/>
        <v>3969.9540794473537</v>
      </c>
      <c r="Y24">
        <f t="shared" si="9"/>
        <v>0</v>
      </c>
    </row>
    <row r="25" spans="1:25" x14ac:dyDescent="0.15">
      <c r="A25">
        <v>20</v>
      </c>
      <c r="B25">
        <f>B24+$C$25</f>
        <v>2.0000000000000004</v>
      </c>
      <c r="C25">
        <v>0.1</v>
      </c>
      <c r="D25">
        <f t="shared" si="13"/>
        <v>180.00000000000003</v>
      </c>
      <c r="E25">
        <f t="shared" si="10"/>
        <v>1054.5652173913045</v>
      </c>
      <c r="G25">
        <f t="shared" si="14"/>
        <v>0</v>
      </c>
      <c r="H25">
        <f t="shared" si="15"/>
        <v>2.25</v>
      </c>
      <c r="I25">
        <f t="shared" si="16"/>
        <v>0</v>
      </c>
      <c r="J25">
        <f t="shared" si="17"/>
        <v>0</v>
      </c>
      <c r="K25">
        <f t="shared" si="18"/>
        <v>0</v>
      </c>
      <c r="L25">
        <f t="shared" si="19"/>
        <v>0</v>
      </c>
      <c r="M25">
        <f t="shared" si="20"/>
        <v>0</v>
      </c>
      <c r="N25">
        <v>1</v>
      </c>
      <c r="O25">
        <f t="shared" si="21"/>
        <v>2.6086956521739131</v>
      </c>
      <c r="P25">
        <f t="shared" si="1"/>
        <v>5.8586956521739131</v>
      </c>
      <c r="Q25" s="31">
        <f t="shared" si="2"/>
        <v>0.17068645640074212</v>
      </c>
      <c r="R25">
        <f t="shared" si="11"/>
        <v>180.00000000000003</v>
      </c>
      <c r="S25">
        <f t="shared" si="3"/>
        <v>4101.6931187616165</v>
      </c>
      <c r="T25">
        <f t="shared" si="4"/>
        <v>0</v>
      </c>
      <c r="U25">
        <f t="shared" si="5"/>
        <v>0</v>
      </c>
      <c r="V25">
        <f t="shared" si="6"/>
        <v>0</v>
      </c>
      <c r="W25">
        <f t="shared" si="7"/>
        <v>0</v>
      </c>
      <c r="X25">
        <f t="shared" si="8"/>
        <v>4755.5862246511497</v>
      </c>
      <c r="Y25">
        <f t="shared" si="9"/>
        <v>0</v>
      </c>
    </row>
    <row r="26" spans="1:25" x14ac:dyDescent="0.15">
      <c r="A26">
        <v>21</v>
      </c>
      <c r="B26">
        <f t="shared" ref="B26:B34" si="23">B25+$C$25</f>
        <v>2.1000000000000005</v>
      </c>
      <c r="D26">
        <f t="shared" si="13"/>
        <v>186.00000000000003</v>
      </c>
      <c r="E26">
        <f t="shared" si="10"/>
        <v>1152.8209239130438</v>
      </c>
      <c r="G26">
        <f t="shared" si="14"/>
        <v>0</v>
      </c>
      <c r="H26">
        <f t="shared" si="15"/>
        <v>2.3718749999999997</v>
      </c>
      <c r="I26">
        <f t="shared" si="16"/>
        <v>0</v>
      </c>
      <c r="J26">
        <f t="shared" si="17"/>
        <v>0</v>
      </c>
      <c r="K26">
        <f t="shared" si="18"/>
        <v>0</v>
      </c>
      <c r="L26">
        <f t="shared" si="19"/>
        <v>0</v>
      </c>
      <c r="M26">
        <f t="shared" si="20"/>
        <v>0</v>
      </c>
      <c r="N26">
        <v>1</v>
      </c>
      <c r="O26">
        <f t="shared" si="21"/>
        <v>2.8260869565217392</v>
      </c>
      <c r="P26">
        <f t="shared" si="1"/>
        <v>6.1979619565217394</v>
      </c>
      <c r="Q26" s="31">
        <f t="shared" si="2"/>
        <v>0.16134335883552184</v>
      </c>
      <c r="R26">
        <f t="shared" si="11"/>
        <v>186.00000000000003</v>
      </c>
      <c r="S26">
        <f t="shared" si="3"/>
        <v>4726.7306070707618</v>
      </c>
      <c r="T26">
        <f t="shared" si="4"/>
        <v>0</v>
      </c>
      <c r="U26">
        <f t="shared" si="5"/>
        <v>0</v>
      </c>
      <c r="V26">
        <f t="shared" si="6"/>
        <v>0</v>
      </c>
      <c r="W26">
        <f t="shared" si="7"/>
        <v>0</v>
      </c>
      <c r="X26">
        <f t="shared" si="8"/>
        <v>5631.8953214797439</v>
      </c>
      <c r="Y26">
        <f t="shared" si="9"/>
        <v>0</v>
      </c>
    </row>
    <row r="27" spans="1:25" x14ac:dyDescent="0.15">
      <c r="A27">
        <v>22</v>
      </c>
      <c r="B27">
        <f t="shared" si="23"/>
        <v>2.2000000000000006</v>
      </c>
      <c r="D27">
        <f t="shared" si="13"/>
        <v>192.00000000000003</v>
      </c>
      <c r="E27">
        <f t="shared" si="10"/>
        <v>1255.1478260869567</v>
      </c>
      <c r="G27">
        <f t="shared" si="14"/>
        <v>0</v>
      </c>
      <c r="H27">
        <f t="shared" si="15"/>
        <v>2.4937499999999999</v>
      </c>
      <c r="I27">
        <f t="shared" si="16"/>
        <v>0</v>
      </c>
      <c r="J27">
        <f t="shared" si="17"/>
        <v>0</v>
      </c>
      <c r="K27">
        <f t="shared" si="18"/>
        <v>0</v>
      </c>
      <c r="L27">
        <f t="shared" si="19"/>
        <v>0</v>
      </c>
      <c r="M27">
        <f t="shared" si="20"/>
        <v>0</v>
      </c>
      <c r="N27">
        <v>1</v>
      </c>
      <c r="O27">
        <f t="shared" si="21"/>
        <v>3.043478260869565</v>
      </c>
      <c r="P27">
        <f t="shared" si="1"/>
        <v>6.5372282608695649</v>
      </c>
      <c r="Q27" s="31">
        <f t="shared" si="2"/>
        <v>0.1529700295132394</v>
      </c>
      <c r="R27">
        <f t="shared" si="11"/>
        <v>192.00000000000003</v>
      </c>
      <c r="S27">
        <f t="shared" si="3"/>
        <v>5410.7191798063959</v>
      </c>
      <c r="T27">
        <f t="shared" si="4"/>
        <v>0</v>
      </c>
      <c r="U27">
        <f t="shared" si="5"/>
        <v>0</v>
      </c>
      <c r="V27">
        <f t="shared" si="6"/>
        <v>0</v>
      </c>
      <c r="W27">
        <f t="shared" si="7"/>
        <v>0</v>
      </c>
      <c r="X27">
        <f t="shared" si="8"/>
        <v>6603.4711576584532</v>
      </c>
      <c r="Y27">
        <f t="shared" si="9"/>
        <v>0</v>
      </c>
    </row>
    <row r="28" spans="1:25" x14ac:dyDescent="0.15">
      <c r="A28">
        <v>23</v>
      </c>
      <c r="B28">
        <f t="shared" si="23"/>
        <v>2.3000000000000007</v>
      </c>
      <c r="D28">
        <f t="shared" si="13"/>
        <v>198.00000000000006</v>
      </c>
      <c r="E28">
        <f t="shared" si="10"/>
        <v>1386.9305392976592</v>
      </c>
      <c r="G28">
        <f t="shared" si="14"/>
        <v>0</v>
      </c>
      <c r="H28">
        <f t="shared" si="15"/>
        <v>2.6156249999999996</v>
      </c>
      <c r="I28">
        <f t="shared" si="16"/>
        <v>0.12820512820512819</v>
      </c>
      <c r="J28">
        <f t="shared" si="17"/>
        <v>0</v>
      </c>
      <c r="K28">
        <f t="shared" si="18"/>
        <v>0</v>
      </c>
      <c r="L28">
        <f t="shared" si="19"/>
        <v>0</v>
      </c>
      <c r="M28">
        <f t="shared" si="20"/>
        <v>0</v>
      </c>
      <c r="N28">
        <v>1</v>
      </c>
      <c r="O28">
        <f t="shared" si="21"/>
        <v>3.2608695652173911</v>
      </c>
      <c r="P28">
        <f t="shared" si="1"/>
        <v>7.004699693422519</v>
      </c>
      <c r="Q28" s="31">
        <f t="shared" si="2"/>
        <v>0.14276129509720592</v>
      </c>
      <c r="R28">
        <f t="shared" si="11"/>
        <v>198.00000000000006</v>
      </c>
      <c r="S28">
        <f t="shared" si="3"/>
        <v>6271.0085641718761</v>
      </c>
      <c r="T28">
        <f t="shared" si="4"/>
        <v>307.37412929801189</v>
      </c>
      <c r="U28">
        <f t="shared" si="5"/>
        <v>0</v>
      </c>
      <c r="V28">
        <f t="shared" si="6"/>
        <v>0</v>
      </c>
      <c r="W28">
        <f t="shared" si="7"/>
        <v>0</v>
      </c>
      <c r="X28">
        <f t="shared" si="8"/>
        <v>7817.9941582320416</v>
      </c>
      <c r="Y28">
        <f t="shared" si="9"/>
        <v>0</v>
      </c>
    </row>
    <row r="29" spans="1:25" x14ac:dyDescent="0.15">
      <c r="A29">
        <v>24</v>
      </c>
      <c r="B29">
        <f t="shared" si="23"/>
        <v>2.4000000000000008</v>
      </c>
      <c r="D29">
        <f t="shared" si="13"/>
        <v>204.00000000000006</v>
      </c>
      <c r="E29">
        <f t="shared" si="10"/>
        <v>1524.3229096989967</v>
      </c>
      <c r="G29">
        <f t="shared" si="14"/>
        <v>0</v>
      </c>
      <c r="H29">
        <f t="shared" si="15"/>
        <v>2.7374999999999998</v>
      </c>
      <c r="I29">
        <f t="shared" si="16"/>
        <v>0.25641025641025639</v>
      </c>
      <c r="J29">
        <f t="shared" si="17"/>
        <v>0</v>
      </c>
      <c r="K29">
        <f t="shared" si="18"/>
        <v>0</v>
      </c>
      <c r="L29">
        <f t="shared" si="19"/>
        <v>0</v>
      </c>
      <c r="M29">
        <f t="shared" si="20"/>
        <v>0</v>
      </c>
      <c r="N29">
        <v>1</v>
      </c>
      <c r="O29">
        <f t="shared" si="21"/>
        <v>3.4782608695652173</v>
      </c>
      <c r="P29">
        <f t="shared" si="1"/>
        <v>7.4721711259754731</v>
      </c>
      <c r="Q29" s="31">
        <f t="shared" si="2"/>
        <v>0.13382991143279693</v>
      </c>
      <c r="R29">
        <f t="shared" si="11"/>
        <v>204.00000000000006</v>
      </c>
      <c r="S29">
        <f t="shared" si="3"/>
        <v>7213.371635774105</v>
      </c>
      <c r="T29">
        <f t="shared" si="4"/>
        <v>675.64656464340055</v>
      </c>
      <c r="U29">
        <f t="shared" si="5"/>
        <v>0</v>
      </c>
      <c r="V29">
        <f t="shared" si="6"/>
        <v>0</v>
      </c>
      <c r="W29">
        <f t="shared" si="7"/>
        <v>0</v>
      </c>
      <c r="X29">
        <f t="shared" si="8"/>
        <v>9165.2925290756957</v>
      </c>
      <c r="Y29">
        <f t="shared" si="9"/>
        <v>0</v>
      </c>
    </row>
    <row r="30" spans="1:25" x14ac:dyDescent="0.15">
      <c r="A30">
        <v>25</v>
      </c>
      <c r="B30">
        <f t="shared" si="23"/>
        <v>2.5000000000000009</v>
      </c>
      <c r="D30">
        <f t="shared" si="13"/>
        <v>210.00000000000006</v>
      </c>
      <c r="E30">
        <f t="shared" si="10"/>
        <v>1667.3249372909704</v>
      </c>
      <c r="G30">
        <f t="shared" si="14"/>
        <v>0</v>
      </c>
      <c r="H30">
        <f t="shared" si="15"/>
        <v>2.8593749999999996</v>
      </c>
      <c r="I30">
        <f t="shared" si="16"/>
        <v>0.38461538461538458</v>
      </c>
      <c r="J30">
        <f t="shared" si="17"/>
        <v>0</v>
      </c>
      <c r="K30">
        <f t="shared" si="18"/>
        <v>0</v>
      </c>
      <c r="L30">
        <f t="shared" si="19"/>
        <v>0</v>
      </c>
      <c r="M30">
        <f t="shared" si="20"/>
        <v>0</v>
      </c>
      <c r="N30">
        <v>1</v>
      </c>
      <c r="O30">
        <f t="shared" si="21"/>
        <v>3.6956521739130435</v>
      </c>
      <c r="P30">
        <f t="shared" si="1"/>
        <v>7.939642558528428</v>
      </c>
      <c r="Q30" s="31">
        <f t="shared" si="2"/>
        <v>0.12595025438844754</v>
      </c>
      <c r="R30">
        <f t="shared" si="11"/>
        <v>210.00000000000006</v>
      </c>
      <c r="S30">
        <f t="shared" si="3"/>
        <v>8241.3539102783798</v>
      </c>
      <c r="T30">
        <f t="shared" si="4"/>
        <v>1108.5469740601436</v>
      </c>
      <c r="U30">
        <f t="shared" si="5"/>
        <v>0</v>
      </c>
      <c r="V30">
        <f t="shared" si="6"/>
        <v>0</v>
      </c>
      <c r="W30">
        <f t="shared" si="7"/>
        <v>0</v>
      </c>
      <c r="X30">
        <f t="shared" si="8"/>
        <v>10651.690489882249</v>
      </c>
      <c r="Y30">
        <f t="shared" si="9"/>
        <v>0</v>
      </c>
    </row>
    <row r="31" spans="1:25" x14ac:dyDescent="0.15">
      <c r="A31">
        <v>26</v>
      </c>
      <c r="B31">
        <f t="shared" si="23"/>
        <v>2.600000000000001</v>
      </c>
      <c r="D31">
        <f t="shared" si="13"/>
        <v>216.00000000000006</v>
      </c>
      <c r="E31">
        <f t="shared" si="10"/>
        <v>1838.9766220735789</v>
      </c>
      <c r="G31">
        <f t="shared" si="14"/>
        <v>0.10666666666666667</v>
      </c>
      <c r="H31">
        <f t="shared" si="15"/>
        <v>2.9812499999999997</v>
      </c>
      <c r="I31">
        <f t="shared" si="16"/>
        <v>0.51282051282051277</v>
      </c>
      <c r="J31">
        <f t="shared" si="17"/>
        <v>0</v>
      </c>
      <c r="K31">
        <f t="shared" si="18"/>
        <v>0</v>
      </c>
      <c r="L31">
        <f t="shared" si="19"/>
        <v>0</v>
      </c>
      <c r="M31">
        <f t="shared" si="20"/>
        <v>0</v>
      </c>
      <c r="N31">
        <v>1</v>
      </c>
      <c r="O31">
        <f t="shared" si="21"/>
        <v>3.9130434782608696</v>
      </c>
      <c r="P31">
        <f t="shared" si="1"/>
        <v>8.5137806577480486</v>
      </c>
      <c r="Q31" s="31">
        <f t="shared" si="2"/>
        <v>0.11745663180668629</v>
      </c>
      <c r="R31">
        <f t="shared" si="11"/>
        <v>216.00000000000006</v>
      </c>
      <c r="S31">
        <f t="shared" si="3"/>
        <v>9477.2384507909155</v>
      </c>
      <c r="T31">
        <f t="shared" si="4"/>
        <v>1630.2296964215948</v>
      </c>
      <c r="U31">
        <f t="shared" si="5"/>
        <v>0</v>
      </c>
      <c r="V31">
        <f t="shared" si="6"/>
        <v>0</v>
      </c>
      <c r="W31">
        <f t="shared" si="7"/>
        <v>339.0877768556918</v>
      </c>
      <c r="X31">
        <f t="shared" si="8"/>
        <v>12439.361379216953</v>
      </c>
      <c r="Y31">
        <f t="shared" si="9"/>
        <v>0</v>
      </c>
    </row>
    <row r="32" spans="1:25" x14ac:dyDescent="0.15">
      <c r="A32">
        <v>27</v>
      </c>
      <c r="B32">
        <f t="shared" si="23"/>
        <v>2.7000000000000011</v>
      </c>
      <c r="D32">
        <f t="shared" si="13"/>
        <v>222.00000000000006</v>
      </c>
      <c r="E32">
        <f t="shared" si="10"/>
        <v>2017.5179640468232</v>
      </c>
      <c r="G32">
        <f t="shared" si="14"/>
        <v>0.21333333333333335</v>
      </c>
      <c r="H32">
        <f t="shared" si="15"/>
        <v>3.1031249999999999</v>
      </c>
      <c r="I32">
        <f t="shared" si="16"/>
        <v>0.64102564102564097</v>
      </c>
      <c r="J32">
        <f t="shared" si="17"/>
        <v>0</v>
      </c>
      <c r="K32">
        <f t="shared" si="18"/>
        <v>0</v>
      </c>
      <c r="L32">
        <f t="shared" si="19"/>
        <v>0</v>
      </c>
      <c r="M32">
        <f t="shared" si="20"/>
        <v>0</v>
      </c>
      <c r="N32">
        <v>1</v>
      </c>
      <c r="O32">
        <f t="shared" si="21"/>
        <v>4.1304347826086953</v>
      </c>
      <c r="P32">
        <f t="shared" si="1"/>
        <v>9.0879187569676692</v>
      </c>
      <c r="Q32" s="31">
        <f t="shared" si="2"/>
        <v>0.11003619494653868</v>
      </c>
      <c r="R32">
        <f t="shared" si="11"/>
        <v>222.00000000000006</v>
      </c>
      <c r="S32">
        <f t="shared" si="3"/>
        <v>10822.40752679487</v>
      </c>
      <c r="T32">
        <f t="shared" si="4"/>
        <v>2235.6304442471392</v>
      </c>
      <c r="U32">
        <f t="shared" si="5"/>
        <v>0</v>
      </c>
      <c r="V32">
        <f t="shared" si="6"/>
        <v>0</v>
      </c>
      <c r="W32">
        <f t="shared" si="7"/>
        <v>744.01781184544802</v>
      </c>
      <c r="X32">
        <f t="shared" si="8"/>
        <v>14405.23616684461</v>
      </c>
      <c r="Y32">
        <f t="shared" si="9"/>
        <v>0</v>
      </c>
    </row>
    <row r="33" spans="1:25" x14ac:dyDescent="0.15">
      <c r="A33">
        <v>28</v>
      </c>
      <c r="B33">
        <f t="shared" si="23"/>
        <v>2.8000000000000012</v>
      </c>
      <c r="D33">
        <f t="shared" si="13"/>
        <v>228.00000000000006</v>
      </c>
      <c r="E33">
        <f t="shared" si="10"/>
        <v>2202.9489632107029</v>
      </c>
      <c r="G33">
        <f t="shared" si="14"/>
        <v>0.32</v>
      </c>
      <c r="H33">
        <f t="shared" si="15"/>
        <v>3.2249999999999996</v>
      </c>
      <c r="I33">
        <f t="shared" si="16"/>
        <v>0.76923076923076916</v>
      </c>
      <c r="J33">
        <f t="shared" si="17"/>
        <v>0</v>
      </c>
      <c r="K33">
        <f t="shared" si="18"/>
        <v>0</v>
      </c>
      <c r="L33">
        <f t="shared" si="19"/>
        <v>0</v>
      </c>
      <c r="M33">
        <f t="shared" si="20"/>
        <v>0</v>
      </c>
      <c r="N33">
        <v>1</v>
      </c>
      <c r="O33">
        <f t="shared" si="21"/>
        <v>4.3478260869565215</v>
      </c>
      <c r="P33">
        <f t="shared" si="1"/>
        <v>9.6620568561872897</v>
      </c>
      <c r="Q33" s="31">
        <f t="shared" si="2"/>
        <v>0.10349763149650999</v>
      </c>
      <c r="R33">
        <f t="shared" si="11"/>
        <v>228.00000000000009</v>
      </c>
      <c r="S33">
        <f t="shared" si="3"/>
        <v>12281.215662402457</v>
      </c>
      <c r="T33">
        <f t="shared" si="4"/>
        <v>2929.3299135128104</v>
      </c>
      <c r="U33">
        <f t="shared" si="5"/>
        <v>0</v>
      </c>
      <c r="V33">
        <f t="shared" si="6"/>
        <v>0</v>
      </c>
      <c r="W33">
        <f t="shared" si="7"/>
        <v>1218.6012440213294</v>
      </c>
      <c r="X33">
        <f t="shared" si="8"/>
        <v>16557.082119855015</v>
      </c>
      <c r="Y33">
        <f t="shared" si="9"/>
        <v>0</v>
      </c>
    </row>
    <row r="34" spans="1:25" x14ac:dyDescent="0.15">
      <c r="A34">
        <v>29</v>
      </c>
      <c r="B34">
        <f t="shared" si="23"/>
        <v>2.9000000000000012</v>
      </c>
      <c r="D34">
        <f t="shared" si="13"/>
        <v>234.00000000000009</v>
      </c>
      <c r="E34">
        <f t="shared" si="10"/>
        <v>2395.2696195652184</v>
      </c>
      <c r="G34">
        <f t="shared" si="14"/>
        <v>0.42666666666666669</v>
      </c>
      <c r="H34">
        <f t="shared" si="15"/>
        <v>3.3468749999999998</v>
      </c>
      <c r="I34">
        <f t="shared" si="16"/>
        <v>0.89743589743589736</v>
      </c>
      <c r="J34">
        <f t="shared" si="17"/>
        <v>0</v>
      </c>
      <c r="K34">
        <f t="shared" si="18"/>
        <v>0</v>
      </c>
      <c r="L34">
        <f t="shared" si="19"/>
        <v>0</v>
      </c>
      <c r="M34">
        <f t="shared" si="20"/>
        <v>0</v>
      </c>
      <c r="N34">
        <v>1</v>
      </c>
      <c r="O34">
        <f t="shared" si="21"/>
        <v>4.5652173913043477</v>
      </c>
      <c r="P34">
        <f t="shared" si="1"/>
        <v>10.236194955406912</v>
      </c>
      <c r="Q34" s="31">
        <f t="shared" si="2"/>
        <v>9.769255122205199E-2</v>
      </c>
      <c r="R34">
        <f t="shared" si="11"/>
        <v>234.00000000000009</v>
      </c>
      <c r="S34">
        <f t="shared" si="3"/>
        <v>13858.0173817259</v>
      </c>
      <c r="T34">
        <f t="shared" si="4"/>
        <v>3715.9088001946434</v>
      </c>
      <c r="U34">
        <f t="shared" si="5"/>
        <v>0</v>
      </c>
      <c r="V34">
        <f t="shared" si="6"/>
        <v>0</v>
      </c>
      <c r="W34">
        <f t="shared" si="7"/>
        <v>1766.6492124353965</v>
      </c>
      <c r="X34">
        <f t="shared" si="8"/>
        <v>18902.666505337969</v>
      </c>
      <c r="Y34">
        <f t="shared" si="9"/>
        <v>0</v>
      </c>
    </row>
    <row r="35" spans="1:25" s="32" customFormat="1" x14ac:dyDescent="0.15">
      <c r="A35">
        <v>30</v>
      </c>
      <c r="B35">
        <f>B34+$C$35</f>
        <v>3.0500000000000012</v>
      </c>
      <c r="C35">
        <f>C25+$C$5</f>
        <v>0.15000000000000002</v>
      </c>
      <c r="D35">
        <f t="shared" si="13"/>
        <v>243.00000000000006</v>
      </c>
      <c r="E35">
        <f t="shared" si="10"/>
        <v>2626.9109322742484</v>
      </c>
      <c r="F35"/>
      <c r="G35">
        <f t="shared" si="14"/>
        <v>0.53333333333333333</v>
      </c>
      <c r="H35">
        <f t="shared" si="15"/>
        <v>3.4687499999999996</v>
      </c>
      <c r="I35">
        <f t="shared" si="16"/>
        <v>1.0256410256410255</v>
      </c>
      <c r="J35">
        <f t="shared" si="17"/>
        <v>0</v>
      </c>
      <c r="K35">
        <f t="shared" si="18"/>
        <v>0</v>
      </c>
      <c r="L35">
        <f t="shared" si="19"/>
        <v>0</v>
      </c>
      <c r="M35">
        <f t="shared" si="20"/>
        <v>0</v>
      </c>
      <c r="N35">
        <v>1</v>
      </c>
      <c r="O35">
        <f t="shared" si="21"/>
        <v>4.7826086956521738</v>
      </c>
      <c r="P35">
        <f t="shared" si="1"/>
        <v>10.810333054626533</v>
      </c>
      <c r="Q35" s="31">
        <f t="shared" si="2"/>
        <v>9.2504087982009653E-2</v>
      </c>
      <c r="R35">
        <f t="shared" si="11"/>
        <v>243.00000000000006</v>
      </c>
      <c r="S35">
        <f t="shared" si="3"/>
        <v>15751.631798988374</v>
      </c>
      <c r="T35">
        <f t="shared" si="4"/>
        <v>4657.4471477720299</v>
      </c>
      <c r="U35">
        <f t="shared" si="5"/>
        <v>0</v>
      </c>
      <c r="V35">
        <f t="shared" si="6"/>
        <v>0</v>
      </c>
      <c r="W35">
        <f t="shared" si="7"/>
        <v>2421.8725168414562</v>
      </c>
      <c r="X35">
        <f t="shared" si="8"/>
        <v>21717.878547763055</v>
      </c>
      <c r="Y35">
        <f t="shared" si="9"/>
        <v>0</v>
      </c>
    </row>
    <row r="36" spans="1:25" x14ac:dyDescent="0.15">
      <c r="A36">
        <v>31</v>
      </c>
      <c r="B36">
        <f t="shared" ref="B36:B44" si="24">B35+$C$35</f>
        <v>3.2000000000000011</v>
      </c>
      <c r="D36">
        <f t="shared" si="13"/>
        <v>252.00000000000006</v>
      </c>
      <c r="E36">
        <f t="shared" si="10"/>
        <v>2868.8867307692312</v>
      </c>
      <c r="G36">
        <f t="shared" si="14"/>
        <v>0.64</v>
      </c>
      <c r="H36">
        <f t="shared" si="15"/>
        <v>3.5906249999999997</v>
      </c>
      <c r="I36">
        <f t="shared" si="16"/>
        <v>1.1538461538461537</v>
      </c>
      <c r="J36">
        <f t="shared" si="17"/>
        <v>0</v>
      </c>
      <c r="K36">
        <f t="shared" si="18"/>
        <v>0</v>
      </c>
      <c r="L36">
        <f t="shared" si="19"/>
        <v>0</v>
      </c>
      <c r="M36">
        <f t="shared" si="20"/>
        <v>0</v>
      </c>
      <c r="N36">
        <v>1</v>
      </c>
      <c r="O36">
        <f t="shared" si="21"/>
        <v>5</v>
      </c>
      <c r="P36">
        <f t="shared" si="1"/>
        <v>11.384471153846153</v>
      </c>
      <c r="Q36" s="31">
        <f t="shared" si="2"/>
        <v>8.7838950662381704E-2</v>
      </c>
      <c r="R36">
        <f t="shared" si="11"/>
        <v>252.00000000000006</v>
      </c>
      <c r="S36">
        <f t="shared" si="3"/>
        <v>17806.995757431865</v>
      </c>
      <c r="T36">
        <f t="shared" si="4"/>
        <v>5722.2721855575383</v>
      </c>
      <c r="U36">
        <f t="shared" si="5"/>
        <v>0</v>
      </c>
      <c r="V36">
        <f t="shared" si="6"/>
        <v>0</v>
      </c>
      <c r="W36">
        <f t="shared" si="7"/>
        <v>3173.9536389225818</v>
      </c>
      <c r="X36">
        <f t="shared" si="8"/>
        <v>24796.512804082671</v>
      </c>
      <c r="Y36">
        <f t="shared" si="9"/>
        <v>0</v>
      </c>
    </row>
    <row r="37" spans="1:25" x14ac:dyDescent="0.15">
      <c r="A37">
        <v>32</v>
      </c>
      <c r="B37">
        <f t="shared" si="24"/>
        <v>3.350000000000001</v>
      </c>
      <c r="D37">
        <f t="shared" si="13"/>
        <v>261.00000000000011</v>
      </c>
      <c r="E37">
        <f t="shared" si="10"/>
        <v>3122.3317976588637</v>
      </c>
      <c r="G37">
        <f t="shared" si="14"/>
        <v>0.7466666666666667</v>
      </c>
      <c r="H37">
        <f t="shared" si="15"/>
        <v>3.7124999999999999</v>
      </c>
      <c r="I37">
        <f t="shared" si="16"/>
        <v>1.2820512820512819</v>
      </c>
      <c r="J37">
        <f t="shared" si="17"/>
        <v>4.3478260869565218E-3</v>
      </c>
      <c r="K37">
        <f t="shared" si="18"/>
        <v>0</v>
      </c>
      <c r="L37">
        <f t="shared" si="19"/>
        <v>0</v>
      </c>
      <c r="M37">
        <f t="shared" si="20"/>
        <v>0</v>
      </c>
      <c r="N37">
        <v>1</v>
      </c>
      <c r="O37">
        <f t="shared" si="21"/>
        <v>5.2173913043478262</v>
      </c>
      <c r="P37">
        <f t="shared" ref="P37:P68" si="25">SUM(G37:O37)</f>
        <v>11.96295707915273</v>
      </c>
      <c r="Q37" s="31">
        <f t="shared" ref="Q37:Q68" si="26">N37/P37</f>
        <v>8.3591372382556817E-2</v>
      </c>
      <c r="R37">
        <f t="shared" si="11"/>
        <v>261.00000000000011</v>
      </c>
      <c r="S37">
        <f t="shared" ref="S37:S68" si="27">H37/$P$5*$E37</f>
        <v>20037.923641211077</v>
      </c>
      <c r="T37">
        <f t="shared" ref="T37:T68" si="28">I37/$P$5*$E37</f>
        <v>6919.7698838681081</v>
      </c>
      <c r="U37">
        <f t="shared" ref="U37:U68" si="29">M37/$P$5*$E37</f>
        <v>0</v>
      </c>
      <c r="V37">
        <f t="shared" ref="V37:V68" si="30">K37/$P$5*$E37</f>
        <v>0</v>
      </c>
      <c r="W37">
        <f t="shared" ref="W37:W68" si="31">G37/$P$5*$E37</f>
        <v>4030.0739803647866</v>
      </c>
      <c r="X37">
        <f t="shared" ref="X37:X68" si="32">O37/$P$5*$E37</f>
        <v>28160.454831741521</v>
      </c>
      <c r="Y37">
        <f t="shared" ref="Y37:Y68" si="33">J37/$P$5*$E37</f>
        <v>23.467045693117935</v>
      </c>
    </row>
    <row r="38" spans="1:25" x14ac:dyDescent="0.15">
      <c r="A38">
        <v>33</v>
      </c>
      <c r="B38">
        <f t="shared" si="24"/>
        <v>3.5000000000000009</v>
      </c>
      <c r="D38">
        <f t="shared" si="13"/>
        <v>270.00000000000006</v>
      </c>
      <c r="E38">
        <f t="shared" ref="E38:E69" si="34">D38/Q38</f>
        <v>3386.1896112040149</v>
      </c>
      <c r="G38">
        <f t="shared" si="14"/>
        <v>0.85333333333333339</v>
      </c>
      <c r="H38">
        <f t="shared" si="15"/>
        <v>3.8343749999999996</v>
      </c>
      <c r="I38">
        <f t="shared" si="16"/>
        <v>1.4102564102564101</v>
      </c>
      <c r="J38">
        <f t="shared" si="17"/>
        <v>8.6956521739130436E-3</v>
      </c>
      <c r="K38">
        <f t="shared" si="18"/>
        <v>0</v>
      </c>
      <c r="L38">
        <f t="shared" si="19"/>
        <v>0</v>
      </c>
      <c r="M38">
        <f t="shared" si="20"/>
        <v>0</v>
      </c>
      <c r="N38">
        <v>1</v>
      </c>
      <c r="O38">
        <f t="shared" si="21"/>
        <v>5.4347826086956523</v>
      </c>
      <c r="P38">
        <f t="shared" si="25"/>
        <v>12.54144300445931</v>
      </c>
      <c r="Q38" s="31">
        <f t="shared" si="26"/>
        <v>7.9735641237171348E-2</v>
      </c>
      <c r="R38">
        <f t="shared" ref="R38:R69" si="35">N38/P38*E38</f>
        <v>270.00000000000006</v>
      </c>
      <c r="S38">
        <f t="shared" si="27"/>
        <v>22444.661524961681</v>
      </c>
      <c r="T38">
        <f t="shared" si="28"/>
        <v>8254.9901331019064</v>
      </c>
      <c r="U38">
        <f t="shared" si="29"/>
        <v>0</v>
      </c>
      <c r="V38">
        <f t="shared" si="30"/>
        <v>0</v>
      </c>
      <c r="W38">
        <f t="shared" si="31"/>
        <v>4995.0194841751181</v>
      </c>
      <c r="X38">
        <f t="shared" si="32"/>
        <v>31812.709010965853</v>
      </c>
      <c r="Y38">
        <f t="shared" si="33"/>
        <v>50.900334417545359</v>
      </c>
    </row>
    <row r="39" spans="1:25" x14ac:dyDescent="0.15">
      <c r="A39">
        <v>34</v>
      </c>
      <c r="B39">
        <f t="shared" si="24"/>
        <v>3.6500000000000008</v>
      </c>
      <c r="D39">
        <f t="shared" si="13"/>
        <v>279</v>
      </c>
      <c r="E39">
        <f t="shared" si="34"/>
        <v>3660.4601714046826</v>
      </c>
      <c r="G39">
        <f t="shared" si="14"/>
        <v>0.96000000000000008</v>
      </c>
      <c r="H39">
        <f t="shared" si="15"/>
        <v>3.9562499999999998</v>
      </c>
      <c r="I39">
        <f t="shared" si="16"/>
        <v>1.5384615384615383</v>
      </c>
      <c r="J39">
        <f t="shared" si="17"/>
        <v>1.3043478260869566E-2</v>
      </c>
      <c r="K39">
        <f t="shared" si="18"/>
        <v>0</v>
      </c>
      <c r="L39">
        <f t="shared" si="19"/>
        <v>0</v>
      </c>
      <c r="M39">
        <f t="shared" si="20"/>
        <v>0</v>
      </c>
      <c r="N39">
        <v>1</v>
      </c>
      <c r="O39">
        <f t="shared" si="21"/>
        <v>5.6521739130434785</v>
      </c>
      <c r="P39">
        <f t="shared" si="25"/>
        <v>13.119928929765887</v>
      </c>
      <c r="Q39" s="31">
        <f t="shared" si="26"/>
        <v>7.6219925073774314E-2</v>
      </c>
      <c r="R39">
        <f t="shared" si="35"/>
        <v>279</v>
      </c>
      <c r="S39">
        <f t="shared" si="27"/>
        <v>25033.790658683665</v>
      </c>
      <c r="T39">
        <f t="shared" si="28"/>
        <v>9734.8560101820058</v>
      </c>
      <c r="U39">
        <f t="shared" si="29"/>
        <v>0</v>
      </c>
      <c r="V39">
        <f t="shared" si="30"/>
        <v>0</v>
      </c>
      <c r="W39">
        <f t="shared" si="31"/>
        <v>6074.5501503535734</v>
      </c>
      <c r="X39">
        <f t="shared" si="32"/>
        <v>35765.014472190422</v>
      </c>
      <c r="Y39">
        <f t="shared" si="33"/>
        <v>82.534648781977893</v>
      </c>
    </row>
    <row r="40" spans="1:25" x14ac:dyDescent="0.15">
      <c r="A40">
        <v>35</v>
      </c>
      <c r="B40">
        <f t="shared" si="24"/>
        <v>3.8000000000000007</v>
      </c>
      <c r="D40">
        <f t="shared" si="13"/>
        <v>288.00000000000006</v>
      </c>
      <c r="E40">
        <f t="shared" si="34"/>
        <v>3945.1434782608699</v>
      </c>
      <c r="G40">
        <f t="shared" si="14"/>
        <v>1.0666666666666667</v>
      </c>
      <c r="H40">
        <f t="shared" si="15"/>
        <v>4.078125</v>
      </c>
      <c r="I40">
        <f t="shared" si="16"/>
        <v>1.6666666666666665</v>
      </c>
      <c r="J40">
        <f t="shared" si="17"/>
        <v>1.7391304347826087E-2</v>
      </c>
      <c r="K40">
        <f t="shared" si="18"/>
        <v>0</v>
      </c>
      <c r="L40">
        <f t="shared" si="19"/>
        <v>0</v>
      </c>
      <c r="M40">
        <f t="shared" si="20"/>
        <v>0</v>
      </c>
      <c r="N40">
        <v>1</v>
      </c>
      <c r="O40">
        <f t="shared" si="21"/>
        <v>5.8695652173913038</v>
      </c>
      <c r="P40">
        <f t="shared" si="25"/>
        <v>13.698414855072462</v>
      </c>
      <c r="Q40" s="31">
        <f t="shared" si="26"/>
        <v>7.3001147255348633E-2</v>
      </c>
      <c r="R40">
        <f t="shared" si="35"/>
        <v>288.00000000000006</v>
      </c>
      <c r="S40">
        <f t="shared" si="27"/>
        <v>27811.892292377059</v>
      </c>
      <c r="T40">
        <f t="shared" si="28"/>
        <v>11366.290592031492</v>
      </c>
      <c r="U40">
        <f t="shared" si="29"/>
        <v>0</v>
      </c>
      <c r="V40">
        <f t="shared" si="30"/>
        <v>0</v>
      </c>
      <c r="W40">
        <f t="shared" si="31"/>
        <v>7274.4259789001553</v>
      </c>
      <c r="X40">
        <f t="shared" si="32"/>
        <v>40029.110345850029</v>
      </c>
      <c r="Y40">
        <f t="shared" si="33"/>
        <v>118.60477139511123</v>
      </c>
    </row>
    <row r="41" spans="1:25" x14ac:dyDescent="0.15">
      <c r="A41">
        <v>36</v>
      </c>
      <c r="B41">
        <f t="shared" si="24"/>
        <v>3.9500000000000006</v>
      </c>
      <c r="D41">
        <f t="shared" si="13"/>
        <v>297.00000000000006</v>
      </c>
      <c r="E41">
        <f t="shared" si="34"/>
        <v>4240.2395317725759</v>
      </c>
      <c r="G41">
        <f t="shared" si="14"/>
        <v>1.1733333333333333</v>
      </c>
      <c r="H41">
        <f t="shared" si="15"/>
        <v>4.2</v>
      </c>
      <c r="I41">
        <f t="shared" si="16"/>
        <v>1.7948717948717947</v>
      </c>
      <c r="J41">
        <f t="shared" si="17"/>
        <v>2.1739130434782608E-2</v>
      </c>
      <c r="K41">
        <f t="shared" si="18"/>
        <v>0</v>
      </c>
      <c r="L41">
        <f t="shared" si="19"/>
        <v>0</v>
      </c>
      <c r="M41">
        <f t="shared" si="20"/>
        <v>0</v>
      </c>
      <c r="N41">
        <v>1</v>
      </c>
      <c r="O41">
        <f t="shared" si="21"/>
        <v>6.0869565217391299</v>
      </c>
      <c r="P41">
        <f t="shared" si="25"/>
        <v>14.276900780379041</v>
      </c>
      <c r="Q41" s="31">
        <f t="shared" si="26"/>
        <v>7.0043212836102001E-2</v>
      </c>
      <c r="R41">
        <f t="shared" si="35"/>
        <v>297</v>
      </c>
      <c r="S41">
        <f t="shared" si="27"/>
        <v>30785.547676041846</v>
      </c>
      <c r="T41">
        <f t="shared" si="28"/>
        <v>13156.216955573436</v>
      </c>
      <c r="U41">
        <f t="shared" si="29"/>
        <v>0</v>
      </c>
      <c r="V41">
        <f t="shared" si="30"/>
        <v>0</v>
      </c>
      <c r="W41">
        <f t="shared" si="31"/>
        <v>8600.4069698148633</v>
      </c>
      <c r="X41">
        <f t="shared" si="32"/>
        <v>44616.735762379481</v>
      </c>
      <c r="Y41">
        <f t="shared" si="33"/>
        <v>159.345484865641</v>
      </c>
    </row>
    <row r="42" spans="1:25" x14ac:dyDescent="0.15">
      <c r="A42">
        <v>37</v>
      </c>
      <c r="B42">
        <f t="shared" si="24"/>
        <v>4.1000000000000005</v>
      </c>
      <c r="D42">
        <f t="shared" si="13"/>
        <v>306.00000000000006</v>
      </c>
      <c r="E42">
        <f t="shared" si="34"/>
        <v>4545.7483319397998</v>
      </c>
      <c r="G42">
        <f t="shared" si="14"/>
        <v>1.28</v>
      </c>
      <c r="H42">
        <f t="shared" si="15"/>
        <v>4.3218749999999995</v>
      </c>
      <c r="I42">
        <f t="shared" si="16"/>
        <v>1.9230769230769229</v>
      </c>
      <c r="J42">
        <f t="shared" si="17"/>
        <v>2.6086956521739132E-2</v>
      </c>
      <c r="K42">
        <f t="shared" si="18"/>
        <v>0</v>
      </c>
      <c r="L42">
        <f t="shared" si="19"/>
        <v>0</v>
      </c>
      <c r="M42">
        <f t="shared" si="20"/>
        <v>0</v>
      </c>
      <c r="N42">
        <v>1</v>
      </c>
      <c r="O42">
        <f t="shared" si="21"/>
        <v>6.3043478260869561</v>
      </c>
      <c r="P42">
        <f t="shared" si="25"/>
        <v>14.855386705685618</v>
      </c>
      <c r="Q42" s="31">
        <f t="shared" si="26"/>
        <v>6.7315649185845094E-2</v>
      </c>
      <c r="R42">
        <f t="shared" si="35"/>
        <v>306.00000000000006</v>
      </c>
      <c r="S42">
        <f t="shared" si="27"/>
        <v>33961.338059678012</v>
      </c>
      <c r="T42">
        <f t="shared" si="28"/>
        <v>15111.558177730914</v>
      </c>
      <c r="U42">
        <f t="shared" si="29"/>
        <v>0</v>
      </c>
      <c r="V42">
        <f t="shared" si="30"/>
        <v>0</v>
      </c>
      <c r="W42">
        <f t="shared" si="31"/>
        <v>10058.253123097698</v>
      </c>
      <c r="X42">
        <f t="shared" si="32"/>
        <v>49539.629852213526</v>
      </c>
      <c r="Y42">
        <f t="shared" si="33"/>
        <v>204.99157180226288</v>
      </c>
    </row>
    <row r="43" spans="1:25" x14ac:dyDescent="0.15">
      <c r="A43">
        <v>38</v>
      </c>
      <c r="B43">
        <f t="shared" si="24"/>
        <v>4.2500000000000009</v>
      </c>
      <c r="D43">
        <f t="shared" si="13"/>
        <v>315.00000000000006</v>
      </c>
      <c r="E43">
        <f t="shared" si="34"/>
        <v>4861.6698787625419</v>
      </c>
      <c r="G43">
        <f t="shared" si="14"/>
        <v>1.3866666666666667</v>
      </c>
      <c r="H43">
        <f t="shared" si="15"/>
        <v>4.4437499999999996</v>
      </c>
      <c r="I43">
        <f t="shared" si="16"/>
        <v>2.0512820512820511</v>
      </c>
      <c r="J43">
        <f t="shared" si="17"/>
        <v>3.0434782608695653E-2</v>
      </c>
      <c r="K43">
        <f t="shared" si="18"/>
        <v>0</v>
      </c>
      <c r="L43">
        <f t="shared" si="19"/>
        <v>0</v>
      </c>
      <c r="M43">
        <f t="shared" si="20"/>
        <v>0</v>
      </c>
      <c r="N43">
        <v>1</v>
      </c>
      <c r="O43">
        <f t="shared" si="21"/>
        <v>6.5217391304347823</v>
      </c>
      <c r="P43">
        <f t="shared" si="25"/>
        <v>15.433872630992195</v>
      </c>
      <c r="Q43" s="31">
        <f t="shared" si="26"/>
        <v>6.4792552323642782E-2</v>
      </c>
      <c r="R43">
        <f t="shared" si="35"/>
        <v>315.00000000000006</v>
      </c>
      <c r="S43">
        <f t="shared" si="27"/>
        <v>37345.844693285588</v>
      </c>
      <c r="T43">
        <f t="shared" si="28"/>
        <v>17239.237335427006</v>
      </c>
      <c r="U43">
        <f t="shared" si="29"/>
        <v>0</v>
      </c>
      <c r="V43">
        <f t="shared" si="30"/>
        <v>0</v>
      </c>
      <c r="W43">
        <f t="shared" si="31"/>
        <v>11653.724438748659</v>
      </c>
      <c r="X43">
        <f t="shared" si="32"/>
        <v>54809.531745786953</v>
      </c>
      <c r="Y43">
        <f t="shared" si="33"/>
        <v>255.77781481367248</v>
      </c>
    </row>
    <row r="44" spans="1:25" x14ac:dyDescent="0.15">
      <c r="A44">
        <v>39</v>
      </c>
      <c r="B44">
        <f t="shared" si="24"/>
        <v>4.4000000000000012</v>
      </c>
      <c r="D44">
        <f t="shared" si="13"/>
        <v>324.00000000000006</v>
      </c>
      <c r="E44">
        <f t="shared" si="34"/>
        <v>5188.0041722408032</v>
      </c>
      <c r="G44">
        <f t="shared" si="14"/>
        <v>1.4933333333333334</v>
      </c>
      <c r="H44">
        <f t="shared" si="15"/>
        <v>4.5656249999999998</v>
      </c>
      <c r="I44">
        <f t="shared" si="16"/>
        <v>2.1794871794871793</v>
      </c>
      <c r="J44">
        <f t="shared" si="17"/>
        <v>3.4782608695652174E-2</v>
      </c>
      <c r="K44">
        <f t="shared" si="18"/>
        <v>0</v>
      </c>
      <c r="L44">
        <f t="shared" si="19"/>
        <v>0</v>
      </c>
      <c r="M44">
        <f t="shared" si="20"/>
        <v>0</v>
      </c>
      <c r="N44">
        <v>1</v>
      </c>
      <c r="O44">
        <f t="shared" si="21"/>
        <v>6.7391304347826084</v>
      </c>
      <c r="P44">
        <f t="shared" si="25"/>
        <v>16.012358556298771</v>
      </c>
      <c r="Q44" s="31">
        <f t="shared" si="26"/>
        <v>6.2451761649231281E-2</v>
      </c>
      <c r="R44">
        <f t="shared" si="35"/>
        <v>324.00000000000006</v>
      </c>
      <c r="S44">
        <f t="shared" si="27"/>
        <v>40945.648826864555</v>
      </c>
      <c r="T44">
        <f t="shared" si="28"/>
        <v>19546.177505584794</v>
      </c>
      <c r="U44">
        <f t="shared" si="29"/>
        <v>0</v>
      </c>
      <c r="V44">
        <f t="shared" si="30"/>
        <v>0</v>
      </c>
      <c r="W44">
        <f t="shared" si="31"/>
        <v>13392.580916767745</v>
      </c>
      <c r="X44">
        <f t="shared" si="32"/>
        <v>60438.180573534562</v>
      </c>
      <c r="Y44">
        <f t="shared" si="33"/>
        <v>311.93899650856548</v>
      </c>
    </row>
    <row r="45" spans="1:25" x14ac:dyDescent="0.15">
      <c r="A45">
        <v>40</v>
      </c>
      <c r="B45">
        <f>B44+$C$45</f>
        <v>4.6000000000000014</v>
      </c>
      <c r="C45">
        <f>C35+$C$5</f>
        <v>0.2</v>
      </c>
      <c r="D45">
        <f t="shared" si="13"/>
        <v>336.00000000000011</v>
      </c>
      <c r="E45">
        <f t="shared" si="34"/>
        <v>5574.5237458194006</v>
      </c>
      <c r="G45">
        <f t="shared" si="14"/>
        <v>1.6</v>
      </c>
      <c r="H45">
        <f t="shared" si="15"/>
        <v>4.6875</v>
      </c>
      <c r="I45">
        <f t="shared" si="16"/>
        <v>2.3076923076923075</v>
      </c>
      <c r="J45">
        <f t="shared" si="17"/>
        <v>3.9130434782608699E-2</v>
      </c>
      <c r="K45">
        <f t="shared" si="18"/>
        <v>0</v>
      </c>
      <c r="L45">
        <f t="shared" si="19"/>
        <v>0</v>
      </c>
      <c r="M45">
        <f t="shared" si="20"/>
        <v>0</v>
      </c>
      <c r="N45">
        <v>1</v>
      </c>
      <c r="O45">
        <f t="shared" si="21"/>
        <v>6.9565217391304346</v>
      </c>
      <c r="P45">
        <f t="shared" si="25"/>
        <v>16.590844481605352</v>
      </c>
      <c r="Q45" s="31">
        <f t="shared" si="26"/>
        <v>6.027420732613839E-2</v>
      </c>
      <c r="R45">
        <f t="shared" si="35"/>
        <v>336.00000000000011</v>
      </c>
      <c r="S45">
        <f t="shared" si="27"/>
        <v>45170.641005103353</v>
      </c>
      <c r="T45">
        <f t="shared" si="28"/>
        <v>22237.854033281648</v>
      </c>
      <c r="U45">
        <f t="shared" si="29"/>
        <v>0</v>
      </c>
      <c r="V45">
        <f t="shared" si="30"/>
        <v>0</v>
      </c>
      <c r="W45">
        <f t="shared" si="31"/>
        <v>15418.24546307528</v>
      </c>
      <c r="X45">
        <f t="shared" si="32"/>
        <v>67035.849839457733</v>
      </c>
      <c r="Y45">
        <f t="shared" si="33"/>
        <v>377.07665534694974</v>
      </c>
    </row>
    <row r="46" spans="1:25" x14ac:dyDescent="0.15">
      <c r="A46">
        <v>41</v>
      </c>
      <c r="B46">
        <f t="shared" ref="B46:B54" si="36">B45+$C$45</f>
        <v>4.8000000000000016</v>
      </c>
      <c r="D46">
        <f t="shared" si="13"/>
        <v>348.00000000000011</v>
      </c>
      <c r="E46">
        <f t="shared" si="34"/>
        <v>5974.9269816053529</v>
      </c>
      <c r="G46">
        <f t="shared" si="14"/>
        <v>1.7066666666666668</v>
      </c>
      <c r="H46">
        <f t="shared" si="15"/>
        <v>4.8093749999999993</v>
      </c>
      <c r="I46">
        <f t="shared" si="16"/>
        <v>2.4358974358974357</v>
      </c>
      <c r="J46">
        <f t="shared" si="17"/>
        <v>4.3478260869565216E-2</v>
      </c>
      <c r="K46">
        <f t="shared" si="18"/>
        <v>0</v>
      </c>
      <c r="L46">
        <f t="shared" si="19"/>
        <v>0</v>
      </c>
      <c r="M46">
        <f t="shared" si="20"/>
        <v>0</v>
      </c>
      <c r="N46">
        <v>1</v>
      </c>
      <c r="O46">
        <f t="shared" si="21"/>
        <v>7.1739130434782608</v>
      </c>
      <c r="P46">
        <f t="shared" si="25"/>
        <v>17.169330406911929</v>
      </c>
      <c r="Q46" s="31">
        <f t="shared" si="26"/>
        <v>5.8243389596453095E-2</v>
      </c>
      <c r="R46">
        <f t="shared" si="35"/>
        <v>348.00000000000011</v>
      </c>
      <c r="S46">
        <f t="shared" si="27"/>
        <v>49673.921516637318</v>
      </c>
      <c r="T46">
        <f t="shared" si="28"/>
        <v>25159.314475029976</v>
      </c>
      <c r="U46">
        <f t="shared" si="29"/>
        <v>0</v>
      </c>
      <c r="V46">
        <f t="shared" si="30"/>
        <v>0</v>
      </c>
      <c r="W46">
        <f t="shared" si="31"/>
        <v>17627.410225873638</v>
      </c>
      <c r="X46">
        <f t="shared" si="32"/>
        <v>74096.196177033373</v>
      </c>
      <c r="Y46">
        <f t="shared" si="33"/>
        <v>449.0678556183841</v>
      </c>
    </row>
    <row r="47" spans="1:25" x14ac:dyDescent="0.15">
      <c r="A47">
        <v>42</v>
      </c>
      <c r="B47">
        <f t="shared" si="36"/>
        <v>5.0000000000000018</v>
      </c>
      <c r="D47">
        <f t="shared" si="13"/>
        <v>360.00000000000011</v>
      </c>
      <c r="E47">
        <f t="shared" si="34"/>
        <v>6389.2138795986639</v>
      </c>
      <c r="G47">
        <f t="shared" si="14"/>
        <v>1.8133333333333335</v>
      </c>
      <c r="H47">
        <f t="shared" si="15"/>
        <v>4.9312499999999995</v>
      </c>
      <c r="I47">
        <f t="shared" si="16"/>
        <v>2.5641025641025639</v>
      </c>
      <c r="J47">
        <f t="shared" si="17"/>
        <v>4.7826086956521741E-2</v>
      </c>
      <c r="K47">
        <f t="shared" si="18"/>
        <v>0</v>
      </c>
      <c r="L47">
        <f t="shared" si="19"/>
        <v>0</v>
      </c>
      <c r="M47">
        <f t="shared" si="20"/>
        <v>0</v>
      </c>
      <c r="N47">
        <v>1</v>
      </c>
      <c r="O47">
        <f t="shared" si="21"/>
        <v>7.3913043478260869</v>
      </c>
      <c r="P47">
        <f t="shared" si="25"/>
        <v>17.747816332218505</v>
      </c>
      <c r="Q47" s="31">
        <f t="shared" si="26"/>
        <v>5.6344959925275405E-2</v>
      </c>
      <c r="R47">
        <f t="shared" si="35"/>
        <v>360.00000000000011</v>
      </c>
      <c r="S47">
        <f t="shared" si="27"/>
        <v>54464.265361466474</v>
      </c>
      <c r="T47">
        <f t="shared" si="28"/>
        <v>28319.789600060565</v>
      </c>
      <c r="U47">
        <f t="shared" si="29"/>
        <v>0</v>
      </c>
      <c r="V47">
        <f t="shared" si="30"/>
        <v>0</v>
      </c>
      <c r="W47">
        <f t="shared" si="31"/>
        <v>20027.755205162834</v>
      </c>
      <c r="X47">
        <f t="shared" si="32"/>
        <v>81634.871760174603</v>
      </c>
      <c r="Y47">
        <f t="shared" si="33"/>
        <v>528.22564080112977</v>
      </c>
    </row>
    <row r="48" spans="1:25" x14ac:dyDescent="0.15">
      <c r="A48">
        <v>43</v>
      </c>
      <c r="B48">
        <f t="shared" si="36"/>
        <v>5.200000000000002</v>
      </c>
      <c r="D48">
        <f t="shared" si="13"/>
        <v>372.00000000000011</v>
      </c>
      <c r="E48">
        <f t="shared" si="34"/>
        <v>6817.3844397993325</v>
      </c>
      <c r="G48">
        <f t="shared" si="14"/>
        <v>1.9200000000000002</v>
      </c>
      <c r="H48">
        <f t="shared" si="15"/>
        <v>5.0531249999999996</v>
      </c>
      <c r="I48">
        <f t="shared" si="16"/>
        <v>2.6923076923076921</v>
      </c>
      <c r="J48">
        <f t="shared" si="17"/>
        <v>5.2173913043478265E-2</v>
      </c>
      <c r="K48">
        <f t="shared" si="18"/>
        <v>0</v>
      </c>
      <c r="L48">
        <f t="shared" si="19"/>
        <v>0</v>
      </c>
      <c r="M48">
        <f t="shared" si="20"/>
        <v>0</v>
      </c>
      <c r="N48">
        <v>1</v>
      </c>
      <c r="O48">
        <f t="shared" si="21"/>
        <v>7.6086956521739131</v>
      </c>
      <c r="P48">
        <f t="shared" si="25"/>
        <v>18.326302257525082</v>
      </c>
      <c r="Q48" s="31">
        <f t="shared" si="26"/>
        <v>5.4566381474439749E-2</v>
      </c>
      <c r="R48">
        <f t="shared" si="35"/>
        <v>372.00000000000011</v>
      </c>
      <c r="S48">
        <f t="shared" si="27"/>
        <v>59550.447539590838</v>
      </c>
      <c r="T48">
        <f t="shared" si="28"/>
        <v>31728.510177604174</v>
      </c>
      <c r="U48">
        <f t="shared" si="29"/>
        <v>0</v>
      </c>
      <c r="V48">
        <f t="shared" si="30"/>
        <v>0</v>
      </c>
      <c r="W48">
        <f t="shared" si="31"/>
        <v>22626.960400942866</v>
      </c>
      <c r="X48">
        <f t="shared" si="32"/>
        <v>89667.52876279442</v>
      </c>
      <c r="Y48">
        <f t="shared" si="33"/>
        <v>614.86305437344743</v>
      </c>
    </row>
    <row r="49" spans="1:25" x14ac:dyDescent="0.15">
      <c r="A49">
        <v>44</v>
      </c>
      <c r="B49">
        <f t="shared" si="36"/>
        <v>5.4000000000000021</v>
      </c>
      <c r="D49">
        <f t="shared" si="13"/>
        <v>384.00000000000011</v>
      </c>
      <c r="E49">
        <f t="shared" si="34"/>
        <v>7259.4386622073589</v>
      </c>
      <c r="G49">
        <f t="shared" si="14"/>
        <v>2.0266666666666668</v>
      </c>
      <c r="H49">
        <f t="shared" si="15"/>
        <v>5.1749999999999998</v>
      </c>
      <c r="I49">
        <f t="shared" si="16"/>
        <v>2.8205128205128203</v>
      </c>
      <c r="J49">
        <f t="shared" si="17"/>
        <v>5.6521739130434782E-2</v>
      </c>
      <c r="K49">
        <f t="shared" si="18"/>
        <v>0</v>
      </c>
      <c r="L49">
        <f t="shared" si="19"/>
        <v>0</v>
      </c>
      <c r="M49">
        <f t="shared" si="20"/>
        <v>0</v>
      </c>
      <c r="N49">
        <v>1</v>
      </c>
      <c r="O49">
        <f t="shared" si="21"/>
        <v>7.8260869565217392</v>
      </c>
      <c r="P49">
        <f t="shared" si="25"/>
        <v>18.904788182831659</v>
      </c>
      <c r="Q49" s="31">
        <f t="shared" si="26"/>
        <v>5.2896651913198783E-2</v>
      </c>
      <c r="R49">
        <f t="shared" si="35"/>
        <v>384.00000000000011</v>
      </c>
      <c r="S49">
        <f t="shared" si="27"/>
        <v>64941.243051010388</v>
      </c>
      <c r="T49">
        <f t="shared" si="28"/>
        <v>35394.706976891575</v>
      </c>
      <c r="U49">
        <f t="shared" si="29"/>
        <v>0</v>
      </c>
      <c r="V49">
        <f t="shared" si="30"/>
        <v>0</v>
      </c>
      <c r="W49">
        <f t="shared" si="31"/>
        <v>25432.705813213732</v>
      </c>
      <c r="X49">
        <f t="shared" si="32"/>
        <v>98209.819358805878</v>
      </c>
      <c r="Y49">
        <f t="shared" si="33"/>
        <v>709.29313981359803</v>
      </c>
    </row>
    <row r="50" spans="1:25" x14ac:dyDescent="0.15">
      <c r="A50">
        <v>45</v>
      </c>
      <c r="B50">
        <f t="shared" si="36"/>
        <v>5.6000000000000023</v>
      </c>
      <c r="D50">
        <f t="shared" si="13"/>
        <v>396.00000000000011</v>
      </c>
      <c r="E50">
        <f t="shared" si="34"/>
        <v>7715.3765468227448</v>
      </c>
      <c r="G50">
        <f t="shared" si="14"/>
        <v>2.1333333333333333</v>
      </c>
      <c r="H50">
        <f t="shared" si="15"/>
        <v>5.296875</v>
      </c>
      <c r="I50">
        <f t="shared" si="16"/>
        <v>2.9487179487179485</v>
      </c>
      <c r="J50">
        <f t="shared" si="17"/>
        <v>6.0869565217391307E-2</v>
      </c>
      <c r="K50">
        <f t="shared" si="18"/>
        <v>0</v>
      </c>
      <c r="L50">
        <f t="shared" si="19"/>
        <v>0</v>
      </c>
      <c r="M50">
        <f t="shared" si="20"/>
        <v>0</v>
      </c>
      <c r="N50">
        <v>1</v>
      </c>
      <c r="O50">
        <f t="shared" si="21"/>
        <v>8.0434782608695645</v>
      </c>
      <c r="P50">
        <f t="shared" si="25"/>
        <v>19.483274108138239</v>
      </c>
      <c r="Q50" s="31">
        <f t="shared" si="26"/>
        <v>5.1326075609760893E-2</v>
      </c>
      <c r="R50">
        <f t="shared" si="35"/>
        <v>396.00000000000011</v>
      </c>
      <c r="S50">
        <f t="shared" si="27"/>
        <v>70645.426895725133</v>
      </c>
      <c r="T50">
        <f t="shared" si="28"/>
        <v>39327.610767153543</v>
      </c>
      <c r="U50">
        <f t="shared" si="29"/>
        <v>0</v>
      </c>
      <c r="V50">
        <f t="shared" si="30"/>
        <v>0</v>
      </c>
      <c r="W50">
        <f t="shared" si="31"/>
        <v>28452.671441975435</v>
      </c>
      <c r="X50">
        <f t="shared" si="32"/>
        <v>107277.39572212205</v>
      </c>
      <c r="Y50">
        <f t="shared" si="33"/>
        <v>811.82894059984255</v>
      </c>
    </row>
    <row r="51" spans="1:25" x14ac:dyDescent="0.15">
      <c r="A51">
        <v>46</v>
      </c>
      <c r="B51">
        <f t="shared" si="36"/>
        <v>5.8000000000000025</v>
      </c>
      <c r="D51">
        <f t="shared" si="13"/>
        <v>408.00000000000017</v>
      </c>
      <c r="E51">
        <f t="shared" si="34"/>
        <v>8185.1980936454875</v>
      </c>
      <c r="G51">
        <f t="shared" si="14"/>
        <v>2.2400000000000002</v>
      </c>
      <c r="H51">
        <f t="shared" si="15"/>
        <v>5.4187499999999993</v>
      </c>
      <c r="I51">
        <f t="shared" si="16"/>
        <v>3.0769230769230766</v>
      </c>
      <c r="J51">
        <f t="shared" si="17"/>
        <v>6.5217391304347824E-2</v>
      </c>
      <c r="K51">
        <f t="shared" si="18"/>
        <v>0</v>
      </c>
      <c r="L51">
        <f t="shared" si="19"/>
        <v>0</v>
      </c>
      <c r="M51">
        <f t="shared" si="20"/>
        <v>0</v>
      </c>
      <c r="N51">
        <v>1</v>
      </c>
      <c r="O51">
        <f t="shared" si="21"/>
        <v>8.2608695652173907</v>
      </c>
      <c r="P51">
        <f t="shared" si="25"/>
        <v>20.061760033444813</v>
      </c>
      <c r="Q51" s="31">
        <f t="shared" si="26"/>
        <v>4.9846075236315623E-2</v>
      </c>
      <c r="R51">
        <f t="shared" si="35"/>
        <v>408.00000000000017</v>
      </c>
      <c r="S51">
        <f t="shared" si="27"/>
        <v>76671.774073735069</v>
      </c>
      <c r="T51">
        <f t="shared" si="28"/>
        <v>43536.452317620831</v>
      </c>
      <c r="U51">
        <f t="shared" si="29"/>
        <v>0</v>
      </c>
      <c r="V51">
        <f t="shared" si="30"/>
        <v>0</v>
      </c>
      <c r="W51">
        <f t="shared" si="31"/>
        <v>31694.537287227973</v>
      </c>
      <c r="X51">
        <f t="shared" si="32"/>
        <v>116885.91002665594</v>
      </c>
      <c r="Y51">
        <f t="shared" si="33"/>
        <v>922.78350021044173</v>
      </c>
    </row>
    <row r="52" spans="1:25" x14ac:dyDescent="0.15">
      <c r="A52">
        <v>47</v>
      </c>
      <c r="B52">
        <f t="shared" si="36"/>
        <v>6.0000000000000027</v>
      </c>
      <c r="D52">
        <f t="shared" si="13"/>
        <v>420.00000000000017</v>
      </c>
      <c r="E52">
        <f t="shared" si="34"/>
        <v>8668.9033026755878</v>
      </c>
      <c r="G52">
        <f t="shared" si="14"/>
        <v>2.3466666666666667</v>
      </c>
      <c r="H52">
        <f t="shared" si="15"/>
        <v>5.5406249999999995</v>
      </c>
      <c r="I52">
        <f t="shared" si="16"/>
        <v>3.2051282051282048</v>
      </c>
      <c r="J52">
        <f t="shared" si="17"/>
        <v>6.9565217391304349E-2</v>
      </c>
      <c r="K52">
        <f t="shared" si="18"/>
        <v>0</v>
      </c>
      <c r="L52">
        <f t="shared" si="19"/>
        <v>0</v>
      </c>
      <c r="M52">
        <f t="shared" si="20"/>
        <v>0</v>
      </c>
      <c r="N52">
        <v>1</v>
      </c>
      <c r="O52">
        <f t="shared" si="21"/>
        <v>8.4782608695652169</v>
      </c>
      <c r="P52">
        <f t="shared" si="25"/>
        <v>20.640245958751393</v>
      </c>
      <c r="Q52" s="31">
        <f t="shared" si="26"/>
        <v>4.8449035055030606E-2</v>
      </c>
      <c r="R52">
        <f t="shared" si="35"/>
        <v>420.00000000000017</v>
      </c>
      <c r="S52">
        <f t="shared" si="27"/>
        <v>83029.059585040202</v>
      </c>
      <c r="T52">
        <f t="shared" si="28"/>
        <v>48030.462397524228</v>
      </c>
      <c r="U52">
        <f t="shared" si="29"/>
        <v>0</v>
      </c>
      <c r="V52">
        <f t="shared" si="30"/>
        <v>0</v>
      </c>
      <c r="W52">
        <f t="shared" si="31"/>
        <v>35165.983348971342</v>
      </c>
      <c r="X52">
        <f t="shared" si="32"/>
        <v>127051.01444632061</v>
      </c>
      <c r="Y52">
        <f t="shared" si="33"/>
        <v>1042.4698621236564</v>
      </c>
    </row>
    <row r="53" spans="1:25" x14ac:dyDescent="0.15">
      <c r="A53">
        <v>48</v>
      </c>
      <c r="B53">
        <f t="shared" si="36"/>
        <v>6.2000000000000028</v>
      </c>
      <c r="D53">
        <f t="shared" si="13"/>
        <v>432.00000000000017</v>
      </c>
      <c r="E53">
        <f t="shared" si="34"/>
        <v>9166.4921739130477</v>
      </c>
      <c r="G53">
        <f t="shared" si="14"/>
        <v>2.4533333333333336</v>
      </c>
      <c r="H53">
        <f t="shared" si="15"/>
        <v>5.6624999999999996</v>
      </c>
      <c r="I53">
        <f t="shared" si="16"/>
        <v>3.333333333333333</v>
      </c>
      <c r="J53">
        <f t="shared" si="17"/>
        <v>7.3913043478260873E-2</v>
      </c>
      <c r="K53">
        <f t="shared" si="18"/>
        <v>0</v>
      </c>
      <c r="L53">
        <f t="shared" si="19"/>
        <v>0</v>
      </c>
      <c r="M53">
        <f t="shared" si="20"/>
        <v>0</v>
      </c>
      <c r="N53">
        <v>1</v>
      </c>
      <c r="O53">
        <f t="shared" si="21"/>
        <v>8.695652173913043</v>
      </c>
      <c r="P53">
        <f t="shared" si="25"/>
        <v>21.21873188405797</v>
      </c>
      <c r="Q53" s="31">
        <f t="shared" si="26"/>
        <v>4.7128169838995829E-2</v>
      </c>
      <c r="R53">
        <f t="shared" si="35"/>
        <v>432.00000000000023</v>
      </c>
      <c r="S53">
        <f t="shared" si="27"/>
        <v>89726.058429640529</v>
      </c>
      <c r="T53">
        <f t="shared" si="28"/>
        <v>52818.871776094493</v>
      </c>
      <c r="U53">
        <f t="shared" si="29"/>
        <v>0</v>
      </c>
      <c r="V53">
        <f t="shared" si="30"/>
        <v>0</v>
      </c>
      <c r="W53">
        <f t="shared" si="31"/>
        <v>38874.68962720556</v>
      </c>
      <c r="X53">
        <f t="shared" si="32"/>
        <v>137788.36115502912</v>
      </c>
      <c r="Y53">
        <f t="shared" si="33"/>
        <v>1171.2010698177478</v>
      </c>
    </row>
    <row r="54" spans="1:25" x14ac:dyDescent="0.15">
      <c r="A54">
        <v>49</v>
      </c>
      <c r="B54">
        <f t="shared" si="36"/>
        <v>6.400000000000003</v>
      </c>
      <c r="D54">
        <f t="shared" si="13"/>
        <v>444.00000000000017</v>
      </c>
      <c r="E54">
        <f t="shared" si="34"/>
        <v>9677.9647073578635</v>
      </c>
      <c r="G54">
        <f t="shared" si="14"/>
        <v>2.56</v>
      </c>
      <c r="H54">
        <f t="shared" si="15"/>
        <v>5.7843749999999998</v>
      </c>
      <c r="I54">
        <f t="shared" si="16"/>
        <v>3.4615384615384612</v>
      </c>
      <c r="J54">
        <f t="shared" si="17"/>
        <v>7.8260869565217397E-2</v>
      </c>
      <c r="K54">
        <f t="shared" si="18"/>
        <v>0</v>
      </c>
      <c r="L54">
        <f t="shared" si="19"/>
        <v>0</v>
      </c>
      <c r="M54">
        <f t="shared" si="20"/>
        <v>0</v>
      </c>
      <c r="N54">
        <v>1</v>
      </c>
      <c r="O54">
        <f t="shared" si="21"/>
        <v>8.9130434782608692</v>
      </c>
      <c r="P54">
        <f t="shared" si="25"/>
        <v>21.797217809364547</v>
      </c>
      <c r="Q54" s="31">
        <f t="shared" si="26"/>
        <v>4.587741466575513E-2</v>
      </c>
      <c r="R54">
        <f t="shared" si="35"/>
        <v>444.00000000000023</v>
      </c>
      <c r="S54">
        <f t="shared" si="27"/>
        <v>96771.545607536042</v>
      </c>
      <c r="T54">
        <f t="shared" si="28"/>
        <v>57910.911222562398</v>
      </c>
      <c r="U54">
        <f t="shared" si="29"/>
        <v>0</v>
      </c>
      <c r="V54">
        <f t="shared" si="30"/>
        <v>0</v>
      </c>
      <c r="W54">
        <f t="shared" si="31"/>
        <v>42828.336121930595</v>
      </c>
      <c r="X54">
        <f t="shared" si="32"/>
        <v>149113.6023266945</v>
      </c>
      <c r="Y54">
        <f t="shared" si="33"/>
        <v>1309.2901667709759</v>
      </c>
    </row>
    <row r="55" spans="1:25" x14ac:dyDescent="0.15">
      <c r="A55">
        <v>50</v>
      </c>
      <c r="B55">
        <f>B54+$C$55</f>
        <v>6.650000000000003</v>
      </c>
      <c r="C55">
        <f>C45+$C$5</f>
        <v>0.25</v>
      </c>
      <c r="D55">
        <f t="shared" si="13"/>
        <v>459.00000000000017</v>
      </c>
      <c r="E55">
        <f t="shared" si="34"/>
        <v>10270.448014214051</v>
      </c>
      <c r="G55">
        <f t="shared" si="14"/>
        <v>2.666666666666667</v>
      </c>
      <c r="H55">
        <f t="shared" si="15"/>
        <v>5.90625</v>
      </c>
      <c r="I55">
        <f t="shared" si="16"/>
        <v>3.5897435897435894</v>
      </c>
      <c r="J55">
        <f t="shared" si="17"/>
        <v>8.2608695652173908E-2</v>
      </c>
      <c r="K55">
        <f t="shared" si="18"/>
        <v>0</v>
      </c>
      <c r="L55">
        <f t="shared" si="19"/>
        <v>0</v>
      </c>
      <c r="M55">
        <f t="shared" si="20"/>
        <v>0</v>
      </c>
      <c r="N55">
        <v>1</v>
      </c>
      <c r="O55">
        <f t="shared" si="21"/>
        <v>9.1304347826086953</v>
      </c>
      <c r="P55">
        <f t="shared" si="25"/>
        <v>22.375703734671127</v>
      </c>
      <c r="Q55" s="31">
        <f t="shared" si="26"/>
        <v>4.4691331806047341E-2</v>
      </c>
      <c r="R55">
        <f t="shared" si="35"/>
        <v>459.00000000000017</v>
      </c>
      <c r="S55">
        <f t="shared" si="27"/>
        <v>104859.65333003417</v>
      </c>
      <c r="T55">
        <f t="shared" si="28"/>
        <v>63732.362897646584</v>
      </c>
      <c r="U55">
        <f t="shared" si="29"/>
        <v>0</v>
      </c>
      <c r="V55">
        <f t="shared" si="30"/>
        <v>0</v>
      </c>
      <c r="W55">
        <f t="shared" si="31"/>
        <v>47344.041009680332</v>
      </c>
      <c r="X55">
        <f t="shared" si="32"/>
        <v>162101.87954401414</v>
      </c>
      <c r="Y55">
        <f t="shared" si="33"/>
        <v>1466.6360530172708</v>
      </c>
    </row>
    <row r="56" spans="1:25" x14ac:dyDescent="0.15">
      <c r="A56">
        <v>51</v>
      </c>
      <c r="B56">
        <f t="shared" ref="B56:B64" si="37">B55+$C$55</f>
        <v>6.900000000000003</v>
      </c>
      <c r="D56">
        <f t="shared" si="13"/>
        <v>474.00000000000017</v>
      </c>
      <c r="E56">
        <f t="shared" si="34"/>
        <v>10880.285898829434</v>
      </c>
      <c r="G56">
        <f t="shared" si="14"/>
        <v>2.7733333333333334</v>
      </c>
      <c r="H56">
        <f t="shared" si="15"/>
        <v>6.0281249999999993</v>
      </c>
      <c r="I56">
        <f t="shared" si="16"/>
        <v>3.7179487179487176</v>
      </c>
      <c r="J56">
        <f t="shared" si="17"/>
        <v>8.6956521739130432E-2</v>
      </c>
      <c r="K56">
        <f t="shared" si="18"/>
        <v>0</v>
      </c>
      <c r="L56">
        <f t="shared" si="19"/>
        <v>0</v>
      </c>
      <c r="M56">
        <f t="shared" si="20"/>
        <v>0</v>
      </c>
      <c r="N56">
        <v>1</v>
      </c>
      <c r="O56">
        <f t="shared" si="21"/>
        <v>9.3478260869565215</v>
      </c>
      <c r="P56">
        <f t="shared" si="25"/>
        <v>22.9541896599777</v>
      </c>
      <c r="Q56" s="31">
        <f t="shared" si="26"/>
        <v>4.3565031691951764E-2</v>
      </c>
      <c r="R56">
        <f t="shared" si="35"/>
        <v>474.00000000000017</v>
      </c>
      <c r="S56">
        <f t="shared" si="27"/>
        <v>113378.25271915122</v>
      </c>
      <c r="T56">
        <f t="shared" si="28"/>
        <v>69927.967542218204</v>
      </c>
      <c r="U56">
        <f t="shared" si="29"/>
        <v>0</v>
      </c>
      <c r="V56">
        <f t="shared" si="30"/>
        <v>0</v>
      </c>
      <c r="W56">
        <f t="shared" si="31"/>
        <v>52161.441168043595</v>
      </c>
      <c r="X56">
        <f t="shared" si="32"/>
        <v>175815.89440524729</v>
      </c>
      <c r="Y56">
        <f t="shared" si="33"/>
        <v>1635.496692141835</v>
      </c>
    </row>
    <row r="57" spans="1:25" x14ac:dyDescent="0.15">
      <c r="A57">
        <v>52</v>
      </c>
      <c r="B57">
        <f t="shared" si="37"/>
        <v>7.150000000000003</v>
      </c>
      <c r="D57">
        <f t="shared" si="13"/>
        <v>489.00000000000011</v>
      </c>
      <c r="E57">
        <f t="shared" si="34"/>
        <v>11507.478361204016</v>
      </c>
      <c r="G57">
        <f t="shared" si="14"/>
        <v>2.8800000000000003</v>
      </c>
      <c r="H57">
        <f t="shared" si="15"/>
        <v>6.1499999999999995</v>
      </c>
      <c r="I57">
        <f t="shared" si="16"/>
        <v>3.8461538461538458</v>
      </c>
      <c r="J57">
        <f t="shared" si="17"/>
        <v>9.1304347826086957E-2</v>
      </c>
      <c r="K57">
        <f t="shared" si="18"/>
        <v>0</v>
      </c>
      <c r="L57">
        <f t="shared" si="19"/>
        <v>0</v>
      </c>
      <c r="M57">
        <f t="shared" si="20"/>
        <v>0</v>
      </c>
      <c r="N57">
        <v>1</v>
      </c>
      <c r="O57">
        <f t="shared" si="21"/>
        <v>9.5652173913043477</v>
      </c>
      <c r="P57">
        <f t="shared" si="25"/>
        <v>23.532675585284281</v>
      </c>
      <c r="Q57" s="31">
        <f t="shared" si="26"/>
        <v>4.2494105541714573E-2</v>
      </c>
      <c r="R57">
        <f t="shared" si="35"/>
        <v>489.00000000000011</v>
      </c>
      <c r="S57">
        <f t="shared" si="27"/>
        <v>122338.31252488733</v>
      </c>
      <c r="T57">
        <f t="shared" si="28"/>
        <v>76509.263617815712</v>
      </c>
      <c r="U57">
        <f t="shared" si="29"/>
        <v>0</v>
      </c>
      <c r="V57">
        <f t="shared" si="30"/>
        <v>0</v>
      </c>
      <c r="W57">
        <f t="shared" si="31"/>
        <v>57290.136597020421</v>
      </c>
      <c r="X57">
        <f t="shared" si="32"/>
        <v>190275.21212778517</v>
      </c>
      <c r="Y57">
        <f t="shared" si="33"/>
        <v>1816.2633884924949</v>
      </c>
    </row>
    <row r="58" spans="1:25" x14ac:dyDescent="0.15">
      <c r="A58">
        <v>53</v>
      </c>
      <c r="B58">
        <f t="shared" si="37"/>
        <v>7.400000000000003</v>
      </c>
      <c r="D58">
        <f t="shared" si="13"/>
        <v>504.00000000000011</v>
      </c>
      <c r="E58">
        <f t="shared" si="34"/>
        <v>12152.025401337796</v>
      </c>
      <c r="G58">
        <f t="shared" si="14"/>
        <v>2.9866666666666668</v>
      </c>
      <c r="H58">
        <f t="shared" si="15"/>
        <v>6.2718749999999996</v>
      </c>
      <c r="I58">
        <f t="shared" si="16"/>
        <v>3.974358974358974</v>
      </c>
      <c r="J58">
        <f t="shared" si="17"/>
        <v>9.5652173913043481E-2</v>
      </c>
      <c r="K58">
        <f t="shared" si="18"/>
        <v>0</v>
      </c>
      <c r="L58">
        <f t="shared" si="19"/>
        <v>0</v>
      </c>
      <c r="M58">
        <f t="shared" si="20"/>
        <v>0</v>
      </c>
      <c r="N58">
        <v>1</v>
      </c>
      <c r="O58">
        <f t="shared" si="21"/>
        <v>9.7826086956521738</v>
      </c>
      <c r="P58">
        <f t="shared" si="25"/>
        <v>24.111161510590858</v>
      </c>
      <c r="Q58" s="31">
        <f t="shared" si="26"/>
        <v>4.1474567683549741E-2</v>
      </c>
      <c r="R58">
        <f t="shared" si="35"/>
        <v>504.00000000000011</v>
      </c>
      <c r="S58">
        <f t="shared" si="27"/>
        <v>131750.80149724244</v>
      </c>
      <c r="T58">
        <f t="shared" si="28"/>
        <v>83487.789585977589</v>
      </c>
      <c r="U58">
        <f t="shared" si="29"/>
        <v>0</v>
      </c>
      <c r="V58">
        <f t="shared" si="30"/>
        <v>0</v>
      </c>
      <c r="W58">
        <f t="shared" si="31"/>
        <v>62739.727296610778</v>
      </c>
      <c r="X58">
        <f t="shared" si="32"/>
        <v>205499.39792901918</v>
      </c>
      <c r="Y58">
        <f t="shared" si="33"/>
        <v>2009.3274464170765</v>
      </c>
    </row>
    <row r="59" spans="1:25" x14ac:dyDescent="0.15">
      <c r="A59">
        <v>54</v>
      </c>
      <c r="B59">
        <f t="shared" si="37"/>
        <v>7.650000000000003</v>
      </c>
      <c r="D59">
        <f t="shared" si="13"/>
        <v>519.00000000000011</v>
      </c>
      <c r="E59">
        <f t="shared" si="34"/>
        <v>12813.927019230772</v>
      </c>
      <c r="G59">
        <f t="shared" si="14"/>
        <v>3.0933333333333337</v>
      </c>
      <c r="H59">
        <f t="shared" si="15"/>
        <v>6.3937499999999998</v>
      </c>
      <c r="I59">
        <f t="shared" si="16"/>
        <v>4.1025641025641022</v>
      </c>
      <c r="J59">
        <f t="shared" si="17"/>
        <v>0.1</v>
      </c>
      <c r="K59">
        <f t="shared" si="18"/>
        <v>0</v>
      </c>
      <c r="L59">
        <f t="shared" si="19"/>
        <v>0</v>
      </c>
      <c r="M59">
        <f t="shared" si="20"/>
        <v>0</v>
      </c>
      <c r="N59">
        <v>1</v>
      </c>
      <c r="O59">
        <f t="shared" si="21"/>
        <v>10</v>
      </c>
      <c r="P59">
        <f t="shared" si="25"/>
        <v>24.689647435897434</v>
      </c>
      <c r="Q59" s="31">
        <f t="shared" si="26"/>
        <v>4.0502805987664821E-2</v>
      </c>
      <c r="R59">
        <f t="shared" si="35"/>
        <v>519.00000000000011</v>
      </c>
      <c r="S59">
        <f t="shared" si="27"/>
        <v>141626.6883862165</v>
      </c>
      <c r="T59">
        <f t="shared" si="28"/>
        <v>90875.083908242275</v>
      </c>
      <c r="U59">
        <f t="shared" si="29"/>
        <v>0</v>
      </c>
      <c r="V59">
        <f t="shared" si="30"/>
        <v>0</v>
      </c>
      <c r="W59">
        <f t="shared" si="31"/>
        <v>68519.813266814686</v>
      </c>
      <c r="X59">
        <f t="shared" si="32"/>
        <v>221508.01702634059</v>
      </c>
      <c r="Y59">
        <f t="shared" si="33"/>
        <v>2215.0801702634058</v>
      </c>
    </row>
    <row r="60" spans="1:25" x14ac:dyDescent="0.15">
      <c r="A60">
        <v>55</v>
      </c>
      <c r="B60">
        <f t="shared" si="37"/>
        <v>7.900000000000003</v>
      </c>
      <c r="D60">
        <f t="shared" si="13"/>
        <v>534.00000000000011</v>
      </c>
      <c r="E60">
        <f t="shared" si="34"/>
        <v>13493.183214882944</v>
      </c>
      <c r="G60">
        <f t="shared" si="14"/>
        <v>3.2</v>
      </c>
      <c r="H60">
        <f t="shared" si="15"/>
        <v>6.515625</v>
      </c>
      <c r="I60">
        <f t="shared" si="16"/>
        <v>4.2307692307692299</v>
      </c>
      <c r="J60">
        <f t="shared" si="17"/>
        <v>0.10434782608695653</v>
      </c>
      <c r="K60">
        <f t="shared" si="18"/>
        <v>0</v>
      </c>
      <c r="L60">
        <f t="shared" si="19"/>
        <v>0</v>
      </c>
      <c r="M60">
        <f t="shared" si="20"/>
        <v>0</v>
      </c>
      <c r="N60">
        <v>1</v>
      </c>
      <c r="O60">
        <f t="shared" si="21"/>
        <v>10.217391304347826</v>
      </c>
      <c r="P60">
        <f t="shared" si="25"/>
        <v>25.268133361204011</v>
      </c>
      <c r="Q60" s="31">
        <f t="shared" si="26"/>
        <v>3.9575539107109994E-2</v>
      </c>
      <c r="R60">
        <f t="shared" si="35"/>
        <v>534.00000000000011</v>
      </c>
      <c r="S60">
        <f t="shared" si="27"/>
        <v>151976.94194180955</v>
      </c>
      <c r="T60">
        <f t="shared" si="28"/>
        <v>98682.68504614821</v>
      </c>
      <c r="U60">
        <f t="shared" si="29"/>
        <v>0</v>
      </c>
      <c r="V60">
        <f t="shared" si="30"/>
        <v>0</v>
      </c>
      <c r="W60">
        <f t="shared" si="31"/>
        <v>74639.994507632131</v>
      </c>
      <c r="X60">
        <f t="shared" si="32"/>
        <v>238320.63463714061</v>
      </c>
      <c r="Y60">
        <f t="shared" si="33"/>
        <v>2433.9128643793083</v>
      </c>
    </row>
    <row r="61" spans="1:25" x14ac:dyDescent="0.15">
      <c r="A61">
        <v>56</v>
      </c>
      <c r="B61">
        <f t="shared" si="37"/>
        <v>8.1500000000000021</v>
      </c>
      <c r="D61">
        <f t="shared" si="13"/>
        <v>549.00000000000011</v>
      </c>
      <c r="E61">
        <f t="shared" si="34"/>
        <v>14189.793988294317</v>
      </c>
      <c r="G61">
        <f t="shared" si="14"/>
        <v>3.3066666666666671</v>
      </c>
      <c r="H61">
        <f t="shared" si="15"/>
        <v>6.6374999999999993</v>
      </c>
      <c r="I61">
        <f t="shared" si="16"/>
        <v>4.3589743589743586</v>
      </c>
      <c r="J61">
        <f t="shared" si="17"/>
        <v>0.10869565217391304</v>
      </c>
      <c r="K61">
        <f t="shared" si="18"/>
        <v>0</v>
      </c>
      <c r="L61">
        <f t="shared" si="19"/>
        <v>0</v>
      </c>
      <c r="M61">
        <f t="shared" si="20"/>
        <v>0</v>
      </c>
      <c r="N61">
        <v>1</v>
      </c>
      <c r="O61">
        <f t="shared" si="21"/>
        <v>10.434782608695652</v>
      </c>
      <c r="P61">
        <f t="shared" si="25"/>
        <v>25.846619286510588</v>
      </c>
      <c r="Q61" s="31">
        <f t="shared" si="26"/>
        <v>3.8689779460708902E-2</v>
      </c>
      <c r="R61">
        <f t="shared" si="35"/>
        <v>549.00000000000011</v>
      </c>
      <c r="S61">
        <f t="shared" si="27"/>
        <v>162812.5309140216</v>
      </c>
      <c r="T61">
        <f t="shared" si="28"/>
        <v>106922.13146123395</v>
      </c>
      <c r="U61">
        <f t="shared" si="29"/>
        <v>0</v>
      </c>
      <c r="V61">
        <f t="shared" si="30"/>
        <v>0</v>
      </c>
      <c r="W61">
        <f t="shared" si="31"/>
        <v>81109.871019063125</v>
      </c>
      <c r="X61">
        <f t="shared" si="32"/>
        <v>255956.81597881069</v>
      </c>
      <c r="Y61">
        <f t="shared" si="33"/>
        <v>2666.2168331126113</v>
      </c>
    </row>
    <row r="62" spans="1:25" x14ac:dyDescent="0.15">
      <c r="A62">
        <v>57</v>
      </c>
      <c r="B62">
        <f t="shared" si="37"/>
        <v>8.4000000000000021</v>
      </c>
      <c r="D62">
        <f t="shared" si="13"/>
        <v>564.00000000000011</v>
      </c>
      <c r="E62">
        <f t="shared" si="34"/>
        <v>14903.759339464887</v>
      </c>
      <c r="G62">
        <f t="shared" si="14"/>
        <v>3.4133333333333336</v>
      </c>
      <c r="H62">
        <f t="shared" si="15"/>
        <v>6.7593749999999995</v>
      </c>
      <c r="I62">
        <f t="shared" si="16"/>
        <v>4.4871794871794872</v>
      </c>
      <c r="J62">
        <f t="shared" si="17"/>
        <v>0.11304347826086956</v>
      </c>
      <c r="K62">
        <f t="shared" si="18"/>
        <v>0</v>
      </c>
      <c r="L62">
        <f t="shared" si="19"/>
        <v>0</v>
      </c>
      <c r="M62">
        <f t="shared" si="20"/>
        <v>0</v>
      </c>
      <c r="N62">
        <v>1</v>
      </c>
      <c r="O62">
        <f t="shared" si="21"/>
        <v>10.652173913043478</v>
      </c>
      <c r="P62">
        <f t="shared" si="25"/>
        <v>26.425105211817169</v>
      </c>
      <c r="Q62" s="31">
        <f t="shared" si="26"/>
        <v>3.7842801078150683E-2</v>
      </c>
      <c r="R62">
        <f t="shared" si="35"/>
        <v>564.00000000000011</v>
      </c>
      <c r="S62">
        <f t="shared" si="27"/>
        <v>174144.42405285264</v>
      </c>
      <c r="T62">
        <f t="shared" si="28"/>
        <v>115604.96161503787</v>
      </c>
      <c r="U62">
        <f t="shared" si="29"/>
        <v>0</v>
      </c>
      <c r="V62">
        <f t="shared" si="30"/>
        <v>0</v>
      </c>
      <c r="W62">
        <f t="shared" si="31"/>
        <v>87939.042801107673</v>
      </c>
      <c r="X62">
        <f t="shared" si="32"/>
        <v>274436.12626874208</v>
      </c>
      <c r="Y62">
        <f t="shared" si="33"/>
        <v>2912.3833808111403</v>
      </c>
    </row>
    <row r="63" spans="1:25" x14ac:dyDescent="0.15">
      <c r="A63">
        <v>58</v>
      </c>
      <c r="B63">
        <f t="shared" si="37"/>
        <v>8.6500000000000021</v>
      </c>
      <c r="D63">
        <f t="shared" si="13"/>
        <v>579.00000000000011</v>
      </c>
      <c r="E63">
        <f t="shared" si="34"/>
        <v>15635.079268394653</v>
      </c>
      <c r="G63">
        <f t="shared" si="14"/>
        <v>3.52</v>
      </c>
      <c r="H63">
        <f t="shared" si="15"/>
        <v>6.8812499999999996</v>
      </c>
      <c r="I63">
        <f t="shared" si="16"/>
        <v>4.615384615384615</v>
      </c>
      <c r="J63">
        <f t="shared" si="17"/>
        <v>0.11739130434782609</v>
      </c>
      <c r="K63">
        <f t="shared" si="18"/>
        <v>0</v>
      </c>
      <c r="L63">
        <f t="shared" si="19"/>
        <v>0</v>
      </c>
      <c r="M63">
        <f t="shared" si="20"/>
        <v>0</v>
      </c>
      <c r="N63">
        <v>1</v>
      </c>
      <c r="O63">
        <f t="shared" si="21"/>
        <v>10.869565217391305</v>
      </c>
      <c r="P63">
        <f t="shared" si="25"/>
        <v>27.003591137123745</v>
      </c>
      <c r="Q63" s="31">
        <f t="shared" si="26"/>
        <v>3.7032111578123743E-2</v>
      </c>
      <c r="R63">
        <f t="shared" si="35"/>
        <v>579.00000000000011</v>
      </c>
      <c r="S63">
        <f t="shared" si="27"/>
        <v>185983.59010830271</v>
      </c>
      <c r="T63">
        <f t="shared" si="28"/>
        <v>124742.71396909843</v>
      </c>
      <c r="U63">
        <f t="shared" si="29"/>
        <v>0</v>
      </c>
      <c r="V63">
        <f t="shared" si="30"/>
        <v>0</v>
      </c>
      <c r="W63">
        <f t="shared" si="31"/>
        <v>95137.109853765753</v>
      </c>
      <c r="X63">
        <f t="shared" si="32"/>
        <v>293778.13072432607</v>
      </c>
      <c r="Y63">
        <f t="shared" si="33"/>
        <v>3172.8038118227214</v>
      </c>
    </row>
    <row r="64" spans="1:25" x14ac:dyDescent="0.15">
      <c r="A64">
        <v>59</v>
      </c>
      <c r="B64">
        <f t="shared" si="37"/>
        <v>8.9000000000000021</v>
      </c>
      <c r="D64">
        <f t="shared" si="13"/>
        <v>594.00000000000011</v>
      </c>
      <c r="E64">
        <f t="shared" si="34"/>
        <v>16383.753775083616</v>
      </c>
      <c r="G64">
        <f t="shared" si="14"/>
        <v>3.6266666666666669</v>
      </c>
      <c r="H64">
        <f t="shared" si="15"/>
        <v>7.0031249999999998</v>
      </c>
      <c r="I64">
        <f t="shared" si="16"/>
        <v>4.7435897435897427</v>
      </c>
      <c r="J64">
        <f t="shared" si="17"/>
        <v>0.12173913043478261</v>
      </c>
      <c r="K64">
        <f t="shared" si="18"/>
        <v>0</v>
      </c>
      <c r="L64">
        <f t="shared" si="19"/>
        <v>0</v>
      </c>
      <c r="M64">
        <f t="shared" si="20"/>
        <v>0</v>
      </c>
      <c r="N64">
        <v>1</v>
      </c>
      <c r="O64">
        <f t="shared" si="21"/>
        <v>11.086956521739131</v>
      </c>
      <c r="P64">
        <f t="shared" si="25"/>
        <v>27.582077062430322</v>
      </c>
      <c r="Q64" s="31">
        <f t="shared" si="26"/>
        <v>3.6255427672707966E-2</v>
      </c>
      <c r="R64">
        <f t="shared" si="35"/>
        <v>594.00000000000011</v>
      </c>
      <c r="S64">
        <f t="shared" si="27"/>
        <v>198340.99783037175</v>
      </c>
      <c r="T64">
        <f t="shared" si="28"/>
        <v>134346.9269849541</v>
      </c>
      <c r="U64">
        <f t="shared" si="29"/>
        <v>0</v>
      </c>
      <c r="V64">
        <f t="shared" si="30"/>
        <v>0</v>
      </c>
      <c r="W64">
        <f t="shared" si="31"/>
        <v>102713.67217703737</v>
      </c>
      <c r="X64">
        <f t="shared" si="32"/>
        <v>314002.39456295391</v>
      </c>
      <c r="Y64">
        <f t="shared" si="33"/>
        <v>3447.8694304951805</v>
      </c>
    </row>
    <row r="65" spans="1:25" x14ac:dyDescent="0.15">
      <c r="A65">
        <v>60</v>
      </c>
      <c r="B65">
        <f>B64+$C$65</f>
        <v>9.2000000000000028</v>
      </c>
      <c r="C65">
        <f>C55+$C$5</f>
        <v>0.3</v>
      </c>
      <c r="D65">
        <f t="shared" si="13"/>
        <v>612.00000000000023</v>
      </c>
      <c r="E65">
        <f t="shared" si="34"/>
        <v>17234.26454849499</v>
      </c>
      <c r="G65">
        <f t="shared" si="14"/>
        <v>3.7333333333333334</v>
      </c>
      <c r="H65">
        <f t="shared" si="15"/>
        <v>7.125</v>
      </c>
      <c r="I65">
        <f t="shared" si="16"/>
        <v>4.8717948717948714</v>
      </c>
      <c r="J65">
        <f t="shared" si="17"/>
        <v>0.12608695652173912</v>
      </c>
      <c r="K65">
        <f t="shared" si="18"/>
        <v>0</v>
      </c>
      <c r="L65">
        <f t="shared" si="19"/>
        <v>0</v>
      </c>
      <c r="M65">
        <f t="shared" si="20"/>
        <v>0</v>
      </c>
      <c r="N65">
        <v>1</v>
      </c>
      <c r="O65">
        <f t="shared" si="21"/>
        <v>11.304347826086957</v>
      </c>
      <c r="P65">
        <f t="shared" si="25"/>
        <v>28.160562987736903</v>
      </c>
      <c r="Q65" s="31">
        <f t="shared" si="26"/>
        <v>3.551065369096032E-2</v>
      </c>
      <c r="R65">
        <f t="shared" si="35"/>
        <v>612.00000000000023</v>
      </c>
      <c r="S65">
        <f t="shared" si="27"/>
        <v>212268.14609698617</v>
      </c>
      <c r="T65">
        <f t="shared" si="28"/>
        <v>145140.61271588795</v>
      </c>
      <c r="U65">
        <f t="shared" si="29"/>
        <v>0</v>
      </c>
      <c r="V65">
        <f t="shared" si="30"/>
        <v>0</v>
      </c>
      <c r="W65">
        <f t="shared" si="31"/>
        <v>111223.54321806996</v>
      </c>
      <c r="X65">
        <f t="shared" si="32"/>
        <v>336779.36222862802</v>
      </c>
      <c r="Y65">
        <f t="shared" si="33"/>
        <v>3756.3851940885424</v>
      </c>
    </row>
    <row r="66" spans="1:25" x14ac:dyDescent="0.15">
      <c r="A66">
        <v>61</v>
      </c>
      <c r="B66">
        <f t="shared" ref="B66:B74" si="38">B65+$C$65</f>
        <v>9.5000000000000036</v>
      </c>
      <c r="D66">
        <f t="shared" si="13"/>
        <v>630.00000000000023</v>
      </c>
      <c r="E66">
        <f t="shared" si="34"/>
        <v>18105.600815217396</v>
      </c>
      <c r="G66">
        <f t="shared" si="14"/>
        <v>3.8400000000000003</v>
      </c>
      <c r="H66">
        <f t="shared" si="15"/>
        <v>7.2468749999999993</v>
      </c>
      <c r="I66">
        <f t="shared" si="16"/>
        <v>5</v>
      </c>
      <c r="J66">
        <f t="shared" si="17"/>
        <v>0.13043478260869565</v>
      </c>
      <c r="K66">
        <f t="shared" si="18"/>
        <v>0</v>
      </c>
      <c r="L66">
        <f t="shared" si="19"/>
        <v>0</v>
      </c>
      <c r="M66">
        <f t="shared" si="20"/>
        <v>0</v>
      </c>
      <c r="N66">
        <v>1</v>
      </c>
      <c r="O66">
        <f t="shared" si="21"/>
        <v>11.521739130434783</v>
      </c>
      <c r="P66">
        <f t="shared" si="25"/>
        <v>28.739048913043476</v>
      </c>
      <c r="Q66" s="31">
        <f t="shared" si="26"/>
        <v>3.4795862696282237E-2</v>
      </c>
      <c r="R66">
        <f t="shared" si="35"/>
        <v>630.00000000000023</v>
      </c>
      <c r="S66">
        <f t="shared" si="27"/>
        <v>226814.55186354334</v>
      </c>
      <c r="T66">
        <f t="shared" si="28"/>
        <v>156491.28201020672</v>
      </c>
      <c r="U66">
        <f t="shared" si="29"/>
        <v>0</v>
      </c>
      <c r="V66">
        <f t="shared" si="30"/>
        <v>0</v>
      </c>
      <c r="W66">
        <f t="shared" si="31"/>
        <v>120185.30458383878</v>
      </c>
      <c r="X66">
        <f t="shared" si="32"/>
        <v>360610.34550178074</v>
      </c>
      <c r="Y66">
        <f t="shared" si="33"/>
        <v>4082.3812698314796</v>
      </c>
    </row>
    <row r="67" spans="1:25" x14ac:dyDescent="0.15">
      <c r="A67">
        <v>62</v>
      </c>
      <c r="B67">
        <f t="shared" si="38"/>
        <v>9.8000000000000043</v>
      </c>
      <c r="D67">
        <f t="shared" si="13"/>
        <v>648.00000000000023</v>
      </c>
      <c r="E67">
        <f t="shared" si="34"/>
        <v>18997.762575250843</v>
      </c>
      <c r="G67">
        <f t="shared" si="14"/>
        <v>3.9466666666666668</v>
      </c>
      <c r="H67">
        <f t="shared" si="15"/>
        <v>7.3687499999999995</v>
      </c>
      <c r="I67">
        <f t="shared" si="16"/>
        <v>5.1282051282051277</v>
      </c>
      <c r="J67">
        <f t="shared" si="17"/>
        <v>0.13478260869565217</v>
      </c>
      <c r="K67">
        <f t="shared" si="18"/>
        <v>0</v>
      </c>
      <c r="L67">
        <f t="shared" si="19"/>
        <v>0</v>
      </c>
      <c r="M67">
        <f t="shared" si="20"/>
        <v>0</v>
      </c>
      <c r="N67">
        <v>1</v>
      </c>
      <c r="O67">
        <f t="shared" si="21"/>
        <v>11.739130434782608</v>
      </c>
      <c r="P67">
        <f t="shared" si="25"/>
        <v>29.317534838350056</v>
      </c>
      <c r="Q67" s="31">
        <f t="shared" si="26"/>
        <v>3.4109279839309926E-2</v>
      </c>
      <c r="R67">
        <f t="shared" si="35"/>
        <v>648.00000000000023</v>
      </c>
      <c r="S67">
        <f t="shared" si="27"/>
        <v>241993.37763004337</v>
      </c>
      <c r="T67">
        <f t="shared" si="28"/>
        <v>168412.78102175656</v>
      </c>
      <c r="U67">
        <f t="shared" si="29"/>
        <v>0</v>
      </c>
      <c r="V67">
        <f t="shared" si="30"/>
        <v>0</v>
      </c>
      <c r="W67">
        <f t="shared" si="31"/>
        <v>129610.47627434386</v>
      </c>
      <c r="X67">
        <f t="shared" si="32"/>
        <v>385518.82264328178</v>
      </c>
      <c r="Y67">
        <f t="shared" si="33"/>
        <v>4426.3272229413842</v>
      </c>
    </row>
    <row r="68" spans="1:25" x14ac:dyDescent="0.15">
      <c r="A68">
        <v>63</v>
      </c>
      <c r="B68">
        <f t="shared" si="38"/>
        <v>10.100000000000005</v>
      </c>
      <c r="D68">
        <f t="shared" si="13"/>
        <v>666.00000000000034</v>
      </c>
      <c r="E68">
        <f t="shared" si="34"/>
        <v>19910.749828595326</v>
      </c>
      <c r="G68">
        <f t="shared" si="14"/>
        <v>4.0533333333333337</v>
      </c>
      <c r="H68">
        <f t="shared" si="15"/>
        <v>7.4906249999999996</v>
      </c>
      <c r="I68">
        <f t="shared" si="16"/>
        <v>5.2564102564102555</v>
      </c>
      <c r="J68">
        <f t="shared" si="17"/>
        <v>0.1391304347826087</v>
      </c>
      <c r="K68">
        <f t="shared" si="18"/>
        <v>0</v>
      </c>
      <c r="L68">
        <f t="shared" si="19"/>
        <v>0</v>
      </c>
      <c r="M68">
        <f t="shared" si="20"/>
        <v>0</v>
      </c>
      <c r="N68">
        <v>1</v>
      </c>
      <c r="O68">
        <f t="shared" si="21"/>
        <v>11.956521739130434</v>
      </c>
      <c r="P68">
        <f t="shared" si="25"/>
        <v>29.89602076365663</v>
      </c>
      <c r="Q68" s="31">
        <f t="shared" si="26"/>
        <v>3.3449267643527299E-2</v>
      </c>
      <c r="R68">
        <f t="shared" si="35"/>
        <v>666.00000000000034</v>
      </c>
      <c r="S68">
        <f t="shared" si="27"/>
        <v>257817.78589648617</v>
      </c>
      <c r="T68">
        <f t="shared" si="28"/>
        <v>180918.95590438356</v>
      </c>
      <c r="U68">
        <f t="shared" si="29"/>
        <v>0</v>
      </c>
      <c r="V68">
        <f t="shared" si="30"/>
        <v>0</v>
      </c>
      <c r="W68">
        <f t="shared" si="31"/>
        <v>139510.57828958519</v>
      </c>
      <c r="X68">
        <f t="shared" si="32"/>
        <v>411528.27191400091</v>
      </c>
      <c r="Y68">
        <f t="shared" si="33"/>
        <v>4788.6926186356468</v>
      </c>
    </row>
    <row r="69" spans="1:25" x14ac:dyDescent="0.15">
      <c r="A69">
        <v>64</v>
      </c>
      <c r="B69">
        <f t="shared" si="38"/>
        <v>10.400000000000006</v>
      </c>
      <c r="D69">
        <f t="shared" si="13"/>
        <v>684.00000000000034</v>
      </c>
      <c r="E69">
        <f t="shared" si="34"/>
        <v>20844.562575250846</v>
      </c>
      <c r="G69">
        <f t="shared" si="14"/>
        <v>4.16</v>
      </c>
      <c r="H69">
        <f t="shared" si="15"/>
        <v>7.6124999999999998</v>
      </c>
      <c r="I69">
        <f t="shared" si="16"/>
        <v>5.3846153846153841</v>
      </c>
      <c r="J69">
        <f t="shared" si="17"/>
        <v>0.14347826086956522</v>
      </c>
      <c r="K69">
        <f t="shared" si="18"/>
        <v>0</v>
      </c>
      <c r="L69">
        <f t="shared" si="19"/>
        <v>0</v>
      </c>
      <c r="M69">
        <f t="shared" si="20"/>
        <v>0</v>
      </c>
      <c r="N69">
        <v>1</v>
      </c>
      <c r="O69">
        <f t="shared" si="21"/>
        <v>12.17391304347826</v>
      </c>
      <c r="P69">
        <f t="shared" ref="P69:P100" si="39">SUM(G69:O69)</f>
        <v>30.47450668896321</v>
      </c>
      <c r="Q69" s="31">
        <f t="shared" ref="Q69:Q100" si="40">N69/P69</f>
        <v>3.281431296678429E-2</v>
      </c>
      <c r="R69">
        <f t="shared" si="35"/>
        <v>684.00000000000034</v>
      </c>
      <c r="S69">
        <f t="shared" ref="S69:S105" si="41">H69/$P$5*$E69</f>
        <v>274300.93916287174</v>
      </c>
      <c r="T69">
        <f t="shared" ref="T69:T105" si="42">I69/$P$5*$E69</f>
        <v>194023.65281193401</v>
      </c>
      <c r="U69">
        <f t="shared" ref="U69:U105" si="43">M69/$P$5*$E69</f>
        <v>0</v>
      </c>
      <c r="V69">
        <f t="shared" ref="V69:V105" si="44">K69/$P$5*$E69</f>
        <v>0</v>
      </c>
      <c r="W69">
        <f t="shared" ref="W69:W105" si="45">G69/$P$5*$E69</f>
        <v>149897.13062956277</v>
      </c>
      <c r="X69">
        <f t="shared" ref="X69:X105" si="46">O69/$P$5*$E69</f>
        <v>438662.17157480738</v>
      </c>
      <c r="Y69">
        <f t="shared" ref="Y69:Y105" si="47">J69/$P$5*$E69</f>
        <v>5169.9470221316587</v>
      </c>
    </row>
    <row r="70" spans="1:25" x14ac:dyDescent="0.15">
      <c r="A70">
        <v>65</v>
      </c>
      <c r="B70">
        <f t="shared" si="38"/>
        <v>10.700000000000006</v>
      </c>
      <c r="D70">
        <f t="shared" si="13"/>
        <v>702.00000000000034</v>
      </c>
      <c r="E70">
        <f t="shared" ref="E70:E101" si="48">D70/Q70</f>
        <v>21799.200815217395</v>
      </c>
      <c r="G70">
        <f t="shared" si="14"/>
        <v>4.2666666666666666</v>
      </c>
      <c r="H70">
        <f t="shared" si="15"/>
        <v>7.734375</v>
      </c>
      <c r="I70">
        <f t="shared" si="16"/>
        <v>5.5128205128205128</v>
      </c>
      <c r="J70">
        <f t="shared" si="17"/>
        <v>0.14782608695652175</v>
      </c>
      <c r="K70">
        <f t="shared" si="18"/>
        <v>0</v>
      </c>
      <c r="L70">
        <f t="shared" si="19"/>
        <v>0</v>
      </c>
      <c r="M70">
        <f t="shared" si="20"/>
        <v>0</v>
      </c>
      <c r="N70">
        <v>1</v>
      </c>
      <c r="O70">
        <f t="shared" si="21"/>
        <v>12.391304347826086</v>
      </c>
      <c r="P70">
        <f t="shared" si="39"/>
        <v>31.052992614269783</v>
      </c>
      <c r="Q70" s="31">
        <f t="shared" si="40"/>
        <v>3.2203015420177894E-2</v>
      </c>
      <c r="R70">
        <f t="shared" ref="R70:R105" si="49">N70/P70*E70</f>
        <v>702.00000000000023</v>
      </c>
      <c r="S70">
        <f t="shared" si="41"/>
        <v>291455.99992920004</v>
      </c>
      <c r="T70">
        <f t="shared" si="42"/>
        <v>207740.71789825396</v>
      </c>
      <c r="U70">
        <f t="shared" si="43"/>
        <v>0</v>
      </c>
      <c r="V70">
        <f t="shared" si="44"/>
        <v>0</v>
      </c>
      <c r="W70">
        <f t="shared" si="45"/>
        <v>160781.65329427656</v>
      </c>
      <c r="X70">
        <f t="shared" si="46"/>
        <v>466943.99988657073</v>
      </c>
      <c r="Y70">
        <f t="shared" si="47"/>
        <v>5570.5599986468105</v>
      </c>
    </row>
    <row r="71" spans="1:25" x14ac:dyDescent="0.15">
      <c r="A71">
        <v>66</v>
      </c>
      <c r="B71">
        <f t="shared" si="38"/>
        <v>11.000000000000007</v>
      </c>
      <c r="D71">
        <f t="shared" ref="D71:D105" si="50">$E$5*(1+B71)</f>
        <v>720.00000000000045</v>
      </c>
      <c r="E71">
        <f t="shared" si="48"/>
        <v>22774.664548494995</v>
      </c>
      <c r="G71">
        <f t="shared" ref="G71:G105" si="51">MAX($G$1+($A71-$G$2+1)*$G$5,0)</f>
        <v>4.373333333333334</v>
      </c>
      <c r="H71">
        <f t="shared" ref="H71:H105" si="52">IF($A71-$H$2&gt;0,$H$1+($A71-$H$2+1)*$H$5,0)</f>
        <v>7.8562499999999993</v>
      </c>
      <c r="I71">
        <f t="shared" ref="I71:I105" si="53">MAX($I$1+($A71-$I$2+1)*$I$5,0)</f>
        <v>5.6410256410256405</v>
      </c>
      <c r="J71">
        <f t="shared" ref="J71:J105" si="54">MAX($J$1+($A71-$J$2+1)*$J$5,0)</f>
        <v>0.15217391304347827</v>
      </c>
      <c r="K71">
        <f t="shared" ref="K71:K105" si="55">MAX((A71-$K$2+1)*$K$5,0)</f>
        <v>0</v>
      </c>
      <c r="L71">
        <f t="shared" ref="L71:L105" si="56">MAX((A71-$L$2+1)*$L$5,0)</f>
        <v>0</v>
      </c>
      <c r="M71">
        <f t="shared" ref="M71:M105" si="57">MAX(($A71-$M$2+1)*$M$5,0)</f>
        <v>0</v>
      </c>
      <c r="N71">
        <v>1</v>
      </c>
      <c r="O71">
        <f t="shared" ref="O71:O105" si="58">MAX($O$1+($A71-$O$2+1)*$O$5,0)</f>
        <v>12.608695652173912</v>
      </c>
      <c r="P71">
        <f t="shared" si="39"/>
        <v>31.631478539576364</v>
      </c>
      <c r="Q71" s="31">
        <f t="shared" si="40"/>
        <v>3.1614077057726842E-2</v>
      </c>
      <c r="R71">
        <f t="shared" si="49"/>
        <v>720.00000000000045</v>
      </c>
      <c r="S71">
        <f t="shared" si="41"/>
        <v>309296.13069547125</v>
      </c>
      <c r="T71">
        <f t="shared" si="42"/>
        <v>222083.99731718967</v>
      </c>
      <c r="U71">
        <f t="shared" si="43"/>
        <v>0</v>
      </c>
      <c r="V71">
        <f t="shared" si="44"/>
        <v>0</v>
      </c>
      <c r="W71">
        <f t="shared" si="45"/>
        <v>172175.66628372672</v>
      </c>
      <c r="X71">
        <f t="shared" si="46"/>
        <v>496397.23511016113</v>
      </c>
      <c r="Y71">
        <f t="shared" si="47"/>
        <v>5991.0011133984963</v>
      </c>
    </row>
    <row r="72" spans="1:25" x14ac:dyDescent="0.15">
      <c r="A72">
        <v>67</v>
      </c>
      <c r="B72">
        <f t="shared" si="38"/>
        <v>11.300000000000008</v>
      </c>
      <c r="D72">
        <f t="shared" si="50"/>
        <v>738.00000000000045</v>
      </c>
      <c r="E72">
        <f t="shared" si="48"/>
        <v>23770.953775083628</v>
      </c>
      <c r="G72">
        <f t="shared" si="51"/>
        <v>4.4800000000000004</v>
      </c>
      <c r="H72">
        <f t="shared" si="52"/>
        <v>7.9781249999999995</v>
      </c>
      <c r="I72">
        <f t="shared" si="53"/>
        <v>5.7692307692307683</v>
      </c>
      <c r="J72">
        <f t="shared" si="54"/>
        <v>0.15652173913043479</v>
      </c>
      <c r="K72">
        <f t="shared" si="55"/>
        <v>0</v>
      </c>
      <c r="L72">
        <f t="shared" si="56"/>
        <v>0</v>
      </c>
      <c r="M72">
        <f t="shared" si="57"/>
        <v>0</v>
      </c>
      <c r="N72">
        <v>1</v>
      </c>
      <c r="O72">
        <f t="shared" si="58"/>
        <v>12.826086956521738</v>
      </c>
      <c r="P72">
        <f t="shared" si="39"/>
        <v>32.209964464882944</v>
      </c>
      <c r="Q72" s="31">
        <f t="shared" si="40"/>
        <v>3.1046293177077373E-2</v>
      </c>
      <c r="R72">
        <f t="shared" si="49"/>
        <v>738.00000000000045</v>
      </c>
      <c r="S72">
        <f t="shared" si="41"/>
        <v>327834.49396168528</v>
      </c>
      <c r="T72">
        <f t="shared" si="42"/>
        <v>237067.33722258714</v>
      </c>
      <c r="U72">
        <f t="shared" si="43"/>
        <v>0</v>
      </c>
      <c r="V72">
        <f t="shared" si="44"/>
        <v>0</v>
      </c>
      <c r="W72">
        <f t="shared" si="45"/>
        <v>184090.68959791306</v>
      </c>
      <c r="X72">
        <f t="shared" si="46"/>
        <v>527045.35550644749</v>
      </c>
      <c r="Y72">
        <f t="shared" si="47"/>
        <v>6431.7399316041055</v>
      </c>
    </row>
    <row r="73" spans="1:25" x14ac:dyDescent="0.15">
      <c r="A73">
        <v>68</v>
      </c>
      <c r="B73">
        <f t="shared" si="38"/>
        <v>11.600000000000009</v>
      </c>
      <c r="D73">
        <f t="shared" si="50"/>
        <v>756.00000000000045</v>
      </c>
      <c r="E73">
        <f t="shared" si="48"/>
        <v>24788.068494983298</v>
      </c>
      <c r="G73">
        <f t="shared" si="51"/>
        <v>4.5866666666666669</v>
      </c>
      <c r="H73">
        <f t="shared" si="52"/>
        <v>8.1</v>
      </c>
      <c r="I73">
        <f t="shared" si="53"/>
        <v>5.8974358974358969</v>
      </c>
      <c r="J73">
        <f t="shared" si="54"/>
        <v>0.16086956521739132</v>
      </c>
      <c r="K73">
        <f t="shared" si="55"/>
        <v>0</v>
      </c>
      <c r="L73">
        <f t="shared" si="56"/>
        <v>0</v>
      </c>
      <c r="M73">
        <f t="shared" si="57"/>
        <v>0</v>
      </c>
      <c r="N73">
        <v>1</v>
      </c>
      <c r="O73">
        <f t="shared" si="58"/>
        <v>13.043478260869565</v>
      </c>
      <c r="P73">
        <f t="shared" si="39"/>
        <v>32.788450390189524</v>
      </c>
      <c r="Q73" s="31">
        <f t="shared" si="40"/>
        <v>3.0498544094026633E-2</v>
      </c>
      <c r="R73">
        <f t="shared" si="49"/>
        <v>756.00000000000045</v>
      </c>
      <c r="S73">
        <f t="shared" si="41"/>
        <v>347084.25222784205</v>
      </c>
      <c r="T73">
        <f t="shared" si="42"/>
        <v>252704.58376829274</v>
      </c>
      <c r="U73">
        <f t="shared" si="43"/>
        <v>0</v>
      </c>
      <c r="V73">
        <f t="shared" si="44"/>
        <v>0</v>
      </c>
      <c r="W73">
        <f t="shared" si="45"/>
        <v>196538.2432368357</v>
      </c>
      <c r="X73">
        <f t="shared" si="46"/>
        <v>558911.83933629957</v>
      </c>
      <c r="Y73">
        <f t="shared" si="47"/>
        <v>6893.2460184810298</v>
      </c>
    </row>
    <row r="74" spans="1:25" x14ac:dyDescent="0.15">
      <c r="A74">
        <v>69</v>
      </c>
      <c r="B74">
        <f t="shared" si="38"/>
        <v>11.900000000000009</v>
      </c>
      <c r="D74">
        <f t="shared" si="50"/>
        <v>774.00000000000057</v>
      </c>
      <c r="E74">
        <f t="shared" si="48"/>
        <v>25826.008708194004</v>
      </c>
      <c r="G74">
        <f t="shared" si="51"/>
        <v>4.6933333333333334</v>
      </c>
      <c r="H74">
        <f t="shared" si="52"/>
        <v>8.2218750000000007</v>
      </c>
      <c r="I74">
        <f t="shared" si="53"/>
        <v>6.0256410256410255</v>
      </c>
      <c r="J74">
        <f t="shared" si="54"/>
        <v>0.16521739130434782</v>
      </c>
      <c r="K74">
        <f t="shared" si="55"/>
        <v>0</v>
      </c>
      <c r="L74">
        <f t="shared" si="56"/>
        <v>0</v>
      </c>
      <c r="M74">
        <f t="shared" si="57"/>
        <v>0</v>
      </c>
      <c r="N74">
        <v>1</v>
      </c>
      <c r="O74">
        <f t="shared" si="58"/>
        <v>13.260869565217391</v>
      </c>
      <c r="P74">
        <f t="shared" si="39"/>
        <v>33.366936315496105</v>
      </c>
      <c r="Q74" s="31">
        <f t="shared" si="40"/>
        <v>2.9969787772681576E-2</v>
      </c>
      <c r="R74">
        <f t="shared" si="49"/>
        <v>774.00000000000057</v>
      </c>
      <c r="S74">
        <f t="shared" si="41"/>
        <v>367058.56799394166</v>
      </c>
      <c r="T74">
        <f t="shared" si="42"/>
        <v>269009.58310815244</v>
      </c>
      <c r="U74">
        <f t="shared" si="43"/>
        <v>0</v>
      </c>
      <c r="V74">
        <f t="shared" si="44"/>
        <v>0</v>
      </c>
      <c r="W74">
        <f t="shared" si="45"/>
        <v>209529.84720049452</v>
      </c>
      <c r="X74">
        <f t="shared" si="46"/>
        <v>592020.16486058699</v>
      </c>
      <c r="Y74">
        <f t="shared" si="47"/>
        <v>7375.9889392466575</v>
      </c>
    </row>
    <row r="75" spans="1:25" x14ac:dyDescent="0.15">
      <c r="A75">
        <v>70</v>
      </c>
      <c r="B75">
        <f>B74+$C$75</f>
        <v>12.250000000000009</v>
      </c>
      <c r="C75">
        <f>C65+$C$5</f>
        <v>0.35</v>
      </c>
      <c r="D75">
        <f t="shared" si="50"/>
        <v>795.00000000000057</v>
      </c>
      <c r="E75">
        <f t="shared" si="48"/>
        <v>26986.610681438149</v>
      </c>
      <c r="G75">
        <f t="shared" si="51"/>
        <v>4.8000000000000007</v>
      </c>
      <c r="H75">
        <f t="shared" si="52"/>
        <v>8.34375</v>
      </c>
      <c r="I75">
        <f t="shared" si="53"/>
        <v>6.1538461538461533</v>
      </c>
      <c r="J75">
        <f t="shared" si="54"/>
        <v>0.16956521739130434</v>
      </c>
      <c r="K75">
        <f t="shared" si="55"/>
        <v>0</v>
      </c>
      <c r="L75">
        <f t="shared" si="56"/>
        <v>0</v>
      </c>
      <c r="M75">
        <f t="shared" si="57"/>
        <v>0</v>
      </c>
      <c r="N75">
        <v>1</v>
      </c>
      <c r="O75">
        <f t="shared" si="58"/>
        <v>13.478260869565217</v>
      </c>
      <c r="P75">
        <f t="shared" si="39"/>
        <v>33.945422240802678</v>
      </c>
      <c r="Q75" s="31">
        <f t="shared" si="40"/>
        <v>2.9459053209183291E-2</v>
      </c>
      <c r="R75">
        <f t="shared" si="49"/>
        <v>795.00000000000057</v>
      </c>
      <c r="S75">
        <f t="shared" si="41"/>
        <v>389239.43180452933</v>
      </c>
      <c r="T75">
        <f t="shared" si="42"/>
        <v>287079.50026493659</v>
      </c>
      <c r="U75">
        <f t="shared" si="43"/>
        <v>0</v>
      </c>
      <c r="V75">
        <f t="shared" si="44"/>
        <v>0</v>
      </c>
      <c r="W75">
        <f t="shared" si="45"/>
        <v>223922.01020665056</v>
      </c>
      <c r="X75">
        <f t="shared" si="46"/>
        <v>628766.51416722534</v>
      </c>
      <c r="Y75">
        <f t="shared" si="47"/>
        <v>7910.2884040392855</v>
      </c>
    </row>
    <row r="76" spans="1:25" x14ac:dyDescent="0.15">
      <c r="A76">
        <v>71</v>
      </c>
      <c r="B76">
        <f t="shared" ref="B76:B84" si="59">B75+$C$75</f>
        <v>12.600000000000009</v>
      </c>
      <c r="D76">
        <f t="shared" si="50"/>
        <v>816.00000000000045</v>
      </c>
      <c r="E76">
        <f t="shared" si="48"/>
        <v>28171.509063545167</v>
      </c>
      <c r="G76">
        <f t="shared" si="51"/>
        <v>4.9066666666666672</v>
      </c>
      <c r="H76">
        <f t="shared" si="52"/>
        <v>8.4656250000000011</v>
      </c>
      <c r="I76">
        <f t="shared" si="53"/>
        <v>6.282051282051281</v>
      </c>
      <c r="J76">
        <f t="shared" si="54"/>
        <v>0.17391304347826086</v>
      </c>
      <c r="K76">
        <f t="shared" si="55"/>
        <v>0</v>
      </c>
      <c r="L76">
        <f t="shared" si="56"/>
        <v>0</v>
      </c>
      <c r="M76">
        <f t="shared" si="57"/>
        <v>0</v>
      </c>
      <c r="N76">
        <v>1</v>
      </c>
      <c r="O76">
        <f t="shared" si="58"/>
        <v>13.695652173913043</v>
      </c>
      <c r="P76">
        <f t="shared" si="39"/>
        <v>34.523908166109251</v>
      </c>
      <c r="Q76" s="31">
        <f t="shared" si="40"/>
        <v>2.8965434480609013E-2</v>
      </c>
      <c r="R76">
        <f t="shared" si="49"/>
        <v>816.00000000000045</v>
      </c>
      <c r="S76">
        <f t="shared" si="41"/>
        <v>412264.88144838356</v>
      </c>
      <c r="T76">
        <f t="shared" si="42"/>
        <v>305927.69311746466</v>
      </c>
      <c r="U76">
        <f t="shared" si="43"/>
        <v>0</v>
      </c>
      <c r="V76">
        <f t="shared" si="44"/>
        <v>0</v>
      </c>
      <c r="W76">
        <f t="shared" si="45"/>
        <v>238948.25859166554</v>
      </c>
      <c r="X76">
        <f t="shared" si="46"/>
        <v>666960.37443621189</v>
      </c>
      <c r="Y76">
        <f t="shared" si="47"/>
        <v>8469.3380880788809</v>
      </c>
    </row>
    <row r="77" spans="1:25" x14ac:dyDescent="0.15">
      <c r="A77">
        <v>72</v>
      </c>
      <c r="B77">
        <f t="shared" si="59"/>
        <v>12.950000000000008</v>
      </c>
      <c r="D77">
        <f t="shared" si="50"/>
        <v>837.00000000000045</v>
      </c>
      <c r="E77">
        <f t="shared" si="48"/>
        <v>29380.703854515068</v>
      </c>
      <c r="G77">
        <f t="shared" si="51"/>
        <v>5.0133333333333336</v>
      </c>
      <c r="H77">
        <f t="shared" si="52"/>
        <v>8.5875000000000004</v>
      </c>
      <c r="I77">
        <f t="shared" si="53"/>
        <v>6.4102564102564097</v>
      </c>
      <c r="J77">
        <f t="shared" si="54"/>
        <v>0.17826086956521739</v>
      </c>
      <c r="K77">
        <f t="shared" si="55"/>
        <v>0</v>
      </c>
      <c r="L77">
        <f t="shared" si="56"/>
        <v>0</v>
      </c>
      <c r="M77">
        <f t="shared" si="57"/>
        <v>0</v>
      </c>
      <c r="N77">
        <v>1</v>
      </c>
      <c r="O77">
        <f t="shared" si="58"/>
        <v>13.913043478260869</v>
      </c>
      <c r="P77">
        <f t="shared" si="39"/>
        <v>35.102394091415832</v>
      </c>
      <c r="Q77" s="31">
        <f t="shared" si="40"/>
        <v>2.8488085382317171E-2</v>
      </c>
      <c r="R77">
        <f t="shared" si="49"/>
        <v>837.00000000000045</v>
      </c>
      <c r="S77">
        <f t="shared" si="41"/>
        <v>436150.27317550441</v>
      </c>
      <c r="T77">
        <f t="shared" si="42"/>
        <v>325570.31551189069</v>
      </c>
      <c r="U77">
        <f t="shared" si="43"/>
        <v>0</v>
      </c>
      <c r="V77">
        <f t="shared" si="44"/>
        <v>0</v>
      </c>
      <c r="W77">
        <f t="shared" si="45"/>
        <v>254622.03235553947</v>
      </c>
      <c r="X77">
        <f t="shared" si="46"/>
        <v>706629.136971895</v>
      </c>
      <c r="Y77">
        <f t="shared" si="47"/>
        <v>9053.6858174524041</v>
      </c>
    </row>
    <row r="78" spans="1:25" x14ac:dyDescent="0.15">
      <c r="A78">
        <v>73</v>
      </c>
      <c r="B78">
        <f t="shared" si="59"/>
        <v>13.300000000000008</v>
      </c>
      <c r="D78">
        <f t="shared" si="50"/>
        <v>858.00000000000045</v>
      </c>
      <c r="E78">
        <f t="shared" si="48"/>
        <v>30614.195054347845</v>
      </c>
      <c r="G78">
        <f t="shared" si="51"/>
        <v>5.12</v>
      </c>
      <c r="H78">
        <f t="shared" si="52"/>
        <v>8.7093749999999996</v>
      </c>
      <c r="I78">
        <f t="shared" si="53"/>
        <v>6.5384615384615383</v>
      </c>
      <c r="J78">
        <f t="shared" si="54"/>
        <v>0.18260869565217391</v>
      </c>
      <c r="K78">
        <f t="shared" si="55"/>
        <v>0</v>
      </c>
      <c r="L78">
        <f t="shared" si="56"/>
        <v>0</v>
      </c>
      <c r="M78">
        <f t="shared" si="57"/>
        <v>0</v>
      </c>
      <c r="N78">
        <v>1</v>
      </c>
      <c r="O78">
        <f t="shared" si="58"/>
        <v>14.130434782608695</v>
      </c>
      <c r="P78">
        <f t="shared" si="39"/>
        <v>35.680880016722412</v>
      </c>
      <c r="Q78" s="31">
        <f t="shared" si="40"/>
        <v>2.8026214586953407E-2</v>
      </c>
      <c r="R78">
        <f t="shared" si="49"/>
        <v>858.00000000000045</v>
      </c>
      <c r="S78">
        <f t="shared" si="41"/>
        <v>460910.96323589183</v>
      </c>
      <c r="T78">
        <f t="shared" si="42"/>
        <v>346023.52129436831</v>
      </c>
      <c r="U78">
        <f t="shared" si="43"/>
        <v>0</v>
      </c>
      <c r="V78">
        <f t="shared" si="44"/>
        <v>0</v>
      </c>
      <c r="W78">
        <f t="shared" si="45"/>
        <v>270956.77149827243</v>
      </c>
      <c r="X78">
        <f t="shared" si="46"/>
        <v>747800.19307862199</v>
      </c>
      <c r="Y78">
        <f t="shared" si="47"/>
        <v>9663.8794182468082</v>
      </c>
    </row>
    <row r="79" spans="1:25" x14ac:dyDescent="0.15">
      <c r="A79">
        <v>74</v>
      </c>
      <c r="B79">
        <f t="shared" si="59"/>
        <v>13.650000000000007</v>
      </c>
      <c r="D79">
        <f t="shared" si="50"/>
        <v>879.00000000000045</v>
      </c>
      <c r="E79">
        <f t="shared" si="48"/>
        <v>31871.982663043495</v>
      </c>
      <c r="G79">
        <f t="shared" si="51"/>
        <v>5.2266666666666666</v>
      </c>
      <c r="H79">
        <f t="shared" si="52"/>
        <v>8.8312500000000007</v>
      </c>
      <c r="I79">
        <f t="shared" si="53"/>
        <v>6.6666666666666661</v>
      </c>
      <c r="J79">
        <f t="shared" si="54"/>
        <v>0.18695652173913044</v>
      </c>
      <c r="K79">
        <f t="shared" si="55"/>
        <v>0</v>
      </c>
      <c r="L79">
        <f t="shared" si="56"/>
        <v>0</v>
      </c>
      <c r="M79">
        <f t="shared" si="57"/>
        <v>0</v>
      </c>
      <c r="N79">
        <v>1</v>
      </c>
      <c r="O79">
        <f t="shared" si="58"/>
        <v>14.347826086956522</v>
      </c>
      <c r="P79">
        <f t="shared" si="39"/>
        <v>36.259365942028985</v>
      </c>
      <c r="Q79" s="31">
        <f t="shared" si="40"/>
        <v>2.7579081266859089E-2</v>
      </c>
      <c r="R79">
        <f t="shared" si="49"/>
        <v>879.00000000000045</v>
      </c>
      <c r="S79">
        <f t="shared" si="41"/>
        <v>486562.30787954584</v>
      </c>
      <c r="T79">
        <f t="shared" si="42"/>
        <v>367303.4643110513</v>
      </c>
      <c r="U79">
        <f t="shared" si="43"/>
        <v>0</v>
      </c>
      <c r="V79">
        <f t="shared" si="44"/>
        <v>0</v>
      </c>
      <c r="W79">
        <f t="shared" si="45"/>
        <v>287965.91601986426</v>
      </c>
      <c r="X79">
        <f t="shared" si="46"/>
        <v>790500.93406074087</v>
      </c>
      <c r="Y79">
        <f t="shared" si="47"/>
        <v>10300.466716549048</v>
      </c>
    </row>
    <row r="80" spans="1:25" x14ac:dyDescent="0.15">
      <c r="A80">
        <v>75</v>
      </c>
      <c r="B80">
        <f t="shared" si="59"/>
        <v>14.000000000000007</v>
      </c>
      <c r="D80">
        <f t="shared" si="50"/>
        <v>900.00000000000045</v>
      </c>
      <c r="E80">
        <f t="shared" si="48"/>
        <v>33154.066680602024</v>
      </c>
      <c r="G80">
        <f t="shared" si="51"/>
        <v>5.3333333333333339</v>
      </c>
      <c r="H80">
        <f t="shared" si="52"/>
        <v>8.953125</v>
      </c>
      <c r="I80">
        <f t="shared" si="53"/>
        <v>6.7948717948717938</v>
      </c>
      <c r="J80">
        <f t="shared" si="54"/>
        <v>0.19130434782608696</v>
      </c>
      <c r="K80">
        <f t="shared" si="55"/>
        <v>0</v>
      </c>
      <c r="L80">
        <f t="shared" si="56"/>
        <v>0</v>
      </c>
      <c r="M80">
        <f t="shared" si="57"/>
        <v>0</v>
      </c>
      <c r="N80">
        <v>1</v>
      </c>
      <c r="O80">
        <f t="shared" si="58"/>
        <v>14.565217391304348</v>
      </c>
      <c r="P80">
        <f t="shared" si="39"/>
        <v>36.837851867335559</v>
      </c>
      <c r="Q80" s="31">
        <f t="shared" si="40"/>
        <v>2.7145991128942799E-2</v>
      </c>
      <c r="R80">
        <f t="shared" si="49"/>
        <v>900.00000000000057</v>
      </c>
      <c r="S80">
        <f t="shared" si="41"/>
        <v>513119.66335646645</v>
      </c>
      <c r="T80">
        <f t="shared" si="42"/>
        <v>389426.29840809375</v>
      </c>
      <c r="U80">
        <f t="shared" si="43"/>
        <v>0</v>
      </c>
      <c r="V80">
        <f t="shared" si="44"/>
        <v>0</v>
      </c>
      <c r="W80">
        <f t="shared" si="45"/>
        <v>305662.90592031513</v>
      </c>
      <c r="X80">
        <f t="shared" si="46"/>
        <v>834758.75122259965</v>
      </c>
      <c r="Y80">
        <f t="shared" si="47"/>
        <v>10963.995538446085</v>
      </c>
    </row>
    <row r="81" spans="1:25" x14ac:dyDescent="0.15">
      <c r="A81">
        <v>76</v>
      </c>
      <c r="B81">
        <f t="shared" si="59"/>
        <v>14.350000000000007</v>
      </c>
      <c r="D81">
        <f t="shared" si="50"/>
        <v>921.00000000000045</v>
      </c>
      <c r="E81">
        <f t="shared" si="48"/>
        <v>34460.447107023429</v>
      </c>
      <c r="G81">
        <f t="shared" si="51"/>
        <v>5.44</v>
      </c>
      <c r="H81">
        <f t="shared" si="52"/>
        <v>9.0750000000000011</v>
      </c>
      <c r="I81">
        <f t="shared" si="53"/>
        <v>6.9230769230769225</v>
      </c>
      <c r="J81">
        <f t="shared" si="54"/>
        <v>0.19565217391304349</v>
      </c>
      <c r="K81">
        <f t="shared" si="55"/>
        <v>0</v>
      </c>
      <c r="L81">
        <f t="shared" si="56"/>
        <v>0</v>
      </c>
      <c r="M81">
        <f t="shared" si="57"/>
        <v>0</v>
      </c>
      <c r="N81">
        <v>1</v>
      </c>
      <c r="O81">
        <f t="shared" si="58"/>
        <v>14.782608695652174</v>
      </c>
      <c r="P81">
        <f t="shared" si="39"/>
        <v>37.416337792642139</v>
      </c>
      <c r="Q81" s="31">
        <f t="shared" si="40"/>
        <v>2.6726292817375846E-2</v>
      </c>
      <c r="R81">
        <f t="shared" si="49"/>
        <v>921.00000000000057</v>
      </c>
      <c r="S81">
        <f t="shared" si="41"/>
        <v>540598.38591665367</v>
      </c>
      <c r="T81">
        <f t="shared" si="42"/>
        <v>412408.1774316493</v>
      </c>
      <c r="U81">
        <f t="shared" si="43"/>
        <v>0</v>
      </c>
      <c r="V81">
        <f t="shared" si="44"/>
        <v>0</v>
      </c>
      <c r="W81">
        <f t="shared" si="45"/>
        <v>324061.18119962496</v>
      </c>
      <c r="X81">
        <f t="shared" si="46"/>
        <v>880601.03586854588</v>
      </c>
      <c r="Y81">
        <f t="shared" si="47"/>
        <v>11655.013710024872</v>
      </c>
    </row>
    <row r="82" spans="1:25" x14ac:dyDescent="0.15">
      <c r="A82">
        <v>77</v>
      </c>
      <c r="B82">
        <f t="shared" si="59"/>
        <v>14.700000000000006</v>
      </c>
      <c r="D82">
        <f t="shared" si="50"/>
        <v>942.00000000000034</v>
      </c>
      <c r="E82">
        <f t="shared" si="48"/>
        <v>35791.123942307706</v>
      </c>
      <c r="G82">
        <f t="shared" si="51"/>
        <v>5.5466666666666669</v>
      </c>
      <c r="H82">
        <f t="shared" si="52"/>
        <v>9.1968750000000004</v>
      </c>
      <c r="I82">
        <f t="shared" si="53"/>
        <v>7.0512820512820511</v>
      </c>
      <c r="J82">
        <f t="shared" si="54"/>
        <v>0.2</v>
      </c>
      <c r="K82">
        <f t="shared" si="55"/>
        <v>0</v>
      </c>
      <c r="L82">
        <f t="shared" si="56"/>
        <v>0</v>
      </c>
      <c r="M82">
        <f t="shared" si="57"/>
        <v>0</v>
      </c>
      <c r="N82">
        <v>1</v>
      </c>
      <c r="O82">
        <f t="shared" si="58"/>
        <v>15</v>
      </c>
      <c r="P82">
        <f t="shared" si="39"/>
        <v>37.994823717948719</v>
      </c>
      <c r="Q82" s="31">
        <f t="shared" si="40"/>
        <v>2.6319374644909879E-2</v>
      </c>
      <c r="R82">
        <f t="shared" si="49"/>
        <v>942.00000000000034</v>
      </c>
      <c r="S82">
        <f t="shared" si="41"/>
        <v>569013.83181010745</v>
      </c>
      <c r="T82">
        <f t="shared" si="42"/>
        <v>436265.25522787188</v>
      </c>
      <c r="U82">
        <f t="shared" si="43"/>
        <v>0</v>
      </c>
      <c r="V82">
        <f t="shared" si="44"/>
        <v>0</v>
      </c>
      <c r="W82">
        <f t="shared" si="45"/>
        <v>343174.18185779365</v>
      </c>
      <c r="X82">
        <f t="shared" si="46"/>
        <v>928055.17930292746</v>
      </c>
      <c r="Y82">
        <f t="shared" si="47"/>
        <v>12374.069057372368</v>
      </c>
    </row>
    <row r="83" spans="1:25" x14ac:dyDescent="0.15">
      <c r="A83">
        <v>78</v>
      </c>
      <c r="B83">
        <f t="shared" si="59"/>
        <v>15.050000000000006</v>
      </c>
      <c r="D83">
        <f t="shared" si="50"/>
        <v>963.00000000000023</v>
      </c>
      <c r="E83">
        <f t="shared" si="48"/>
        <v>37146.097186454856</v>
      </c>
      <c r="G83">
        <f t="shared" si="51"/>
        <v>5.6533333333333333</v>
      </c>
      <c r="H83">
        <f t="shared" si="52"/>
        <v>9.3187499999999996</v>
      </c>
      <c r="I83">
        <f t="shared" si="53"/>
        <v>7.1794871794871788</v>
      </c>
      <c r="J83">
        <f t="shared" si="54"/>
        <v>0.20434782608695654</v>
      </c>
      <c r="K83">
        <f t="shared" si="55"/>
        <v>0</v>
      </c>
      <c r="L83">
        <f t="shared" si="56"/>
        <v>0</v>
      </c>
      <c r="M83">
        <f t="shared" si="57"/>
        <v>0</v>
      </c>
      <c r="N83">
        <v>1</v>
      </c>
      <c r="O83">
        <f t="shared" si="58"/>
        <v>15.217391304347826</v>
      </c>
      <c r="P83">
        <f t="shared" si="39"/>
        <v>38.573309643255293</v>
      </c>
      <c r="Q83" s="31">
        <f t="shared" si="40"/>
        <v>2.5924661618318103E-2</v>
      </c>
      <c r="R83">
        <f t="shared" si="49"/>
        <v>963.00000000000023</v>
      </c>
      <c r="S83">
        <f t="shared" si="41"/>
        <v>598381.35728682776</v>
      </c>
      <c r="T83">
        <f t="shared" si="42"/>
        <v>461013.6856429152</v>
      </c>
      <c r="U83">
        <f t="shared" si="43"/>
        <v>0</v>
      </c>
      <c r="V83">
        <f t="shared" si="44"/>
        <v>0</v>
      </c>
      <c r="W83">
        <f t="shared" si="45"/>
        <v>363015.34789482126</v>
      </c>
      <c r="X83">
        <f t="shared" si="46"/>
        <v>977148.57283009216</v>
      </c>
      <c r="Y83">
        <f t="shared" si="47"/>
        <v>13121.709406575525</v>
      </c>
    </row>
    <row r="84" spans="1:25" x14ac:dyDescent="0.15">
      <c r="A84">
        <v>79</v>
      </c>
      <c r="B84">
        <f t="shared" si="59"/>
        <v>15.400000000000006</v>
      </c>
      <c r="D84">
        <f t="shared" si="50"/>
        <v>984.00000000000034</v>
      </c>
      <c r="E84">
        <f t="shared" si="48"/>
        <v>38525.366839464899</v>
      </c>
      <c r="G84">
        <f t="shared" si="51"/>
        <v>5.7600000000000007</v>
      </c>
      <c r="H84">
        <f t="shared" si="52"/>
        <v>9.4406250000000007</v>
      </c>
      <c r="I84">
        <f t="shared" si="53"/>
        <v>7.3076923076923066</v>
      </c>
      <c r="J84">
        <f t="shared" si="54"/>
        <v>0.20869565217391306</v>
      </c>
      <c r="K84">
        <f t="shared" si="55"/>
        <v>0</v>
      </c>
      <c r="L84">
        <f t="shared" si="56"/>
        <v>0</v>
      </c>
      <c r="M84">
        <f t="shared" si="57"/>
        <v>0</v>
      </c>
      <c r="N84">
        <v>1</v>
      </c>
      <c r="O84">
        <f t="shared" si="58"/>
        <v>15.434782608695652</v>
      </c>
      <c r="P84">
        <f t="shared" si="39"/>
        <v>39.151795568561873</v>
      </c>
      <c r="Q84" s="31">
        <f t="shared" si="40"/>
        <v>2.5541612727539385E-2</v>
      </c>
      <c r="R84">
        <f t="shared" si="49"/>
        <v>984.00000000000045</v>
      </c>
      <c r="S84">
        <f t="shared" si="41"/>
        <v>628716.31859681476</v>
      </c>
      <c r="T84">
        <f t="shared" si="42"/>
        <v>486669.62252293353</v>
      </c>
      <c r="U84">
        <f t="shared" si="43"/>
        <v>0</v>
      </c>
      <c r="V84">
        <f t="shared" si="44"/>
        <v>0</v>
      </c>
      <c r="W84">
        <f t="shared" si="45"/>
        <v>383598.11931070813</v>
      </c>
      <c r="X84">
        <f t="shared" si="46"/>
        <v>1027908.6077543882</v>
      </c>
      <c r="Y84">
        <f t="shared" si="47"/>
        <v>13898.482583721307</v>
      </c>
    </row>
    <row r="85" spans="1:25" s="10" customFormat="1" x14ac:dyDescent="0.15">
      <c r="A85">
        <v>80</v>
      </c>
      <c r="B85">
        <f>B84+$C$85</f>
        <v>15.800000000000006</v>
      </c>
      <c r="C85">
        <f>C75+$C$5</f>
        <v>0.39999999999999997</v>
      </c>
      <c r="D85">
        <f t="shared" si="50"/>
        <v>1008.0000000000002</v>
      </c>
      <c r="E85">
        <f t="shared" si="48"/>
        <v>40048.123745819401</v>
      </c>
      <c r="F85"/>
      <c r="G85">
        <f t="shared" si="51"/>
        <v>5.8666666666666671</v>
      </c>
      <c r="H85">
        <f t="shared" si="52"/>
        <v>9.5625</v>
      </c>
      <c r="I85">
        <f t="shared" si="53"/>
        <v>7.4358974358974352</v>
      </c>
      <c r="J85">
        <f t="shared" si="54"/>
        <v>0.21304347826086956</v>
      </c>
      <c r="K85">
        <f t="shared" si="55"/>
        <v>0</v>
      </c>
      <c r="L85">
        <f t="shared" si="56"/>
        <v>0</v>
      </c>
      <c r="M85">
        <f t="shared" si="57"/>
        <v>0</v>
      </c>
      <c r="N85">
        <v>1</v>
      </c>
      <c r="O85">
        <f t="shared" si="58"/>
        <v>15.652173913043478</v>
      </c>
      <c r="P85">
        <f t="shared" si="39"/>
        <v>39.730281493868446</v>
      </c>
      <c r="Q85" s="31">
        <f t="shared" si="40"/>
        <v>2.5169718471648117E-2</v>
      </c>
      <c r="R85">
        <f t="shared" si="49"/>
        <v>1008.0000000000001</v>
      </c>
      <c r="S85">
        <f t="shared" si="41"/>
        <v>662004.32295123243</v>
      </c>
      <c r="T85">
        <f t="shared" si="42"/>
        <v>514781.30693710718</v>
      </c>
      <c r="U85">
        <f t="shared" si="43"/>
        <v>0</v>
      </c>
      <c r="V85">
        <f t="shared" si="44"/>
        <v>0</v>
      </c>
      <c r="W85">
        <f t="shared" si="45"/>
        <v>406144.70009382808</v>
      </c>
      <c r="X85">
        <f t="shared" si="46"/>
        <v>1083587.6385902527</v>
      </c>
      <c r="Y85">
        <f t="shared" si="47"/>
        <v>14748.831747478438</v>
      </c>
    </row>
    <row r="86" spans="1:25" x14ac:dyDescent="0.15">
      <c r="A86">
        <v>81</v>
      </c>
      <c r="B86">
        <f t="shared" ref="B86:B105" si="60">B85+$C$85</f>
        <v>16.200000000000006</v>
      </c>
      <c r="D86">
        <f t="shared" si="50"/>
        <v>1032.0000000000005</v>
      </c>
      <c r="E86">
        <f t="shared" si="48"/>
        <v>41598.647976588647</v>
      </c>
      <c r="G86">
        <f t="shared" si="51"/>
        <v>5.9733333333333336</v>
      </c>
      <c r="H86">
        <f t="shared" si="52"/>
        <v>9.6843750000000011</v>
      </c>
      <c r="I86">
        <f t="shared" si="53"/>
        <v>7.5641025641025639</v>
      </c>
      <c r="J86">
        <f t="shared" si="54"/>
        <v>0.21739130434782608</v>
      </c>
      <c r="K86">
        <f t="shared" si="55"/>
        <v>0</v>
      </c>
      <c r="L86">
        <f t="shared" si="56"/>
        <v>0</v>
      </c>
      <c r="M86">
        <f t="shared" si="57"/>
        <v>0</v>
      </c>
      <c r="N86">
        <v>1</v>
      </c>
      <c r="O86">
        <f t="shared" si="58"/>
        <v>15.869565217391305</v>
      </c>
      <c r="P86">
        <f t="shared" si="39"/>
        <v>40.308767419175027</v>
      </c>
      <c r="Q86" s="31">
        <f t="shared" si="40"/>
        <v>2.4808498597858299E-2</v>
      </c>
      <c r="R86">
        <f t="shared" si="49"/>
        <v>1032.0000000000005</v>
      </c>
      <c r="S86">
        <f t="shared" si="41"/>
        <v>696398.80397224112</v>
      </c>
      <c r="T86">
        <f t="shared" si="42"/>
        <v>543931.02071784576</v>
      </c>
      <c r="U86">
        <f t="shared" si="43"/>
        <v>0</v>
      </c>
      <c r="V86">
        <f t="shared" si="44"/>
        <v>0</v>
      </c>
      <c r="W86">
        <f t="shared" si="45"/>
        <v>429539.56130993</v>
      </c>
      <c r="X86">
        <f t="shared" si="46"/>
        <v>1141172.8931346403</v>
      </c>
      <c r="Y86">
        <f t="shared" si="47"/>
        <v>15632.505385406032</v>
      </c>
    </row>
    <row r="87" spans="1:25" x14ac:dyDescent="0.15">
      <c r="A87">
        <v>82</v>
      </c>
      <c r="B87">
        <f t="shared" si="60"/>
        <v>16.600000000000005</v>
      </c>
      <c r="D87">
        <f t="shared" si="50"/>
        <v>1056.0000000000002</v>
      </c>
      <c r="E87">
        <f t="shared" si="48"/>
        <v>43176.939531772587</v>
      </c>
      <c r="G87">
        <f t="shared" si="51"/>
        <v>6.08</v>
      </c>
      <c r="H87">
        <f t="shared" si="52"/>
        <v>9.8062500000000004</v>
      </c>
      <c r="I87">
        <f t="shared" si="53"/>
        <v>7.6923076923076916</v>
      </c>
      <c r="J87">
        <f t="shared" si="54"/>
        <v>0.22173913043478261</v>
      </c>
      <c r="K87">
        <f t="shared" si="55"/>
        <v>0</v>
      </c>
      <c r="L87">
        <f t="shared" si="56"/>
        <v>0</v>
      </c>
      <c r="M87">
        <f t="shared" si="57"/>
        <v>0</v>
      </c>
      <c r="N87">
        <v>1</v>
      </c>
      <c r="O87">
        <f t="shared" si="58"/>
        <v>16.086956521739129</v>
      </c>
      <c r="P87">
        <f t="shared" si="39"/>
        <v>40.887253344481607</v>
      </c>
      <c r="Q87" s="31">
        <f t="shared" si="40"/>
        <v>2.4457500032463445E-2</v>
      </c>
      <c r="R87">
        <f t="shared" si="49"/>
        <v>1056.0000000000002</v>
      </c>
      <c r="S87">
        <f t="shared" si="41"/>
        <v>731917.3116598397</v>
      </c>
      <c r="T87">
        <f t="shared" si="42"/>
        <v>574137.22540361003</v>
      </c>
      <c r="U87">
        <f t="shared" si="43"/>
        <v>0</v>
      </c>
      <c r="V87">
        <f t="shared" si="44"/>
        <v>0</v>
      </c>
      <c r="W87">
        <f t="shared" si="45"/>
        <v>453798.06295901345</v>
      </c>
      <c r="X87">
        <f t="shared" si="46"/>
        <v>1200695.6757353756</v>
      </c>
      <c r="Y87">
        <f t="shared" si="47"/>
        <v>16550.129584460585</v>
      </c>
    </row>
    <row r="88" spans="1:25" x14ac:dyDescent="0.15">
      <c r="A88">
        <v>83</v>
      </c>
      <c r="B88">
        <f t="shared" si="60"/>
        <v>17.000000000000004</v>
      </c>
      <c r="D88">
        <f t="shared" si="50"/>
        <v>1080.0000000000002</v>
      </c>
      <c r="E88">
        <f t="shared" si="48"/>
        <v>44782.998411371249</v>
      </c>
      <c r="G88">
        <f t="shared" si="51"/>
        <v>6.1866666666666674</v>
      </c>
      <c r="H88">
        <f t="shared" si="52"/>
        <v>9.9281249999999996</v>
      </c>
      <c r="I88">
        <f t="shared" si="53"/>
        <v>7.8205128205128194</v>
      </c>
      <c r="J88">
        <f t="shared" si="54"/>
        <v>0.22608695652173913</v>
      </c>
      <c r="K88">
        <f t="shared" si="55"/>
        <v>0</v>
      </c>
      <c r="L88">
        <f t="shared" si="56"/>
        <v>0</v>
      </c>
      <c r="M88">
        <f t="shared" si="57"/>
        <v>0</v>
      </c>
      <c r="N88">
        <v>1</v>
      </c>
      <c r="O88">
        <f t="shared" si="58"/>
        <v>16.304347826086957</v>
      </c>
      <c r="P88">
        <f t="shared" si="39"/>
        <v>41.465739269788187</v>
      </c>
      <c r="Q88" s="31">
        <f t="shared" si="40"/>
        <v>2.4116294984968398E-2</v>
      </c>
      <c r="R88">
        <f t="shared" si="49"/>
        <v>1080.0000000000002</v>
      </c>
      <c r="S88">
        <f t="shared" si="41"/>
        <v>768577.39601402881</v>
      </c>
      <c r="T88">
        <f t="shared" si="42"/>
        <v>605418.38253286202</v>
      </c>
      <c r="U88">
        <f t="shared" si="43"/>
        <v>0</v>
      </c>
      <c r="V88">
        <f t="shared" si="44"/>
        <v>0</v>
      </c>
      <c r="W88">
        <f t="shared" si="45"/>
        <v>478935.5650410786</v>
      </c>
      <c r="X88">
        <f t="shared" si="46"/>
        <v>1262187.2907402862</v>
      </c>
      <c r="Y88">
        <f t="shared" si="47"/>
        <v>17502.330431598635</v>
      </c>
    </row>
    <row r="89" spans="1:25" x14ac:dyDescent="0.15">
      <c r="A89">
        <v>84</v>
      </c>
      <c r="B89">
        <f t="shared" si="60"/>
        <v>17.400000000000002</v>
      </c>
      <c r="D89">
        <f t="shared" si="50"/>
        <v>1104.0000000000002</v>
      </c>
      <c r="E89">
        <f t="shared" si="48"/>
        <v>46416.824615384627</v>
      </c>
      <c r="G89">
        <f t="shared" si="51"/>
        <v>6.2933333333333339</v>
      </c>
      <c r="H89">
        <f t="shared" si="52"/>
        <v>10.050000000000001</v>
      </c>
      <c r="I89">
        <f t="shared" si="53"/>
        <v>7.948717948717948</v>
      </c>
      <c r="J89">
        <f t="shared" si="54"/>
        <v>0.23043478260869565</v>
      </c>
      <c r="K89">
        <f t="shared" si="55"/>
        <v>0</v>
      </c>
      <c r="L89">
        <f t="shared" si="56"/>
        <v>0</v>
      </c>
      <c r="M89">
        <f t="shared" si="57"/>
        <v>0</v>
      </c>
      <c r="N89">
        <v>1</v>
      </c>
      <c r="O89">
        <f t="shared" si="58"/>
        <v>16.521739130434781</v>
      </c>
      <c r="P89">
        <f t="shared" si="39"/>
        <v>42.044225195094761</v>
      </c>
      <c r="Q89" s="31">
        <f t="shared" si="40"/>
        <v>2.3784479208732535E-2</v>
      </c>
      <c r="R89">
        <f t="shared" si="49"/>
        <v>1104.0000000000002</v>
      </c>
      <c r="S89">
        <f t="shared" si="41"/>
        <v>806396.60703480826</v>
      </c>
      <c r="T89">
        <f t="shared" si="42"/>
        <v>637792.95364406309</v>
      </c>
      <c r="U89">
        <f t="shared" si="43"/>
        <v>0</v>
      </c>
      <c r="V89">
        <f t="shared" si="44"/>
        <v>0</v>
      </c>
      <c r="W89">
        <f t="shared" si="45"/>
        <v>504967.42755612539</v>
      </c>
      <c r="X89">
        <f t="shared" si="46"/>
        <v>1325679.0424971972</v>
      </c>
      <c r="Y89">
        <f t="shared" si="47"/>
        <v>18489.734013776695</v>
      </c>
    </row>
    <row r="90" spans="1:25" x14ac:dyDescent="0.15">
      <c r="A90">
        <v>85</v>
      </c>
      <c r="B90">
        <f t="shared" si="60"/>
        <v>17.8</v>
      </c>
      <c r="D90">
        <f t="shared" si="50"/>
        <v>1128</v>
      </c>
      <c r="E90">
        <f t="shared" si="48"/>
        <v>48078.418143812705</v>
      </c>
      <c r="G90">
        <f t="shared" si="51"/>
        <v>6.4</v>
      </c>
      <c r="H90">
        <f t="shared" si="52"/>
        <v>10.171875</v>
      </c>
      <c r="I90">
        <f t="shared" si="53"/>
        <v>8.0769230769230766</v>
      </c>
      <c r="J90">
        <f t="shared" si="54"/>
        <v>0.23478260869565218</v>
      </c>
      <c r="K90">
        <f t="shared" si="55"/>
        <v>0</v>
      </c>
      <c r="L90">
        <f t="shared" si="56"/>
        <v>0</v>
      </c>
      <c r="M90">
        <f t="shared" si="57"/>
        <v>0</v>
      </c>
      <c r="N90">
        <v>1</v>
      </c>
      <c r="O90">
        <f t="shared" si="58"/>
        <v>16.739130434782609</v>
      </c>
      <c r="P90">
        <f t="shared" si="39"/>
        <v>42.622711120401334</v>
      </c>
      <c r="Q90" s="31">
        <f t="shared" si="40"/>
        <v>2.3461670403254819E-2</v>
      </c>
      <c r="R90">
        <f t="shared" si="49"/>
        <v>1128</v>
      </c>
      <c r="S90">
        <f t="shared" si="41"/>
        <v>845392.49472217774</v>
      </c>
      <c r="T90">
        <f t="shared" si="42"/>
        <v>671279.40027567465</v>
      </c>
      <c r="U90">
        <f t="shared" si="43"/>
        <v>0</v>
      </c>
      <c r="V90">
        <f t="shared" si="44"/>
        <v>0</v>
      </c>
      <c r="W90">
        <f t="shared" si="45"/>
        <v>531909.01050415367</v>
      </c>
      <c r="X90">
        <f t="shared" si="46"/>
        <v>1391202.2353539346</v>
      </c>
      <c r="Y90">
        <f t="shared" si="47"/>
        <v>19512.966417951291</v>
      </c>
    </row>
    <row r="91" spans="1:25" x14ac:dyDescent="0.15">
      <c r="A91">
        <v>86</v>
      </c>
      <c r="B91">
        <f t="shared" si="60"/>
        <v>18.2</v>
      </c>
      <c r="D91">
        <f t="shared" si="50"/>
        <v>1152</v>
      </c>
      <c r="E91">
        <f t="shared" si="48"/>
        <v>49767.778996655521</v>
      </c>
      <c r="G91">
        <f t="shared" si="51"/>
        <v>6.5066666666666668</v>
      </c>
      <c r="H91">
        <f t="shared" si="52"/>
        <v>10.293750000000001</v>
      </c>
      <c r="I91">
        <f t="shared" si="53"/>
        <v>8.2051282051282044</v>
      </c>
      <c r="J91">
        <f t="shared" si="54"/>
        <v>0.2391304347826087</v>
      </c>
      <c r="K91">
        <f t="shared" si="55"/>
        <v>0</v>
      </c>
      <c r="L91">
        <f t="shared" si="56"/>
        <v>0</v>
      </c>
      <c r="M91">
        <f t="shared" si="57"/>
        <v>0</v>
      </c>
      <c r="N91">
        <v>1</v>
      </c>
      <c r="O91">
        <f t="shared" si="58"/>
        <v>16.956521739130434</v>
      </c>
      <c r="P91">
        <f t="shared" si="39"/>
        <v>43.201197045707914</v>
      </c>
      <c r="Q91" s="31">
        <f t="shared" si="40"/>
        <v>2.3147506744824124E-2</v>
      </c>
      <c r="R91">
        <f t="shared" si="49"/>
        <v>1152</v>
      </c>
      <c r="S91">
        <f t="shared" si="41"/>
        <v>885582.60907613824</v>
      </c>
      <c r="T91">
        <f t="shared" si="42"/>
        <v>705896.18396615866</v>
      </c>
      <c r="U91">
        <f t="shared" si="43"/>
        <v>0</v>
      </c>
      <c r="V91">
        <f t="shared" si="44"/>
        <v>0</v>
      </c>
      <c r="W91">
        <f t="shared" si="45"/>
        <v>559775.67388516385</v>
      </c>
      <c r="X91">
        <f t="shared" si="46"/>
        <v>1458788.1736583251</v>
      </c>
      <c r="Y91">
        <f t="shared" si="47"/>
        <v>20572.653731078946</v>
      </c>
    </row>
    <row r="92" spans="1:25" x14ac:dyDescent="0.15">
      <c r="A92">
        <v>87</v>
      </c>
      <c r="B92">
        <f t="shared" si="60"/>
        <v>18.599999999999998</v>
      </c>
      <c r="D92">
        <f t="shared" si="50"/>
        <v>1175.9999999999998</v>
      </c>
      <c r="E92">
        <f t="shared" si="48"/>
        <v>51484.90717391303</v>
      </c>
      <c r="G92">
        <f t="shared" si="51"/>
        <v>6.6133333333333342</v>
      </c>
      <c r="H92">
        <f t="shared" si="52"/>
        <v>10.415625</v>
      </c>
      <c r="I92">
        <f t="shared" si="53"/>
        <v>8.3333333333333321</v>
      </c>
      <c r="J92">
        <f t="shared" si="54"/>
        <v>0.24347826086956523</v>
      </c>
      <c r="K92">
        <f t="shared" si="55"/>
        <v>0</v>
      </c>
      <c r="L92">
        <f t="shared" si="56"/>
        <v>0</v>
      </c>
      <c r="M92">
        <f t="shared" si="57"/>
        <v>0</v>
      </c>
      <c r="N92">
        <v>1</v>
      </c>
      <c r="O92">
        <f t="shared" si="58"/>
        <v>17.173913043478262</v>
      </c>
      <c r="P92">
        <f t="shared" si="39"/>
        <v>43.779682971014495</v>
      </c>
      <c r="Q92" s="31">
        <f t="shared" si="40"/>
        <v>2.2841645533661737E-2</v>
      </c>
      <c r="R92">
        <f t="shared" si="49"/>
        <v>1175.9999999999998</v>
      </c>
      <c r="S92">
        <f t="shared" si="41"/>
        <v>926984.50009668851</v>
      </c>
      <c r="T92">
        <f t="shared" si="42"/>
        <v>741661.76625397603</v>
      </c>
      <c r="U92">
        <f t="shared" si="43"/>
        <v>0</v>
      </c>
      <c r="V92">
        <f t="shared" si="44"/>
        <v>0</v>
      </c>
      <c r="W92">
        <f t="shared" si="45"/>
        <v>588582.7776991555</v>
      </c>
      <c r="X92">
        <f t="shared" si="46"/>
        <v>1528468.1617581944</v>
      </c>
      <c r="Y92">
        <f t="shared" si="47"/>
        <v>21669.422040116173</v>
      </c>
    </row>
    <row r="93" spans="1:25" x14ac:dyDescent="0.15">
      <c r="A93">
        <v>88</v>
      </c>
      <c r="B93">
        <f t="shared" si="60"/>
        <v>18.999999999999996</v>
      </c>
      <c r="D93">
        <f t="shared" si="50"/>
        <v>1199.9999999999998</v>
      </c>
      <c r="E93">
        <f t="shared" si="48"/>
        <v>53229.80267558527</v>
      </c>
      <c r="G93">
        <f t="shared" si="51"/>
        <v>6.7200000000000006</v>
      </c>
      <c r="H93">
        <f t="shared" si="52"/>
        <v>10.5375</v>
      </c>
      <c r="I93">
        <f t="shared" si="53"/>
        <v>8.4615384615384599</v>
      </c>
      <c r="J93">
        <f t="shared" si="54"/>
        <v>0.24782608695652175</v>
      </c>
      <c r="K93">
        <f t="shared" si="55"/>
        <v>0</v>
      </c>
      <c r="L93">
        <f t="shared" si="56"/>
        <v>0</v>
      </c>
      <c r="M93">
        <f t="shared" si="57"/>
        <v>0</v>
      </c>
      <c r="N93">
        <v>1</v>
      </c>
      <c r="O93">
        <f t="shared" si="58"/>
        <v>17.391304347826086</v>
      </c>
      <c r="P93">
        <f t="shared" si="39"/>
        <v>44.358168896321068</v>
      </c>
      <c r="Q93" s="31">
        <f t="shared" si="40"/>
        <v>2.2543761946921505E-2</v>
      </c>
      <c r="R93">
        <f t="shared" si="49"/>
        <v>1199.9999999999998</v>
      </c>
      <c r="S93">
        <f t="shared" si="41"/>
        <v>969615.71778382943</v>
      </c>
      <c r="T93">
        <f t="shared" si="42"/>
        <v>778594.60867758899</v>
      </c>
      <c r="U93">
        <f t="shared" si="43"/>
        <v>0</v>
      </c>
      <c r="V93">
        <f t="shared" si="44"/>
        <v>0</v>
      </c>
      <c r="W93">
        <f t="shared" si="45"/>
        <v>618345.68194612907</v>
      </c>
      <c r="X93">
        <f t="shared" si="46"/>
        <v>1600273.5040013688</v>
      </c>
      <c r="Y93">
        <f t="shared" si="47"/>
        <v>22803.897432019508</v>
      </c>
    </row>
    <row r="94" spans="1:25" x14ac:dyDescent="0.15">
      <c r="A94">
        <v>89</v>
      </c>
      <c r="B94">
        <f t="shared" si="60"/>
        <v>19.399999999999995</v>
      </c>
      <c r="D94">
        <f t="shared" si="50"/>
        <v>1223.9999999999998</v>
      </c>
      <c r="E94">
        <f t="shared" si="48"/>
        <v>55002.465501672232</v>
      </c>
      <c r="G94">
        <f t="shared" si="51"/>
        <v>6.8266666666666671</v>
      </c>
      <c r="H94">
        <f t="shared" si="52"/>
        <v>10.659375000000001</v>
      </c>
      <c r="I94">
        <f t="shared" si="53"/>
        <v>8.5897435897435894</v>
      </c>
      <c r="J94">
        <f t="shared" si="54"/>
        <v>0.25217391304347825</v>
      </c>
      <c r="K94">
        <f t="shared" si="55"/>
        <v>0</v>
      </c>
      <c r="L94">
        <f t="shared" si="56"/>
        <v>0</v>
      </c>
      <c r="M94">
        <f t="shared" si="57"/>
        <v>0</v>
      </c>
      <c r="N94">
        <v>1</v>
      </c>
      <c r="O94">
        <f t="shared" si="58"/>
        <v>17.608695652173914</v>
      </c>
      <c r="P94">
        <f t="shared" si="39"/>
        <v>44.936654821627648</v>
      </c>
      <c r="Q94" s="31">
        <f t="shared" si="40"/>
        <v>2.2253547888008523E-2</v>
      </c>
      <c r="R94">
        <f t="shared" si="49"/>
        <v>1223.9999999999998</v>
      </c>
      <c r="S94">
        <f t="shared" si="41"/>
        <v>1013493.812137561</v>
      </c>
      <c r="T94">
        <f t="shared" si="42"/>
        <v>816713.17277545889</v>
      </c>
      <c r="U94">
        <f t="shared" si="43"/>
        <v>0</v>
      </c>
      <c r="V94">
        <f t="shared" si="44"/>
        <v>0</v>
      </c>
      <c r="W94">
        <f t="shared" si="45"/>
        <v>649079.7466260842</v>
      </c>
      <c r="X94">
        <f t="shared" si="46"/>
        <v>1674235.5047356749</v>
      </c>
      <c r="Y94">
        <f t="shared" si="47"/>
        <v>23976.705993745465</v>
      </c>
    </row>
    <row r="95" spans="1:25" x14ac:dyDescent="0.15">
      <c r="A95">
        <v>90</v>
      </c>
      <c r="B95">
        <f t="shared" si="60"/>
        <v>19.799999999999994</v>
      </c>
      <c r="D95">
        <f t="shared" si="50"/>
        <v>1247.9999999999995</v>
      </c>
      <c r="E95">
        <f t="shared" si="48"/>
        <v>56802.895652173887</v>
      </c>
      <c r="G95">
        <f t="shared" si="51"/>
        <v>6.9333333333333336</v>
      </c>
      <c r="H95">
        <f t="shared" si="52"/>
        <v>10.78125</v>
      </c>
      <c r="I95">
        <f t="shared" si="53"/>
        <v>8.7179487179487172</v>
      </c>
      <c r="J95">
        <f t="shared" si="54"/>
        <v>0.2565217391304348</v>
      </c>
      <c r="K95">
        <f t="shared" si="55"/>
        <v>0</v>
      </c>
      <c r="L95">
        <f t="shared" si="56"/>
        <v>0</v>
      </c>
      <c r="M95">
        <f t="shared" si="57"/>
        <v>0</v>
      </c>
      <c r="N95">
        <v>1</v>
      </c>
      <c r="O95">
        <f t="shared" si="58"/>
        <v>17.826086956521738</v>
      </c>
      <c r="P95">
        <f t="shared" si="39"/>
        <v>45.515140746934222</v>
      </c>
      <c r="Q95" s="31">
        <f t="shared" si="40"/>
        <v>2.1970710923647035E-2</v>
      </c>
      <c r="R95">
        <f t="shared" si="49"/>
        <v>1247.9999999999995</v>
      </c>
      <c r="S95">
        <f t="shared" si="41"/>
        <v>1058636.3331578823</v>
      </c>
      <c r="T95">
        <f t="shared" si="42"/>
        <v>856035.9200860468</v>
      </c>
      <c r="U95">
        <f t="shared" si="43"/>
        <v>0</v>
      </c>
      <c r="V95">
        <f t="shared" si="44"/>
        <v>0</v>
      </c>
      <c r="W95">
        <f t="shared" si="45"/>
        <v>680800.33173902077</v>
      </c>
      <c r="X95">
        <f t="shared" si="46"/>
        <v>1750385.4683089373</v>
      </c>
      <c r="Y95">
        <f t="shared" si="47"/>
        <v>25188.473812250562</v>
      </c>
    </row>
    <row r="96" spans="1:25" x14ac:dyDescent="0.15">
      <c r="A96">
        <v>91</v>
      </c>
      <c r="B96">
        <f t="shared" si="60"/>
        <v>20.199999999999992</v>
      </c>
      <c r="D96">
        <f t="shared" si="50"/>
        <v>1271.9999999999995</v>
      </c>
      <c r="E96">
        <f t="shared" si="48"/>
        <v>58631.09312709028</v>
      </c>
      <c r="G96">
        <f t="shared" si="51"/>
        <v>7.04</v>
      </c>
      <c r="H96">
        <f t="shared" si="52"/>
        <v>10.903125000000001</v>
      </c>
      <c r="I96">
        <f t="shared" si="53"/>
        <v>8.8461538461538449</v>
      </c>
      <c r="J96">
        <f t="shared" si="54"/>
        <v>0.2608695652173913</v>
      </c>
      <c r="K96">
        <f t="shared" si="55"/>
        <v>0</v>
      </c>
      <c r="L96">
        <f t="shared" si="56"/>
        <v>0</v>
      </c>
      <c r="M96">
        <f t="shared" si="57"/>
        <v>0</v>
      </c>
      <c r="N96">
        <v>1</v>
      </c>
      <c r="O96">
        <f t="shared" si="58"/>
        <v>18.043478260869566</v>
      </c>
      <c r="P96">
        <f t="shared" si="39"/>
        <v>46.093626672240802</v>
      </c>
      <c r="Q96" s="31">
        <f t="shared" si="40"/>
        <v>2.1694973300988595E-2</v>
      </c>
      <c r="R96">
        <f t="shared" si="49"/>
        <v>1271.9999999999995</v>
      </c>
      <c r="S96">
        <f t="shared" si="41"/>
        <v>1105060.8308447946</v>
      </c>
      <c r="T96">
        <f t="shared" si="42"/>
        <v>896581.31214781478</v>
      </c>
      <c r="U96">
        <f t="shared" si="43"/>
        <v>0</v>
      </c>
      <c r="V96">
        <f t="shared" si="44"/>
        <v>0</v>
      </c>
      <c r="W96">
        <f t="shared" si="45"/>
        <v>713522.79728493933</v>
      </c>
      <c r="X96">
        <f t="shared" si="46"/>
        <v>1828754.6990689838</v>
      </c>
      <c r="Y96">
        <f t="shared" si="47"/>
        <v>26439.826974491327</v>
      </c>
    </row>
    <row r="97" spans="1:25" x14ac:dyDescent="0.15">
      <c r="A97">
        <v>92</v>
      </c>
      <c r="B97">
        <f t="shared" si="60"/>
        <v>20.599999999999991</v>
      </c>
      <c r="D97">
        <f t="shared" si="50"/>
        <v>1295.9999999999995</v>
      </c>
      <c r="E97">
        <f t="shared" si="48"/>
        <v>60487.057926421388</v>
      </c>
      <c r="G97">
        <f t="shared" si="51"/>
        <v>7.1466666666666674</v>
      </c>
      <c r="H97">
        <f t="shared" si="52"/>
        <v>11.025</v>
      </c>
      <c r="I97">
        <f t="shared" si="53"/>
        <v>8.9743589743589745</v>
      </c>
      <c r="J97">
        <f t="shared" si="54"/>
        <v>0.26521739130434785</v>
      </c>
      <c r="K97">
        <f t="shared" si="55"/>
        <v>0</v>
      </c>
      <c r="L97">
        <f t="shared" si="56"/>
        <v>0</v>
      </c>
      <c r="M97">
        <f t="shared" si="57"/>
        <v>0</v>
      </c>
      <c r="N97">
        <v>1</v>
      </c>
      <c r="O97">
        <f t="shared" si="58"/>
        <v>18.260869565217391</v>
      </c>
      <c r="P97">
        <f t="shared" si="39"/>
        <v>46.672112597547383</v>
      </c>
      <c r="Q97" s="31">
        <f t="shared" si="40"/>
        <v>2.1426071037816057E-2</v>
      </c>
      <c r="R97">
        <f t="shared" si="49"/>
        <v>1295.9999999999995</v>
      </c>
      <c r="S97">
        <f t="shared" si="41"/>
        <v>1152784.8551982972</v>
      </c>
      <c r="T97">
        <f t="shared" si="42"/>
        <v>938367.81049922446</v>
      </c>
      <c r="U97">
        <f t="shared" si="43"/>
        <v>0</v>
      </c>
      <c r="V97">
        <f t="shared" si="44"/>
        <v>0</v>
      </c>
      <c r="W97">
        <f t="shared" si="45"/>
        <v>747262.50326383964</v>
      </c>
      <c r="X97">
        <f t="shared" si="46"/>
        <v>1909374.5013636393</v>
      </c>
      <c r="Y97">
        <f t="shared" si="47"/>
        <v>27731.391567424289</v>
      </c>
    </row>
    <row r="98" spans="1:25" x14ac:dyDescent="0.15">
      <c r="A98">
        <v>93</v>
      </c>
      <c r="B98">
        <f t="shared" si="60"/>
        <v>20.999999999999989</v>
      </c>
      <c r="D98">
        <f t="shared" si="50"/>
        <v>1319.9999999999993</v>
      </c>
      <c r="E98">
        <f t="shared" si="48"/>
        <v>62370.790050167183</v>
      </c>
      <c r="G98">
        <f t="shared" si="51"/>
        <v>7.2533333333333339</v>
      </c>
      <c r="H98">
        <f t="shared" si="52"/>
        <v>11.146875</v>
      </c>
      <c r="I98">
        <f t="shared" si="53"/>
        <v>9.1025641025641022</v>
      </c>
      <c r="J98">
        <f t="shared" si="54"/>
        <v>0.26956521739130435</v>
      </c>
      <c r="K98">
        <f t="shared" si="55"/>
        <v>0</v>
      </c>
      <c r="L98">
        <f t="shared" si="56"/>
        <v>0</v>
      </c>
      <c r="M98">
        <f t="shared" si="57"/>
        <v>0</v>
      </c>
      <c r="N98">
        <v>1</v>
      </c>
      <c r="O98">
        <f t="shared" si="58"/>
        <v>18.478260869565219</v>
      </c>
      <c r="P98">
        <f t="shared" si="39"/>
        <v>47.250598522853956</v>
      </c>
      <c r="Q98" s="31">
        <f t="shared" si="40"/>
        <v>2.1163753079578972E-2</v>
      </c>
      <c r="R98">
        <f t="shared" si="49"/>
        <v>1319.9999999999993</v>
      </c>
      <c r="S98">
        <f t="shared" si="41"/>
        <v>1201825.9562183896</v>
      </c>
      <c r="T98">
        <f t="shared" si="42"/>
        <v>981413.87667873641</v>
      </c>
      <c r="U98">
        <f t="shared" si="43"/>
        <v>0</v>
      </c>
      <c r="V98">
        <f t="shared" si="44"/>
        <v>0</v>
      </c>
      <c r="W98">
        <f t="shared" si="45"/>
        <v>782034.8096757211</v>
      </c>
      <c r="X98">
        <f t="shared" si="46"/>
        <v>1992276.1795407298</v>
      </c>
      <c r="Y98">
        <f t="shared" si="47"/>
        <v>29063.793678005935</v>
      </c>
    </row>
    <row r="99" spans="1:25" x14ac:dyDescent="0.15">
      <c r="A99">
        <v>94</v>
      </c>
      <c r="B99">
        <f t="shared" si="60"/>
        <v>21.399999999999988</v>
      </c>
      <c r="D99">
        <f t="shared" si="50"/>
        <v>1343.9999999999993</v>
      </c>
      <c r="E99">
        <f t="shared" si="48"/>
        <v>64282.289498327722</v>
      </c>
      <c r="G99">
        <f t="shared" si="51"/>
        <v>7.36</v>
      </c>
      <c r="H99">
        <f t="shared" si="52"/>
        <v>11.268750000000001</v>
      </c>
      <c r="I99">
        <f t="shared" si="53"/>
        <v>9.2307692307692299</v>
      </c>
      <c r="J99">
        <f t="shared" si="54"/>
        <v>0.2739130434782609</v>
      </c>
      <c r="K99">
        <f t="shared" si="55"/>
        <v>0</v>
      </c>
      <c r="L99">
        <f t="shared" si="56"/>
        <v>0</v>
      </c>
      <c r="M99">
        <f t="shared" si="57"/>
        <v>0</v>
      </c>
      <c r="N99">
        <v>1</v>
      </c>
      <c r="O99">
        <f t="shared" si="58"/>
        <v>18.695652173913043</v>
      </c>
      <c r="P99">
        <f t="shared" si="39"/>
        <v>47.829084448160529</v>
      </c>
      <c r="Q99" s="31">
        <f t="shared" si="40"/>
        <v>2.0907780517602177E-2</v>
      </c>
      <c r="R99">
        <f t="shared" si="49"/>
        <v>1343.9999999999993</v>
      </c>
      <c r="S99">
        <f t="shared" si="41"/>
        <v>1252201.6839050732</v>
      </c>
      <c r="T99">
        <f t="shared" si="42"/>
        <v>1025737.9722248134</v>
      </c>
      <c r="U99">
        <f t="shared" si="43"/>
        <v>0</v>
      </c>
      <c r="V99">
        <f t="shared" si="44"/>
        <v>0</v>
      </c>
      <c r="W99">
        <f t="shared" si="45"/>
        <v>817855.07652058464</v>
      </c>
      <c r="X99">
        <f t="shared" si="46"/>
        <v>2077491.0379480824</v>
      </c>
      <c r="Y99">
        <f t="shared" si="47"/>
        <v>30437.65939319284</v>
      </c>
    </row>
    <row r="100" spans="1:25" x14ac:dyDescent="0.15">
      <c r="A100">
        <v>95</v>
      </c>
      <c r="B100">
        <f t="shared" si="60"/>
        <v>21.799999999999986</v>
      </c>
      <c r="D100">
        <f t="shared" si="50"/>
        <v>1367.9999999999991</v>
      </c>
      <c r="E100">
        <f t="shared" si="48"/>
        <v>66221.556270902962</v>
      </c>
      <c r="G100">
        <f t="shared" si="51"/>
        <v>7.4666666666666668</v>
      </c>
      <c r="H100">
        <f t="shared" si="52"/>
        <v>11.390625</v>
      </c>
      <c r="I100">
        <f t="shared" si="53"/>
        <v>9.3589743589743577</v>
      </c>
      <c r="J100">
        <f t="shared" si="54"/>
        <v>0.27826086956521739</v>
      </c>
      <c r="K100">
        <f t="shared" si="55"/>
        <v>0</v>
      </c>
      <c r="L100">
        <f t="shared" si="56"/>
        <v>0</v>
      </c>
      <c r="M100">
        <f t="shared" si="57"/>
        <v>0</v>
      </c>
      <c r="N100">
        <v>1</v>
      </c>
      <c r="O100">
        <f t="shared" si="58"/>
        <v>18.913043478260867</v>
      </c>
      <c r="P100">
        <f t="shared" si="39"/>
        <v>48.407570373467109</v>
      </c>
      <c r="Q100" s="31">
        <f t="shared" si="40"/>
        <v>2.0657925863350385E-2</v>
      </c>
      <c r="R100">
        <f t="shared" si="49"/>
        <v>1367.9999999999991</v>
      </c>
      <c r="S100">
        <f t="shared" si="41"/>
        <v>1303929.5882583465</v>
      </c>
      <c r="T100">
        <f t="shared" si="42"/>
        <v>1071358.5586759159</v>
      </c>
      <c r="U100">
        <f t="shared" si="43"/>
        <v>0</v>
      </c>
      <c r="V100">
        <f t="shared" si="44"/>
        <v>0</v>
      </c>
      <c r="W100">
        <f t="shared" si="45"/>
        <v>854738.66379842965</v>
      </c>
      <c r="X100">
        <f t="shared" si="46"/>
        <v>2165050.3809335222</v>
      </c>
      <c r="Y100">
        <f t="shared" si="47"/>
        <v>31853.614799941479</v>
      </c>
    </row>
    <row r="101" spans="1:25" x14ac:dyDescent="0.15">
      <c r="A101">
        <v>96</v>
      </c>
      <c r="B101">
        <f t="shared" si="60"/>
        <v>22.199999999999985</v>
      </c>
      <c r="D101">
        <f t="shared" si="50"/>
        <v>1391.9999999999991</v>
      </c>
      <c r="E101">
        <f t="shared" si="48"/>
        <v>68188.590367892932</v>
      </c>
      <c r="G101">
        <f t="shared" si="51"/>
        <v>7.5733333333333341</v>
      </c>
      <c r="H101">
        <f t="shared" si="52"/>
        <v>11.512500000000001</v>
      </c>
      <c r="I101">
        <f t="shared" si="53"/>
        <v>9.4871794871794854</v>
      </c>
      <c r="J101">
        <f t="shared" si="54"/>
        <v>0.28260869565217389</v>
      </c>
      <c r="K101">
        <f t="shared" si="55"/>
        <v>0</v>
      </c>
      <c r="L101">
        <f t="shared" si="56"/>
        <v>0</v>
      </c>
      <c r="M101">
        <f t="shared" si="57"/>
        <v>0</v>
      </c>
      <c r="N101">
        <v>1</v>
      </c>
      <c r="O101">
        <f t="shared" si="58"/>
        <v>19.130434782608695</v>
      </c>
      <c r="P101">
        <f t="shared" ref="P101:P105" si="61">SUM(G101:O101)</f>
        <v>48.98605629877369</v>
      </c>
      <c r="Q101" s="31">
        <f t="shared" ref="Q101:Q105" si="62">N101/P101</f>
        <v>2.0413972374114832E-2</v>
      </c>
      <c r="R101">
        <f t="shared" si="49"/>
        <v>1391.9999999999991</v>
      </c>
      <c r="S101">
        <f t="shared" si="41"/>
        <v>1357027.2192782108</v>
      </c>
      <c r="T101">
        <f t="shared" si="42"/>
        <v>1118294.0975705066</v>
      </c>
      <c r="U101">
        <f t="shared" si="43"/>
        <v>0</v>
      </c>
      <c r="V101">
        <f t="shared" si="44"/>
        <v>0</v>
      </c>
      <c r="W101">
        <f t="shared" si="45"/>
        <v>892700.93150925648</v>
      </c>
      <c r="X101">
        <f t="shared" si="46"/>
        <v>2254985.5128448764</v>
      </c>
      <c r="Y101">
        <f t="shared" si="47"/>
        <v>33312.285985208393</v>
      </c>
    </row>
    <row r="102" spans="1:25" x14ac:dyDescent="0.15">
      <c r="A102">
        <v>97</v>
      </c>
      <c r="B102">
        <f t="shared" si="60"/>
        <v>22.599999999999984</v>
      </c>
      <c r="D102">
        <f t="shared" si="50"/>
        <v>1415.9999999999991</v>
      </c>
      <c r="E102">
        <f t="shared" ref="E102:E105" si="63">D102/Q102</f>
        <v>70183.391789297617</v>
      </c>
      <c r="G102">
        <f t="shared" si="51"/>
        <v>7.6800000000000006</v>
      </c>
      <c r="H102">
        <f t="shared" si="52"/>
        <v>11.634375</v>
      </c>
      <c r="I102">
        <f t="shared" si="53"/>
        <v>9.615384615384615</v>
      </c>
      <c r="J102">
        <f t="shared" si="54"/>
        <v>0.28695652173913044</v>
      </c>
      <c r="K102">
        <f t="shared" si="55"/>
        <v>0</v>
      </c>
      <c r="L102">
        <f t="shared" si="56"/>
        <v>0</v>
      </c>
      <c r="M102">
        <f t="shared" si="57"/>
        <v>0</v>
      </c>
      <c r="N102">
        <v>1</v>
      </c>
      <c r="O102">
        <f t="shared" si="58"/>
        <v>19.34782608695652</v>
      </c>
      <c r="P102">
        <f t="shared" si="61"/>
        <v>49.56454222408027</v>
      </c>
      <c r="Q102" s="31">
        <f t="shared" si="62"/>
        <v>2.0175713425920908E-2</v>
      </c>
      <c r="R102">
        <f t="shared" si="49"/>
        <v>1415.9999999999991</v>
      </c>
      <c r="S102">
        <f t="shared" si="41"/>
        <v>1411512.1269646653</v>
      </c>
      <c r="T102">
        <f t="shared" si="42"/>
        <v>1166563.0504470465</v>
      </c>
      <c r="U102">
        <f t="shared" si="43"/>
        <v>0</v>
      </c>
      <c r="V102">
        <f t="shared" si="44"/>
        <v>0</v>
      </c>
      <c r="W102">
        <f t="shared" si="45"/>
        <v>931757.2396530651</v>
      </c>
      <c r="X102">
        <f t="shared" si="46"/>
        <v>2347327.7380299699</v>
      </c>
      <c r="Y102">
        <f t="shared" si="47"/>
        <v>34814.29903595012</v>
      </c>
    </row>
    <row r="103" spans="1:25" x14ac:dyDescent="0.15">
      <c r="A103">
        <v>98</v>
      </c>
      <c r="B103">
        <f t="shared" si="60"/>
        <v>22.999999999999982</v>
      </c>
      <c r="D103">
        <f t="shared" si="50"/>
        <v>1439.9999999999989</v>
      </c>
      <c r="E103">
        <f t="shared" si="63"/>
        <v>72205.960535116988</v>
      </c>
      <c r="G103">
        <f t="shared" si="51"/>
        <v>7.7866666666666671</v>
      </c>
      <c r="H103">
        <f t="shared" si="52"/>
        <v>11.75625</v>
      </c>
      <c r="I103">
        <f t="shared" si="53"/>
        <v>9.7435897435897427</v>
      </c>
      <c r="J103">
        <f t="shared" si="54"/>
        <v>0.29130434782608694</v>
      </c>
      <c r="K103">
        <f t="shared" si="55"/>
        <v>0</v>
      </c>
      <c r="L103">
        <f t="shared" si="56"/>
        <v>0</v>
      </c>
      <c r="M103">
        <f t="shared" si="57"/>
        <v>0</v>
      </c>
      <c r="N103">
        <v>1</v>
      </c>
      <c r="O103">
        <f t="shared" si="58"/>
        <v>19.565217391304348</v>
      </c>
      <c r="P103">
        <f t="shared" si="61"/>
        <v>50.143028149386843</v>
      </c>
      <c r="Q103" s="31">
        <f t="shared" si="62"/>
        <v>1.9942951929843276E-2</v>
      </c>
      <c r="R103">
        <f t="shared" si="49"/>
        <v>1439.9999999999989</v>
      </c>
      <c r="S103">
        <f t="shared" si="41"/>
        <v>1467401.8613177093</v>
      </c>
      <c r="T103">
        <f t="shared" si="42"/>
        <v>1216183.8788439962</v>
      </c>
      <c r="U103">
        <f t="shared" si="43"/>
        <v>0</v>
      </c>
      <c r="V103">
        <f t="shared" si="44"/>
        <v>0</v>
      </c>
      <c r="W103">
        <f t="shared" si="45"/>
        <v>971922.94822985481</v>
      </c>
      <c r="X103">
        <f t="shared" si="46"/>
        <v>2442108.3608366288</v>
      </c>
      <c r="Y103">
        <f t="shared" si="47"/>
        <v>36360.280039123136</v>
      </c>
    </row>
    <row r="104" spans="1:25" x14ac:dyDescent="0.15">
      <c r="A104">
        <v>99</v>
      </c>
      <c r="B104">
        <f t="shared" si="60"/>
        <v>23.399999999999981</v>
      </c>
      <c r="D104">
        <f t="shared" si="50"/>
        <v>1463.9999999999989</v>
      </c>
      <c r="E104">
        <f t="shared" si="63"/>
        <v>74256.296605351105</v>
      </c>
      <c r="G104">
        <f t="shared" si="51"/>
        <v>7.8933333333333335</v>
      </c>
      <c r="H104">
        <f t="shared" si="52"/>
        <v>11.878125000000001</v>
      </c>
      <c r="I104">
        <f t="shared" si="53"/>
        <v>9.8717948717948705</v>
      </c>
      <c r="J104">
        <f t="shared" si="54"/>
        <v>0.29565217391304349</v>
      </c>
      <c r="K104">
        <f t="shared" si="55"/>
        <v>0</v>
      </c>
      <c r="L104">
        <f t="shared" si="56"/>
        <v>0</v>
      </c>
      <c r="M104">
        <f t="shared" si="57"/>
        <v>0</v>
      </c>
      <c r="N104">
        <v>1</v>
      </c>
      <c r="O104">
        <f t="shared" si="58"/>
        <v>19.782608695652172</v>
      </c>
      <c r="P104">
        <f t="shared" si="61"/>
        <v>50.721514074693417</v>
      </c>
      <c r="Q104" s="31">
        <f t="shared" si="62"/>
        <v>1.9715499788263063E-2</v>
      </c>
      <c r="R104">
        <f t="shared" si="49"/>
        <v>1463.9999999999989</v>
      </c>
      <c r="S104">
        <f t="shared" si="41"/>
        <v>1524713.9723373449</v>
      </c>
      <c r="T104">
        <f t="shared" si="42"/>
        <v>1267175.0442998188</v>
      </c>
      <c r="U104">
        <f t="shared" si="43"/>
        <v>0</v>
      </c>
      <c r="V104">
        <f t="shared" si="44"/>
        <v>0</v>
      </c>
      <c r="W104">
        <f t="shared" si="45"/>
        <v>1013213.4172396268</v>
      </c>
      <c r="X104">
        <f t="shared" si="46"/>
        <v>2539358.6856126804</v>
      </c>
      <c r="Y104">
        <f t="shared" si="47"/>
        <v>37950.855081684022</v>
      </c>
    </row>
    <row r="105" spans="1:25" x14ac:dyDescent="0.15">
      <c r="A105">
        <v>100</v>
      </c>
      <c r="B105">
        <f t="shared" si="60"/>
        <v>23.799999999999979</v>
      </c>
      <c r="D105">
        <f t="shared" si="50"/>
        <v>1487.9999999999989</v>
      </c>
      <c r="E105">
        <f t="shared" si="63"/>
        <v>76334.399999999936</v>
      </c>
      <c r="G105">
        <f t="shared" si="51"/>
        <v>8</v>
      </c>
      <c r="H105">
        <f t="shared" si="52"/>
        <v>12</v>
      </c>
      <c r="I105">
        <f t="shared" si="53"/>
        <v>10</v>
      </c>
      <c r="J105">
        <f t="shared" si="54"/>
        <v>0.3</v>
      </c>
      <c r="K105">
        <f t="shared" si="55"/>
        <v>0</v>
      </c>
      <c r="L105">
        <f t="shared" si="56"/>
        <v>0</v>
      </c>
      <c r="M105">
        <f t="shared" si="57"/>
        <v>0</v>
      </c>
      <c r="N105">
        <v>1</v>
      </c>
      <c r="O105">
        <f t="shared" si="58"/>
        <v>20</v>
      </c>
      <c r="P105">
        <f t="shared" si="61"/>
        <v>51.3</v>
      </c>
      <c r="Q105" s="31">
        <f t="shared" si="62"/>
        <v>1.9493177387914232E-2</v>
      </c>
      <c r="R105">
        <f t="shared" si="49"/>
        <v>1487.9999999999989</v>
      </c>
      <c r="S105">
        <f t="shared" si="41"/>
        <v>1583466.0100235704</v>
      </c>
      <c r="T105">
        <f t="shared" si="42"/>
        <v>1319555.0083529754</v>
      </c>
      <c r="U105">
        <f t="shared" si="43"/>
        <v>0</v>
      </c>
      <c r="V105">
        <f t="shared" si="44"/>
        <v>0</v>
      </c>
      <c r="W105">
        <f t="shared" si="45"/>
        <v>1055644.0066823803</v>
      </c>
      <c r="X105">
        <f t="shared" si="46"/>
        <v>2639110.0167059507</v>
      </c>
      <c r="Y105">
        <f t="shared" si="47"/>
        <v>39586.650250589264</v>
      </c>
    </row>
    <row r="106" spans="1:25" x14ac:dyDescent="0.15">
      <c r="A106" s="35"/>
      <c r="Q106" s="31"/>
    </row>
    <row r="108" spans="1:25" x14ac:dyDescent="0.15">
      <c r="H108" s="62"/>
    </row>
  </sheetData>
  <phoneticPr fontId="1" type="noConversion"/>
  <conditionalFormatting sqref="A5:Y105">
    <cfRule type="expression" dxfId="118" priority="2">
      <formula>MOD($A5,10)=0</formula>
    </cfRule>
  </conditionalFormatting>
  <conditionalFormatting sqref="A6:A105">
    <cfRule type="expression" dxfId="117" priority="1">
      <formula>MOD(A6,10)=0</formula>
    </cfRule>
  </conditionalFormatting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106"/>
  <sheetViews>
    <sheetView workbookViewId="0">
      <pane xSplit="8" ySplit="4" topLeftCell="I5" activePane="bottomRight" state="frozen"/>
      <selection pane="topRight" activeCell="I1" sqref="I1"/>
      <selection pane="bottomLeft" activeCell="A5" sqref="A5"/>
      <selection pane="bottomRight" activeCell="I7" sqref="H7:I7"/>
    </sheetView>
  </sheetViews>
  <sheetFormatPr defaultRowHeight="13.5" x14ac:dyDescent="0.15"/>
  <cols>
    <col min="1" max="1" width="13.875" bestFit="1" customWidth="1"/>
    <col min="2" max="2" width="17" customWidth="1"/>
    <col min="3" max="3" width="12.75" customWidth="1"/>
    <col min="4" max="4" width="15" bestFit="1" customWidth="1"/>
    <col min="5" max="6" width="12.75" bestFit="1" customWidth="1"/>
    <col min="7" max="9" width="12.75" customWidth="1"/>
    <col min="10" max="10" width="11" customWidth="1"/>
    <col min="11" max="11" width="12.875" bestFit="1" customWidth="1"/>
    <col min="12" max="14" width="11.625" bestFit="1" customWidth="1"/>
    <col min="15" max="16" width="12.75" bestFit="1" customWidth="1"/>
    <col min="17" max="17" width="13.875" bestFit="1" customWidth="1"/>
    <col min="18" max="19" width="11.625" bestFit="1" customWidth="1"/>
  </cols>
  <sheetData>
    <row r="1" spans="1:20" x14ac:dyDescent="0.15">
      <c r="C1" s="59" t="s">
        <v>295</v>
      </c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119"/>
      <c r="Q1" s="1" t="s">
        <v>350</v>
      </c>
      <c r="R1" s="1" t="s">
        <v>350</v>
      </c>
      <c r="S1" s="1" t="s">
        <v>350</v>
      </c>
    </row>
    <row r="2" spans="1:20" x14ac:dyDescent="0.15">
      <c r="Q2" s="1">
        <v>0.1</v>
      </c>
      <c r="R2" s="1">
        <v>0.2</v>
      </c>
      <c r="S2" s="1">
        <v>0.2</v>
      </c>
    </row>
    <row r="3" spans="1:20" ht="14.25" thickBot="1" x14ac:dyDescent="0.2">
      <c r="C3">
        <v>1</v>
      </c>
      <c r="D3">
        <v>2</v>
      </c>
      <c r="E3">
        <v>3</v>
      </c>
      <c r="F3">
        <v>4</v>
      </c>
      <c r="I3">
        <v>5</v>
      </c>
      <c r="J3">
        <v>6</v>
      </c>
      <c r="K3">
        <v>7</v>
      </c>
      <c r="L3">
        <v>9</v>
      </c>
      <c r="M3">
        <v>10</v>
      </c>
      <c r="N3">
        <v>12</v>
      </c>
      <c r="O3">
        <v>14</v>
      </c>
      <c r="P3">
        <v>15</v>
      </c>
    </row>
    <row r="4" spans="1:20" x14ac:dyDescent="0.15">
      <c r="A4" t="s">
        <v>363</v>
      </c>
      <c r="B4" t="s">
        <v>340</v>
      </c>
      <c r="C4" s="52" t="s">
        <v>263</v>
      </c>
      <c r="D4" s="107" t="s">
        <v>286</v>
      </c>
      <c r="E4" s="78" t="s">
        <v>265</v>
      </c>
      <c r="F4" s="111" t="s">
        <v>266</v>
      </c>
      <c r="G4" s="107" t="s">
        <v>427</v>
      </c>
      <c r="H4" s="79" t="s">
        <v>339</v>
      </c>
      <c r="I4" s="78" t="s">
        <v>321</v>
      </c>
      <c r="J4" s="108" t="s">
        <v>183</v>
      </c>
      <c r="K4" s="79" t="s">
        <v>182</v>
      </c>
      <c r="L4" s="108" t="s">
        <v>398</v>
      </c>
      <c r="M4" s="79" t="s">
        <v>185</v>
      </c>
      <c r="N4" s="108" t="s">
        <v>189</v>
      </c>
      <c r="O4" s="113" t="s">
        <v>186</v>
      </c>
      <c r="P4" s="118" t="s">
        <v>199</v>
      </c>
      <c r="Q4" s="33" t="s">
        <v>344</v>
      </c>
      <c r="R4" s="33" t="s">
        <v>346</v>
      </c>
      <c r="S4" s="33" t="s">
        <v>348</v>
      </c>
      <c r="T4" s="164" t="s">
        <v>437</v>
      </c>
    </row>
    <row r="5" spans="1:20" x14ac:dyDescent="0.15">
      <c r="A5" s="121">
        <f>1/H5</f>
        <v>0.13315579227696406</v>
      </c>
      <c r="B5">
        <v>1.3774999999999999</v>
      </c>
      <c r="C5">
        <v>1</v>
      </c>
      <c r="D5" s="35">
        <f>G5*H5</f>
        <v>495.65999999999997</v>
      </c>
      <c r="E5" s="35">
        <f>F5+G5</f>
        <v>118.80000000000001</v>
      </c>
      <c r="F5" s="35">
        <f>G5*0.8</f>
        <v>52.800000000000004</v>
      </c>
      <c r="G5">
        <f>'2、属性成长'!E6</f>
        <v>66</v>
      </c>
      <c r="H5">
        <f>B5*4+2</f>
        <v>7.51</v>
      </c>
      <c r="I5">
        <v>0</v>
      </c>
      <c r="J5">
        <f>50000/80*$C5</f>
        <v>625</v>
      </c>
      <c r="K5">
        <f t="shared" ref="K5:M20" si="0">50000/80*$C5</f>
        <v>625</v>
      </c>
      <c r="L5">
        <f t="shared" si="0"/>
        <v>625</v>
      </c>
      <c r="M5">
        <f t="shared" si="0"/>
        <v>625</v>
      </c>
      <c r="N5" s="46">
        <f>$C5/80*各种公式!$J$4</f>
        <v>625</v>
      </c>
      <c r="O5" s="153">
        <f>$C5/80*各种公式!$J$6</f>
        <v>250</v>
      </c>
      <c r="P5" s="153">
        <f>$C5/80*各种公式!$J$6</f>
        <v>250</v>
      </c>
      <c r="Q5" s="153">
        <f>$C5/80*各种公式!$J$8</f>
        <v>125</v>
      </c>
      <c r="R5" s="153">
        <f>$C5/80*各种公式!$J$9</f>
        <v>250</v>
      </c>
      <c r="S5" s="153">
        <f>$C5/80*各种公式!$J$10</f>
        <v>250</v>
      </c>
      <c r="T5">
        <f>SUMPRODUCT(D5:F5,各种公式!$C$13:$E$13)</f>
        <v>191.42640000000003</v>
      </c>
    </row>
    <row r="6" spans="1:20" x14ac:dyDescent="0.15">
      <c r="A6" s="121">
        <f t="shared" ref="A6:A69" si="1">1/H6</f>
        <v>0.12468827930174564</v>
      </c>
      <c r="B6">
        <v>1.5049999999999999</v>
      </c>
      <c r="C6">
        <v>2</v>
      </c>
      <c r="D6" s="35">
        <f t="shared" ref="D6:D69" si="2">G6*H6</f>
        <v>577.43999999999994</v>
      </c>
      <c r="E6" s="35">
        <f t="shared" ref="E6:E69" si="3">F6+G6</f>
        <v>129.6</v>
      </c>
      <c r="F6" s="35">
        <f t="shared" ref="F6:F69" si="4">G6*0.8</f>
        <v>57.6</v>
      </c>
      <c r="G6">
        <f>'2、属性成长'!E7</f>
        <v>72</v>
      </c>
      <c r="H6">
        <f t="shared" ref="H6:H69" si="5">B6*4+2</f>
        <v>8.02</v>
      </c>
      <c r="I6">
        <v>0</v>
      </c>
      <c r="J6">
        <f t="shared" ref="J6:M37" si="6">50000/80*$C6</f>
        <v>1250</v>
      </c>
      <c r="K6">
        <f t="shared" si="0"/>
        <v>1250</v>
      </c>
      <c r="L6">
        <f t="shared" si="0"/>
        <v>1250</v>
      </c>
      <c r="M6">
        <f t="shared" si="0"/>
        <v>1250</v>
      </c>
      <c r="N6" s="46">
        <f>$C6/80*各种公式!$J$4</f>
        <v>1250</v>
      </c>
      <c r="O6" s="153">
        <f>$C6/80*各种公式!$J$6</f>
        <v>500</v>
      </c>
      <c r="P6" s="153">
        <f>$C6/80*各种公式!$J$6</f>
        <v>500</v>
      </c>
      <c r="Q6" s="153">
        <f>$C6/80*各种公式!$J$8</f>
        <v>250</v>
      </c>
      <c r="R6" s="153">
        <f>$C6/80*各种公式!$J$9</f>
        <v>500</v>
      </c>
      <c r="S6" s="153">
        <f>$C6/80*各种公式!$J$10</f>
        <v>500</v>
      </c>
      <c r="T6">
        <f>SUMPRODUCT(D6:F6,各种公式!$C$13:$E$13)</f>
        <v>210.29759999999999</v>
      </c>
    </row>
    <row r="7" spans="1:20" x14ac:dyDescent="0.15">
      <c r="A7" s="121">
        <f t="shared" si="1"/>
        <v>0.11723329425556857</v>
      </c>
      <c r="B7">
        <v>1.6325000000000001</v>
      </c>
      <c r="C7">
        <v>3</v>
      </c>
      <c r="D7" s="35">
        <f t="shared" si="2"/>
        <v>665.34000000000015</v>
      </c>
      <c r="E7" s="35">
        <f t="shared" si="3"/>
        <v>140.4</v>
      </c>
      <c r="F7" s="35">
        <f t="shared" si="4"/>
        <v>62.400000000000006</v>
      </c>
      <c r="G7">
        <f>'2、属性成长'!E8</f>
        <v>78</v>
      </c>
      <c r="H7">
        <f t="shared" si="5"/>
        <v>8.5300000000000011</v>
      </c>
      <c r="I7">
        <v>0</v>
      </c>
      <c r="J7">
        <f t="shared" si="6"/>
        <v>1875</v>
      </c>
      <c r="K7">
        <f t="shared" si="0"/>
        <v>1875</v>
      </c>
      <c r="L7">
        <f t="shared" si="0"/>
        <v>1875</v>
      </c>
      <c r="M7">
        <f t="shared" si="0"/>
        <v>1875</v>
      </c>
      <c r="N7" s="46">
        <f>$C7/80*各种公式!$J$4</f>
        <v>1875</v>
      </c>
      <c r="O7" s="153">
        <f>$C7/80*各种公式!$J$6</f>
        <v>750</v>
      </c>
      <c r="P7" s="153">
        <f>$C7/80*各种公式!$J$6</f>
        <v>750</v>
      </c>
      <c r="Q7" s="153">
        <f>$C7/80*各种公式!$J$8</f>
        <v>375</v>
      </c>
      <c r="R7" s="153">
        <f>$C7/80*各种公式!$J$9</f>
        <v>750</v>
      </c>
      <c r="S7" s="153">
        <f>$C7/80*各种公式!$J$10</f>
        <v>750</v>
      </c>
      <c r="T7">
        <f>SUMPRODUCT(D7:F7,各种公式!$C$13:$E$13)</f>
        <v>229.4136</v>
      </c>
    </row>
    <row r="8" spans="1:20" x14ac:dyDescent="0.15">
      <c r="A8" s="121">
        <f t="shared" si="1"/>
        <v>0.11061946902654868</v>
      </c>
      <c r="B8">
        <v>1.76</v>
      </c>
      <c r="C8">
        <v>4</v>
      </c>
      <c r="D8" s="35">
        <f t="shared" si="2"/>
        <v>759.3599999999999</v>
      </c>
      <c r="E8" s="35">
        <f t="shared" si="3"/>
        <v>151.19999999999999</v>
      </c>
      <c r="F8" s="35">
        <f t="shared" si="4"/>
        <v>67.2</v>
      </c>
      <c r="G8">
        <f>'2、属性成长'!E9</f>
        <v>84</v>
      </c>
      <c r="H8">
        <f t="shared" si="5"/>
        <v>9.0399999999999991</v>
      </c>
      <c r="I8">
        <v>0</v>
      </c>
      <c r="J8">
        <f t="shared" si="6"/>
        <v>2500</v>
      </c>
      <c r="K8">
        <f t="shared" si="0"/>
        <v>2500</v>
      </c>
      <c r="L8">
        <f t="shared" si="0"/>
        <v>2500</v>
      </c>
      <c r="M8">
        <f t="shared" si="0"/>
        <v>2500</v>
      </c>
      <c r="N8" s="46">
        <f>$C8/80*各种公式!$J$4</f>
        <v>2500</v>
      </c>
      <c r="O8" s="153">
        <f>$C8/80*各种公式!$J$6</f>
        <v>1000</v>
      </c>
      <c r="P8" s="153">
        <f>$C8/80*各种公式!$J$6</f>
        <v>1000</v>
      </c>
      <c r="Q8" s="153">
        <f>$C8/80*各种公式!$J$8</f>
        <v>500</v>
      </c>
      <c r="R8" s="153">
        <f>$C8/80*各种公式!$J$9</f>
        <v>1000</v>
      </c>
      <c r="S8" s="153">
        <f>$C8/80*各种公式!$J$10</f>
        <v>1000</v>
      </c>
      <c r="T8">
        <f>SUMPRODUCT(D8:F8,各种公式!$C$13:$E$13)</f>
        <v>248.77440000000001</v>
      </c>
    </row>
    <row r="9" spans="1:20" x14ac:dyDescent="0.15">
      <c r="A9" s="121">
        <f t="shared" si="1"/>
        <v>0.10471204188481674</v>
      </c>
      <c r="B9">
        <v>1.8875</v>
      </c>
      <c r="C9">
        <v>5</v>
      </c>
      <c r="D9" s="35">
        <f t="shared" si="2"/>
        <v>859.50000000000011</v>
      </c>
      <c r="E9" s="35">
        <f t="shared" si="3"/>
        <v>162</v>
      </c>
      <c r="F9" s="35">
        <f t="shared" si="4"/>
        <v>72</v>
      </c>
      <c r="G9">
        <f>'2、属性成长'!E10</f>
        <v>90</v>
      </c>
      <c r="H9">
        <f t="shared" si="5"/>
        <v>9.5500000000000007</v>
      </c>
      <c r="I9">
        <v>0</v>
      </c>
      <c r="J9">
        <f t="shared" si="6"/>
        <v>3125</v>
      </c>
      <c r="K9">
        <f t="shared" si="0"/>
        <v>3125</v>
      </c>
      <c r="L9">
        <f t="shared" si="0"/>
        <v>3125</v>
      </c>
      <c r="M9">
        <f t="shared" si="0"/>
        <v>3125</v>
      </c>
      <c r="N9" s="46">
        <f>$C9/80*各种公式!$J$4</f>
        <v>3125</v>
      </c>
      <c r="O9" s="153">
        <f>$C9/80*各种公式!$J$6</f>
        <v>1250</v>
      </c>
      <c r="P9" s="153">
        <f>$C9/80*各种公式!$J$6</f>
        <v>1250</v>
      </c>
      <c r="Q9" s="153">
        <f>$C9/80*各种公式!$J$8</f>
        <v>625</v>
      </c>
      <c r="R9" s="153">
        <f>$C9/80*各种公式!$J$9</f>
        <v>1250</v>
      </c>
      <c r="S9" s="153">
        <f>$C9/80*各种公式!$J$10</f>
        <v>1250</v>
      </c>
      <c r="T9">
        <f>SUMPRODUCT(D9:F9,各种公式!$C$13:$E$13)</f>
        <v>268.38</v>
      </c>
    </row>
    <row r="10" spans="1:20" x14ac:dyDescent="0.15">
      <c r="A10" s="121">
        <f t="shared" si="1"/>
        <v>9.940357852882703E-2</v>
      </c>
      <c r="B10">
        <v>2.0150000000000001</v>
      </c>
      <c r="C10">
        <v>6</v>
      </c>
      <c r="D10" s="35">
        <f t="shared" si="2"/>
        <v>1490.8920000000001</v>
      </c>
      <c r="E10" s="35">
        <f t="shared" si="3"/>
        <v>266.76</v>
      </c>
      <c r="F10" s="35">
        <f t="shared" si="4"/>
        <v>118.56</v>
      </c>
      <c r="G10">
        <f>'2、属性成长'!E11</f>
        <v>148.19999999999999</v>
      </c>
      <c r="H10">
        <f t="shared" si="5"/>
        <v>10.06</v>
      </c>
      <c r="I10">
        <v>0</v>
      </c>
      <c r="J10">
        <f t="shared" si="6"/>
        <v>3750</v>
      </c>
      <c r="K10">
        <f t="shared" si="0"/>
        <v>3750</v>
      </c>
      <c r="L10">
        <f t="shared" si="0"/>
        <v>3750</v>
      </c>
      <c r="M10">
        <f t="shared" si="0"/>
        <v>3750</v>
      </c>
      <c r="N10" s="46">
        <f>$C10/80*各种公式!$J$4</f>
        <v>3750</v>
      </c>
      <c r="O10" s="153">
        <f>$C10/80*各种公式!$J$6</f>
        <v>1500</v>
      </c>
      <c r="P10" s="153">
        <f>$C10/80*各种公式!$J$6</f>
        <v>1500</v>
      </c>
      <c r="Q10" s="153">
        <f>$C10/80*各种公式!$J$8</f>
        <v>750</v>
      </c>
      <c r="R10" s="153">
        <f>$C10/80*各种公式!$J$9</f>
        <v>1500</v>
      </c>
      <c r="S10" s="153">
        <f>$C10/80*各种公式!$J$10</f>
        <v>1500</v>
      </c>
      <c r="T10">
        <f>SUMPRODUCT(D10:F10,各种公式!$C$13:$E$13)</f>
        <v>444.95567999999997</v>
      </c>
    </row>
    <row r="11" spans="1:20" x14ac:dyDescent="0.15">
      <c r="A11" s="121">
        <f t="shared" si="1"/>
        <v>9.46073793755913E-2</v>
      </c>
      <c r="B11">
        <v>2.1425000000000001</v>
      </c>
      <c r="C11">
        <v>7</v>
      </c>
      <c r="D11" s="35">
        <f t="shared" si="2"/>
        <v>1795.7769374999998</v>
      </c>
      <c r="E11" s="35">
        <f t="shared" si="3"/>
        <v>305.80874999999997</v>
      </c>
      <c r="F11" s="35">
        <f t="shared" si="4"/>
        <v>135.91499999999999</v>
      </c>
      <c r="G11">
        <f>'2、属性成长'!E12</f>
        <v>169.89374999999998</v>
      </c>
      <c r="H11">
        <f t="shared" si="5"/>
        <v>10.57</v>
      </c>
      <c r="I11">
        <v>0</v>
      </c>
      <c r="J11">
        <f t="shared" si="6"/>
        <v>4375</v>
      </c>
      <c r="K11">
        <f t="shared" si="0"/>
        <v>4375</v>
      </c>
      <c r="L11">
        <f t="shared" si="0"/>
        <v>4375</v>
      </c>
      <c r="M11">
        <f t="shared" si="0"/>
        <v>4375</v>
      </c>
      <c r="N11" s="46">
        <f>$C11/80*各种公式!$J$4</f>
        <v>4375</v>
      </c>
      <c r="O11" s="153">
        <f>$C11/80*各种公式!$J$6</f>
        <v>1750</v>
      </c>
      <c r="P11" s="153">
        <f>$C11/80*各种公式!$J$6</f>
        <v>1750</v>
      </c>
      <c r="Q11" s="153">
        <f>$C11/80*各种公式!$J$8</f>
        <v>875</v>
      </c>
      <c r="R11" s="153">
        <f>$C11/80*各种公式!$J$9</f>
        <v>1750</v>
      </c>
      <c r="S11" s="153">
        <f>$C11/80*各种公式!$J$10</f>
        <v>1750</v>
      </c>
      <c r="T11">
        <f>SUMPRODUCT(D11:F11,各种公式!$C$13:$E$13)</f>
        <v>513.55482749999999</v>
      </c>
    </row>
    <row r="12" spans="1:20" x14ac:dyDescent="0.15">
      <c r="A12" s="121">
        <f t="shared" si="1"/>
        <v>9.0252707581227443E-2</v>
      </c>
      <c r="B12">
        <v>2.27</v>
      </c>
      <c r="C12">
        <v>8</v>
      </c>
      <c r="D12" s="35">
        <f t="shared" si="2"/>
        <v>2138.9940000000001</v>
      </c>
      <c r="E12" s="35">
        <f t="shared" si="3"/>
        <v>347.49</v>
      </c>
      <c r="F12" s="35">
        <f t="shared" si="4"/>
        <v>154.44000000000003</v>
      </c>
      <c r="G12">
        <f>'2、属性成长'!E13</f>
        <v>193.05</v>
      </c>
      <c r="H12">
        <f t="shared" si="5"/>
        <v>11.08</v>
      </c>
      <c r="I12">
        <v>0</v>
      </c>
      <c r="J12">
        <f t="shared" si="6"/>
        <v>5000</v>
      </c>
      <c r="K12">
        <f t="shared" si="0"/>
        <v>5000</v>
      </c>
      <c r="L12">
        <f t="shared" si="0"/>
        <v>5000</v>
      </c>
      <c r="M12">
        <f t="shared" si="0"/>
        <v>5000</v>
      </c>
      <c r="N12" s="46">
        <f>$C12/80*各种公式!$J$4</f>
        <v>5000</v>
      </c>
      <c r="O12" s="153">
        <f>$C12/80*各种公式!$J$6</f>
        <v>2000</v>
      </c>
      <c r="P12" s="153">
        <f>$C12/80*各种公式!$J$6</f>
        <v>2000</v>
      </c>
      <c r="Q12" s="153">
        <f>$C12/80*各种公式!$J$8</f>
        <v>1000</v>
      </c>
      <c r="R12" s="153">
        <f>$C12/80*各种公式!$J$9</f>
        <v>2000</v>
      </c>
      <c r="S12" s="153">
        <f>$C12/80*各种公式!$J$10</f>
        <v>2000</v>
      </c>
      <c r="T12">
        <f>SUMPRODUCT(D12:F12,各种公式!$C$13:$E$13)</f>
        <v>587.48976000000005</v>
      </c>
    </row>
    <row r="13" spans="1:20" x14ac:dyDescent="0.15">
      <c r="A13" s="121">
        <f t="shared" si="1"/>
        <v>8.6281276962899056E-2</v>
      </c>
      <c r="B13">
        <v>2.3975</v>
      </c>
      <c r="C13">
        <v>9</v>
      </c>
      <c r="D13" s="35">
        <f t="shared" si="2"/>
        <v>2810.0112472826086</v>
      </c>
      <c r="E13" s="35">
        <f t="shared" si="3"/>
        <v>436.41244565217391</v>
      </c>
      <c r="F13" s="35">
        <f t="shared" si="4"/>
        <v>193.96108695652174</v>
      </c>
      <c r="G13">
        <f>'2、属性成长'!E14</f>
        <v>242.45135869565217</v>
      </c>
      <c r="H13">
        <f t="shared" si="5"/>
        <v>11.59</v>
      </c>
      <c r="I13">
        <v>0</v>
      </c>
      <c r="J13">
        <f t="shared" si="6"/>
        <v>5625</v>
      </c>
      <c r="K13">
        <f t="shared" si="0"/>
        <v>5625</v>
      </c>
      <c r="L13">
        <f t="shared" si="0"/>
        <v>5625</v>
      </c>
      <c r="M13">
        <f t="shared" si="0"/>
        <v>5625</v>
      </c>
      <c r="N13" s="46">
        <f>$C13/80*各种公式!$J$4</f>
        <v>5625</v>
      </c>
      <c r="O13" s="153">
        <f>$C13/80*各种公式!$J$6</f>
        <v>2250</v>
      </c>
      <c r="P13" s="153">
        <f>$C13/80*各种公式!$J$6</f>
        <v>2250</v>
      </c>
      <c r="Q13" s="153">
        <f>$C13/80*各种公式!$J$8</f>
        <v>1125</v>
      </c>
      <c r="R13" s="153">
        <f>$C13/80*各种公式!$J$9</f>
        <v>2250</v>
      </c>
      <c r="S13" s="153">
        <f>$C13/80*各种公式!$J$10</f>
        <v>2250</v>
      </c>
      <c r="T13">
        <f>SUMPRODUCT(D13:F13,各种公式!$C$13:$E$13)</f>
        <v>742.77398249999999</v>
      </c>
    </row>
    <row r="14" spans="1:20" x14ac:dyDescent="0.15">
      <c r="A14" s="121">
        <f t="shared" si="1"/>
        <v>8.2644628099173556E-2</v>
      </c>
      <c r="B14">
        <v>2.5249999999999999</v>
      </c>
      <c r="C14">
        <v>10</v>
      </c>
      <c r="D14" s="35">
        <f t="shared" si="2"/>
        <v>3580.6793478260875</v>
      </c>
      <c r="E14" s="35">
        <f t="shared" si="3"/>
        <v>532.66304347826099</v>
      </c>
      <c r="F14" s="35">
        <f t="shared" si="4"/>
        <v>236.73913043478265</v>
      </c>
      <c r="G14">
        <f>'2、属性成长'!E15</f>
        <v>295.92391304347831</v>
      </c>
      <c r="H14">
        <f t="shared" si="5"/>
        <v>12.1</v>
      </c>
      <c r="I14">
        <v>0</v>
      </c>
      <c r="J14">
        <f t="shared" si="6"/>
        <v>6250</v>
      </c>
      <c r="K14">
        <f t="shared" si="0"/>
        <v>6250</v>
      </c>
      <c r="L14">
        <f t="shared" si="0"/>
        <v>6250</v>
      </c>
      <c r="M14">
        <f t="shared" si="0"/>
        <v>6250</v>
      </c>
      <c r="N14" s="46">
        <f>$C14/80*各种公式!$J$4</f>
        <v>6250</v>
      </c>
      <c r="O14" s="153">
        <f>$C14/80*各种公式!$J$6</f>
        <v>2500</v>
      </c>
      <c r="P14" s="153">
        <f>$C14/80*各种公式!$J$6</f>
        <v>2500</v>
      </c>
      <c r="Q14" s="153">
        <f>$C14/80*各种公式!$J$8</f>
        <v>1250</v>
      </c>
      <c r="R14" s="153">
        <f>$C14/80*各种公式!$J$9</f>
        <v>2500</v>
      </c>
      <c r="S14" s="153">
        <f>$C14/80*各种公式!$J$10</f>
        <v>2500</v>
      </c>
      <c r="T14">
        <f>SUMPRODUCT(D14:F14,各种公式!$C$13:$E$13)</f>
        <v>912.62934782608716</v>
      </c>
    </row>
    <row r="15" spans="1:20" x14ac:dyDescent="0.15">
      <c r="A15" s="121">
        <f t="shared" si="1"/>
        <v>7.9302141157811271E-2</v>
      </c>
      <c r="B15">
        <v>2.6524999999999999</v>
      </c>
      <c r="C15">
        <v>11</v>
      </c>
      <c r="D15" s="35">
        <f t="shared" si="2"/>
        <v>4457.2272309782602</v>
      </c>
      <c r="E15" s="35">
        <f t="shared" si="3"/>
        <v>636.24179347826089</v>
      </c>
      <c r="F15" s="35">
        <f t="shared" si="4"/>
        <v>282.77413043478259</v>
      </c>
      <c r="G15">
        <f>'2、属性成长'!E16</f>
        <v>353.46766304347824</v>
      </c>
      <c r="H15">
        <f t="shared" si="5"/>
        <v>12.61</v>
      </c>
      <c r="I15">
        <v>0</v>
      </c>
      <c r="J15">
        <f t="shared" si="6"/>
        <v>6875</v>
      </c>
      <c r="K15">
        <f t="shared" si="0"/>
        <v>6875</v>
      </c>
      <c r="L15">
        <f t="shared" si="0"/>
        <v>6875</v>
      </c>
      <c r="M15">
        <f t="shared" si="0"/>
        <v>6875</v>
      </c>
      <c r="N15" s="46">
        <f>$C15/80*各种公式!$J$4</f>
        <v>6875.0000000000009</v>
      </c>
      <c r="O15" s="153">
        <f>$C15/80*各种公式!$J$6</f>
        <v>2750</v>
      </c>
      <c r="P15" s="153">
        <f>$C15/80*各种公式!$J$6</f>
        <v>2750</v>
      </c>
      <c r="Q15" s="153">
        <f>$C15/80*各种公式!$J$8</f>
        <v>1375</v>
      </c>
      <c r="R15" s="153">
        <f>$C15/80*各种公式!$J$9</f>
        <v>2750</v>
      </c>
      <c r="S15" s="153">
        <f>$C15/80*各种公式!$J$10</f>
        <v>2750</v>
      </c>
      <c r="T15">
        <f>SUMPRODUCT(D15:F15,各种公式!$C$13:$E$13)</f>
        <v>1097.3050131521738</v>
      </c>
    </row>
    <row r="16" spans="1:20" x14ac:dyDescent="0.15">
      <c r="A16" s="121">
        <f t="shared" si="1"/>
        <v>7.621951219512195E-2</v>
      </c>
      <c r="B16">
        <v>2.7800000000000002</v>
      </c>
      <c r="C16">
        <v>12</v>
      </c>
      <c r="D16" s="35">
        <f t="shared" si="2"/>
        <v>5445.8838260869561</v>
      </c>
      <c r="E16" s="35">
        <f t="shared" si="3"/>
        <v>747.14869565217396</v>
      </c>
      <c r="F16" s="35">
        <f t="shared" si="4"/>
        <v>332.06608695652176</v>
      </c>
      <c r="G16">
        <f>'2、属性成长'!E17</f>
        <v>415.08260869565214</v>
      </c>
      <c r="H16">
        <f t="shared" si="5"/>
        <v>13.120000000000001</v>
      </c>
      <c r="I16">
        <v>0</v>
      </c>
      <c r="J16">
        <f t="shared" si="6"/>
        <v>7500</v>
      </c>
      <c r="K16">
        <f t="shared" si="0"/>
        <v>7500</v>
      </c>
      <c r="L16">
        <f t="shared" si="0"/>
        <v>7500</v>
      </c>
      <c r="M16">
        <f t="shared" si="0"/>
        <v>7500</v>
      </c>
      <c r="N16" s="46">
        <f>$C16/80*各种公式!$J$4</f>
        <v>7500</v>
      </c>
      <c r="O16" s="153">
        <f>$C16/80*各种公式!$J$6</f>
        <v>3000</v>
      </c>
      <c r="P16" s="153">
        <f>$C16/80*各种公式!$J$6</f>
        <v>3000</v>
      </c>
      <c r="Q16" s="153">
        <f>$C16/80*各种公式!$J$8</f>
        <v>1500</v>
      </c>
      <c r="R16" s="153">
        <f>$C16/80*各种公式!$J$9</f>
        <v>3000</v>
      </c>
      <c r="S16" s="153">
        <f>$C16/80*各种公式!$J$10</f>
        <v>3000</v>
      </c>
      <c r="T16">
        <f>SUMPRODUCT(D16:F16,各种公式!$C$13:$E$13)</f>
        <v>1297.050135652174</v>
      </c>
    </row>
    <row r="17" spans="1:20" x14ac:dyDescent="0.15">
      <c r="A17" s="121">
        <f t="shared" si="1"/>
        <v>7.3367571533382248E-2</v>
      </c>
      <c r="B17">
        <v>2.9074999999999998</v>
      </c>
      <c r="C17">
        <v>13</v>
      </c>
      <c r="D17" s="35">
        <f t="shared" si="2"/>
        <v>6552.878062499999</v>
      </c>
      <c r="E17" s="35">
        <f t="shared" si="3"/>
        <v>865.38374999999996</v>
      </c>
      <c r="F17" s="35">
        <f t="shared" si="4"/>
        <v>384.61500000000001</v>
      </c>
      <c r="G17">
        <f>'2、属性成长'!E18</f>
        <v>480.76874999999995</v>
      </c>
      <c r="H17">
        <f t="shared" si="5"/>
        <v>13.629999999999999</v>
      </c>
      <c r="I17">
        <v>0</v>
      </c>
      <c r="J17">
        <f t="shared" si="6"/>
        <v>8125</v>
      </c>
      <c r="K17">
        <f t="shared" si="0"/>
        <v>8125</v>
      </c>
      <c r="L17">
        <f t="shared" si="0"/>
        <v>8125</v>
      </c>
      <c r="M17">
        <f t="shared" si="0"/>
        <v>8125</v>
      </c>
      <c r="N17" s="46">
        <f>$C17/80*各种公式!$J$4</f>
        <v>8125</v>
      </c>
      <c r="O17" s="153">
        <f>$C17/80*各种公式!$J$6</f>
        <v>3250</v>
      </c>
      <c r="P17" s="153">
        <f>$C17/80*各种公式!$J$6</f>
        <v>3250</v>
      </c>
      <c r="Q17" s="153">
        <f>$C17/80*各种公式!$J$8</f>
        <v>1625</v>
      </c>
      <c r="R17" s="153">
        <f>$C17/80*各种公式!$J$9</f>
        <v>3250</v>
      </c>
      <c r="S17" s="153">
        <f>$C17/80*各种公式!$J$10</f>
        <v>3250</v>
      </c>
      <c r="T17">
        <f>SUMPRODUCT(D17:F17,各种公式!$C$13:$E$13)</f>
        <v>1512.1138724999998</v>
      </c>
    </row>
    <row r="18" spans="1:20" x14ac:dyDescent="0.15">
      <c r="A18" s="121">
        <f t="shared" si="1"/>
        <v>7.0721357850070721E-2</v>
      </c>
      <c r="B18">
        <v>3.0350000000000001</v>
      </c>
      <c r="C18">
        <v>14</v>
      </c>
      <c r="D18" s="35">
        <f t="shared" si="2"/>
        <v>7784.4388695652187</v>
      </c>
      <c r="E18" s="35">
        <f t="shared" si="3"/>
        <v>990.94695652173925</v>
      </c>
      <c r="F18" s="35">
        <f t="shared" si="4"/>
        <v>440.42086956521746</v>
      </c>
      <c r="G18">
        <f>'2、属性成长'!E19</f>
        <v>550.52608695652179</v>
      </c>
      <c r="H18">
        <f t="shared" si="5"/>
        <v>14.14</v>
      </c>
      <c r="I18">
        <v>0</v>
      </c>
      <c r="J18">
        <f t="shared" si="6"/>
        <v>8750</v>
      </c>
      <c r="K18">
        <f t="shared" si="0"/>
        <v>8750</v>
      </c>
      <c r="L18">
        <f t="shared" si="0"/>
        <v>8750</v>
      </c>
      <c r="M18">
        <f t="shared" si="0"/>
        <v>8750</v>
      </c>
      <c r="N18" s="46">
        <f>$C18/80*各种公式!$J$4</f>
        <v>8750</v>
      </c>
      <c r="O18" s="153">
        <f>$C18/80*各种公式!$J$6</f>
        <v>3500</v>
      </c>
      <c r="P18" s="153">
        <f>$C18/80*各种公式!$J$6</f>
        <v>3500</v>
      </c>
      <c r="Q18" s="153">
        <f>$C18/80*各种公式!$J$8</f>
        <v>1750</v>
      </c>
      <c r="R18" s="153">
        <f>$C18/80*各种公式!$J$9</f>
        <v>3500</v>
      </c>
      <c r="S18" s="153">
        <f>$C18/80*各种公式!$J$10</f>
        <v>3500</v>
      </c>
      <c r="T18">
        <f>SUMPRODUCT(D18:F18,各种公式!$C$13:$E$13)</f>
        <v>1742.7453808695655</v>
      </c>
    </row>
    <row r="19" spans="1:20" x14ac:dyDescent="0.15">
      <c r="A19" s="121">
        <f t="shared" si="1"/>
        <v>6.8259385665529013E-2</v>
      </c>
      <c r="B19">
        <v>3.1625000000000001</v>
      </c>
      <c r="C19">
        <v>15</v>
      </c>
      <c r="D19" s="35">
        <f t="shared" si="2"/>
        <v>9146.7951766304341</v>
      </c>
      <c r="E19" s="35">
        <f t="shared" si="3"/>
        <v>1123.8383152173913</v>
      </c>
      <c r="F19" s="35">
        <f t="shared" si="4"/>
        <v>499.48369565217394</v>
      </c>
      <c r="G19">
        <f>'2、属性成长'!E20</f>
        <v>624.35461956521738</v>
      </c>
      <c r="H19">
        <f t="shared" si="5"/>
        <v>14.65</v>
      </c>
      <c r="I19">
        <v>0</v>
      </c>
      <c r="J19">
        <f t="shared" si="6"/>
        <v>9375</v>
      </c>
      <c r="K19">
        <f t="shared" si="0"/>
        <v>9375</v>
      </c>
      <c r="L19">
        <f t="shared" si="0"/>
        <v>9375</v>
      </c>
      <c r="M19">
        <f t="shared" si="0"/>
        <v>9375</v>
      </c>
      <c r="N19" s="46">
        <f>$C19/80*各种公式!$J$4</f>
        <v>9375</v>
      </c>
      <c r="O19" s="153">
        <f>$C19/80*各种公式!$J$6</f>
        <v>3750</v>
      </c>
      <c r="P19" s="153">
        <f>$C19/80*各种公式!$J$6</f>
        <v>3750</v>
      </c>
      <c r="Q19" s="153">
        <f>$C19/80*各种公式!$J$8</f>
        <v>1875</v>
      </c>
      <c r="R19" s="153">
        <f>$C19/80*各种公式!$J$9</f>
        <v>3750</v>
      </c>
      <c r="S19" s="153">
        <f>$C19/80*各种公式!$J$10</f>
        <v>3750</v>
      </c>
      <c r="T19">
        <f>SUMPRODUCT(D19:F19,各种公式!$C$13:$E$13)</f>
        <v>1989.1938179347826</v>
      </c>
    </row>
    <row r="20" spans="1:20" x14ac:dyDescent="0.15">
      <c r="A20" s="121">
        <f t="shared" si="1"/>
        <v>6.5963060686015831E-2</v>
      </c>
      <c r="B20">
        <v>3.29</v>
      </c>
      <c r="C20">
        <v>16</v>
      </c>
      <c r="D20" s="35">
        <f t="shared" si="2"/>
        <v>10646.17591304348</v>
      </c>
      <c r="E20" s="35">
        <f t="shared" si="3"/>
        <v>1264.0578260869565</v>
      </c>
      <c r="F20" s="35">
        <f t="shared" si="4"/>
        <v>561.80347826086961</v>
      </c>
      <c r="G20">
        <f>'2、属性成长'!E21</f>
        <v>702.25434782608704</v>
      </c>
      <c r="H20">
        <f t="shared" si="5"/>
        <v>15.16</v>
      </c>
      <c r="I20">
        <v>0</v>
      </c>
      <c r="J20">
        <f t="shared" si="6"/>
        <v>10000</v>
      </c>
      <c r="K20">
        <f t="shared" si="0"/>
        <v>10000</v>
      </c>
      <c r="L20">
        <f t="shared" si="0"/>
        <v>10000</v>
      </c>
      <c r="M20">
        <f t="shared" si="0"/>
        <v>10000</v>
      </c>
      <c r="N20" s="46">
        <f>$C20/80*各种公式!$J$4</f>
        <v>10000</v>
      </c>
      <c r="O20" s="153">
        <f>$C20/80*各种公式!$J$6</f>
        <v>4000</v>
      </c>
      <c r="P20" s="153">
        <f>$C20/80*各种公式!$J$6</f>
        <v>4000</v>
      </c>
      <c r="Q20" s="153">
        <f>$C20/80*各种公式!$J$8</f>
        <v>2000</v>
      </c>
      <c r="R20" s="153">
        <f>$C20/80*各种公式!$J$9</f>
        <v>4000</v>
      </c>
      <c r="S20" s="153">
        <f>$C20/80*各种公式!$J$10</f>
        <v>4000</v>
      </c>
      <c r="T20">
        <f>SUMPRODUCT(D20:F20,各种公式!$C$13:$E$13)</f>
        <v>2251.7083408695653</v>
      </c>
    </row>
    <row r="21" spans="1:20" x14ac:dyDescent="0.15">
      <c r="A21" s="121">
        <f t="shared" si="1"/>
        <v>6.3816209317166556E-2</v>
      </c>
      <c r="B21">
        <v>3.4175</v>
      </c>
      <c r="C21">
        <v>17</v>
      </c>
      <c r="D21" s="35">
        <f t="shared" si="2"/>
        <v>12288.810008152173</v>
      </c>
      <c r="E21" s="35">
        <f t="shared" si="3"/>
        <v>1411.6054891304348</v>
      </c>
      <c r="F21" s="35">
        <f t="shared" si="4"/>
        <v>627.38021739130443</v>
      </c>
      <c r="G21">
        <f>'2、属性成长'!E22</f>
        <v>784.22527173913045</v>
      </c>
      <c r="H21">
        <f t="shared" si="5"/>
        <v>15.67</v>
      </c>
      <c r="I21">
        <v>0</v>
      </c>
      <c r="J21">
        <f t="shared" si="6"/>
        <v>10625</v>
      </c>
      <c r="K21">
        <f t="shared" si="6"/>
        <v>10625</v>
      </c>
      <c r="L21">
        <f t="shared" si="6"/>
        <v>10625</v>
      </c>
      <c r="M21">
        <f t="shared" si="6"/>
        <v>10625</v>
      </c>
      <c r="N21" s="46">
        <f>$C21/80*各种公式!$J$4</f>
        <v>10625</v>
      </c>
      <c r="O21" s="153">
        <f>$C21/80*各种公式!$J$6</f>
        <v>4250</v>
      </c>
      <c r="P21" s="153">
        <f>$C21/80*各种公式!$J$6</f>
        <v>4250</v>
      </c>
      <c r="Q21" s="153">
        <f>$C21/80*各种公式!$J$8</f>
        <v>2125</v>
      </c>
      <c r="R21" s="153">
        <f>$C21/80*各种公式!$J$9</f>
        <v>4250</v>
      </c>
      <c r="S21" s="153">
        <f>$C21/80*各种公式!$J$10</f>
        <v>4250</v>
      </c>
      <c r="T21">
        <f>SUMPRODUCT(D21:F21,各种公式!$C$13:$E$13)</f>
        <v>2530.5381068478264</v>
      </c>
    </row>
    <row r="22" spans="1:20" x14ac:dyDescent="0.15">
      <c r="A22" s="121">
        <f t="shared" si="1"/>
        <v>6.1804697156983932E-2</v>
      </c>
      <c r="B22">
        <v>3.5449999999999999</v>
      </c>
      <c r="C22">
        <v>18</v>
      </c>
      <c r="D22" s="35">
        <f t="shared" si="2"/>
        <v>14080.926391304352</v>
      </c>
      <c r="E22" s="35">
        <f t="shared" si="3"/>
        <v>1566.4813043478266</v>
      </c>
      <c r="F22" s="35">
        <f t="shared" si="4"/>
        <v>696.21391304347856</v>
      </c>
      <c r="G22">
        <f>'2、属性成长'!E23</f>
        <v>870.26739130434817</v>
      </c>
      <c r="H22">
        <f t="shared" si="5"/>
        <v>16.18</v>
      </c>
      <c r="I22">
        <v>0</v>
      </c>
      <c r="J22">
        <f t="shared" si="6"/>
        <v>11250</v>
      </c>
      <c r="K22">
        <f t="shared" si="6"/>
        <v>11250</v>
      </c>
      <c r="L22">
        <f t="shared" si="6"/>
        <v>11250</v>
      </c>
      <c r="M22">
        <f t="shared" si="6"/>
        <v>11250</v>
      </c>
      <c r="N22" s="46">
        <f>$C22/80*各种公式!$J$4</f>
        <v>11250</v>
      </c>
      <c r="O22" s="153">
        <f>$C22/80*各种公式!$J$6</f>
        <v>4500</v>
      </c>
      <c r="P22" s="153">
        <f>$C22/80*各种公式!$J$6</f>
        <v>4500</v>
      </c>
      <c r="Q22" s="153">
        <f>$C22/80*各种公式!$J$8</f>
        <v>2250</v>
      </c>
      <c r="R22" s="153">
        <f>$C22/80*各种公式!$J$9</f>
        <v>4500</v>
      </c>
      <c r="S22" s="153">
        <f>$C22/80*各种公式!$J$10</f>
        <v>4500</v>
      </c>
      <c r="T22">
        <f>SUMPRODUCT(D22:F22,各种公式!$C$13:$E$13)</f>
        <v>2825.9322730434792</v>
      </c>
    </row>
    <row r="23" spans="1:20" x14ac:dyDescent="0.15">
      <c r="A23" s="121">
        <f t="shared" si="1"/>
        <v>5.991611743559018E-2</v>
      </c>
      <c r="B23">
        <v>3.6724999999999999</v>
      </c>
      <c r="C23">
        <v>19</v>
      </c>
      <c r="D23" s="35">
        <f t="shared" si="2"/>
        <v>16028.753991847825</v>
      </c>
      <c r="E23" s="35">
        <f t="shared" si="3"/>
        <v>1728.6852717391307</v>
      </c>
      <c r="F23" s="35">
        <f t="shared" si="4"/>
        <v>768.30456521739143</v>
      </c>
      <c r="G23">
        <f>'2、属性成长'!E24</f>
        <v>960.38070652173917</v>
      </c>
      <c r="H23">
        <f t="shared" si="5"/>
        <v>16.689999999999998</v>
      </c>
      <c r="I23">
        <v>0</v>
      </c>
      <c r="J23">
        <f t="shared" si="6"/>
        <v>11875</v>
      </c>
      <c r="K23">
        <f t="shared" si="6"/>
        <v>11875</v>
      </c>
      <c r="L23">
        <f t="shared" si="6"/>
        <v>11875</v>
      </c>
      <c r="M23">
        <f t="shared" si="6"/>
        <v>11875</v>
      </c>
      <c r="N23" s="46">
        <f>$C23/80*各种公式!$J$4</f>
        <v>11875</v>
      </c>
      <c r="O23" s="153">
        <f>$C23/80*各种公式!$J$6</f>
        <v>4750</v>
      </c>
      <c r="P23" s="153">
        <f>$C23/80*各种公式!$J$6</f>
        <v>4750</v>
      </c>
      <c r="Q23" s="153">
        <f>$C23/80*各种公式!$J$8</f>
        <v>2375</v>
      </c>
      <c r="R23" s="153">
        <f>$C23/80*各种公式!$J$9</f>
        <v>4750</v>
      </c>
      <c r="S23" s="153">
        <f>$C23/80*各种公式!$J$10</f>
        <v>4750</v>
      </c>
      <c r="T23">
        <f>SUMPRODUCT(D23:F23,各种公式!$C$13:$E$13)</f>
        <v>3138.1399966304352</v>
      </c>
    </row>
    <row r="24" spans="1:20" x14ac:dyDescent="0.15">
      <c r="A24" s="121">
        <f t="shared" si="1"/>
        <v>5.8139534883720929E-2</v>
      </c>
      <c r="B24">
        <v>3.8</v>
      </c>
      <c r="C24">
        <v>20</v>
      </c>
      <c r="D24" s="35">
        <f t="shared" si="2"/>
        <v>18138.521739130436</v>
      </c>
      <c r="E24" s="35">
        <f t="shared" si="3"/>
        <v>1898.217391304348</v>
      </c>
      <c r="F24" s="35">
        <f t="shared" si="4"/>
        <v>843.65217391304361</v>
      </c>
      <c r="G24">
        <f>'2、属性成长'!E25</f>
        <v>1054.5652173913045</v>
      </c>
      <c r="H24">
        <f t="shared" si="5"/>
        <v>17.2</v>
      </c>
      <c r="I24">
        <v>0</v>
      </c>
      <c r="J24">
        <f t="shared" si="6"/>
        <v>12500</v>
      </c>
      <c r="K24">
        <f t="shared" si="6"/>
        <v>12500</v>
      </c>
      <c r="L24">
        <f t="shared" si="6"/>
        <v>12500</v>
      </c>
      <c r="M24">
        <f t="shared" si="6"/>
        <v>12500</v>
      </c>
      <c r="N24" s="46">
        <f>$C24/80*各种公式!$J$4</f>
        <v>12500</v>
      </c>
      <c r="O24" s="153">
        <f>$C24/80*各种公式!$J$6</f>
        <v>5000</v>
      </c>
      <c r="P24" s="153">
        <f>$C24/80*各种公式!$J$6</f>
        <v>5000</v>
      </c>
      <c r="Q24" s="153">
        <f>$C24/80*各种公式!$J$8</f>
        <v>2500</v>
      </c>
      <c r="R24" s="153">
        <f>$C24/80*各种公式!$J$9</f>
        <v>5000</v>
      </c>
      <c r="S24" s="153">
        <f>$C24/80*各种公式!$J$10</f>
        <v>5000</v>
      </c>
      <c r="T24">
        <f>SUMPRODUCT(D24:F24,各种公式!$C$13:$E$13)</f>
        <v>3467.4104347826092</v>
      </c>
    </row>
    <row r="25" spans="1:20" x14ac:dyDescent="0.15">
      <c r="A25" s="121">
        <f t="shared" si="1"/>
        <v>5.6465273856578201E-2</v>
      </c>
      <c r="B25">
        <v>3.9275000000000002</v>
      </c>
      <c r="C25">
        <v>21</v>
      </c>
      <c r="D25" s="35">
        <f t="shared" si="2"/>
        <v>20416.458562500007</v>
      </c>
      <c r="E25" s="35">
        <f t="shared" si="3"/>
        <v>2075.0776630434789</v>
      </c>
      <c r="F25" s="35">
        <f t="shared" si="4"/>
        <v>922.25673913043511</v>
      </c>
      <c r="G25">
        <f>'2、属性成长'!E26</f>
        <v>1152.8209239130438</v>
      </c>
      <c r="H25">
        <f t="shared" si="5"/>
        <v>17.71</v>
      </c>
      <c r="I25">
        <v>0</v>
      </c>
      <c r="J25">
        <f t="shared" si="6"/>
        <v>13125</v>
      </c>
      <c r="K25">
        <f t="shared" si="6"/>
        <v>13125</v>
      </c>
      <c r="L25">
        <f t="shared" si="6"/>
        <v>13125</v>
      </c>
      <c r="M25">
        <f t="shared" si="6"/>
        <v>13125</v>
      </c>
      <c r="N25" s="46">
        <f>$C25/80*各种公式!$J$4</f>
        <v>13125</v>
      </c>
      <c r="O25" s="153">
        <f>$C25/80*各种公式!$J$6</f>
        <v>5250</v>
      </c>
      <c r="P25" s="153">
        <f>$C25/80*各种公式!$J$6</f>
        <v>5250</v>
      </c>
      <c r="Q25" s="153">
        <f>$C25/80*各种公式!$J$8</f>
        <v>2625</v>
      </c>
      <c r="R25" s="153">
        <f>$C25/80*各种公式!$J$9</f>
        <v>5250</v>
      </c>
      <c r="S25" s="153">
        <f>$C25/80*各种公式!$J$10</f>
        <v>5250</v>
      </c>
      <c r="T25">
        <f>SUMPRODUCT(D25:F25,各种公式!$C$13:$E$13)</f>
        <v>3813.9927446739143</v>
      </c>
    </row>
    <row r="26" spans="1:20" x14ac:dyDescent="0.15">
      <c r="A26" s="121">
        <f t="shared" si="1"/>
        <v>5.4884742041712405E-2</v>
      </c>
      <c r="B26">
        <v>4.0549999999999997</v>
      </c>
      <c r="C26">
        <v>22</v>
      </c>
      <c r="D26" s="35">
        <f t="shared" si="2"/>
        <v>22868.793391304349</v>
      </c>
      <c r="E26" s="35">
        <f t="shared" si="3"/>
        <v>2259.266086956522</v>
      </c>
      <c r="F26" s="35">
        <f t="shared" si="4"/>
        <v>1004.1182608695653</v>
      </c>
      <c r="G26">
        <f>'2、属性成长'!E27</f>
        <v>1255.1478260869567</v>
      </c>
      <c r="H26">
        <f t="shared" si="5"/>
        <v>18.22</v>
      </c>
      <c r="I26">
        <v>0</v>
      </c>
      <c r="J26">
        <f t="shared" si="6"/>
        <v>13750</v>
      </c>
      <c r="K26">
        <f t="shared" si="6"/>
        <v>13750</v>
      </c>
      <c r="L26">
        <f t="shared" si="6"/>
        <v>13750</v>
      </c>
      <c r="M26">
        <f t="shared" si="6"/>
        <v>13750</v>
      </c>
      <c r="N26" s="46">
        <f>$C26/80*各种公式!$J$4</f>
        <v>13750.000000000002</v>
      </c>
      <c r="O26" s="153">
        <f>$C26/80*各种公式!$J$6</f>
        <v>5500</v>
      </c>
      <c r="P26" s="153">
        <f>$C26/80*各种公式!$J$6</f>
        <v>5500</v>
      </c>
      <c r="Q26" s="153">
        <f>$C26/80*各种公式!$J$8</f>
        <v>2750</v>
      </c>
      <c r="R26" s="153">
        <f>$C26/80*各种公式!$J$9</f>
        <v>5500</v>
      </c>
      <c r="S26" s="153">
        <f>$C26/80*各种公式!$J$10</f>
        <v>5500</v>
      </c>
      <c r="T26">
        <f>SUMPRODUCT(D26:F26,各种公式!$C$13:$E$13)</f>
        <v>4178.1360834782608</v>
      </c>
    </row>
    <row r="27" spans="1:20" x14ac:dyDescent="0.15">
      <c r="A27" s="121">
        <f t="shared" si="1"/>
        <v>5.3390282968499729E-2</v>
      </c>
      <c r="B27">
        <v>4.1825000000000001</v>
      </c>
      <c r="C27">
        <v>23</v>
      </c>
      <c r="D27" s="35">
        <f t="shared" si="2"/>
        <v>25977.209001045157</v>
      </c>
      <c r="E27" s="35">
        <f t="shared" si="3"/>
        <v>2496.4749707357864</v>
      </c>
      <c r="F27" s="35">
        <f t="shared" si="4"/>
        <v>1109.5444314381273</v>
      </c>
      <c r="G27">
        <f>'2、属性成长'!E28</f>
        <v>1386.9305392976592</v>
      </c>
      <c r="H27">
        <f t="shared" si="5"/>
        <v>18.73</v>
      </c>
      <c r="I27">
        <v>0</v>
      </c>
      <c r="J27">
        <f t="shared" si="6"/>
        <v>14375</v>
      </c>
      <c r="K27">
        <f t="shared" si="6"/>
        <v>14375</v>
      </c>
      <c r="L27">
        <f t="shared" si="6"/>
        <v>14375</v>
      </c>
      <c r="M27">
        <f t="shared" si="6"/>
        <v>14375</v>
      </c>
      <c r="N27" s="46">
        <f>$C27/80*各种公式!$J$4</f>
        <v>14374.999999999998</v>
      </c>
      <c r="O27" s="153">
        <f>$C27/80*各种公式!$J$6</f>
        <v>5750</v>
      </c>
      <c r="P27" s="153">
        <f>$C27/80*各种公式!$J$6</f>
        <v>5750</v>
      </c>
      <c r="Q27" s="153">
        <f>$C27/80*各种公式!$J$8</f>
        <v>2875</v>
      </c>
      <c r="R27" s="153">
        <f>$C27/80*各种公式!$J$9</f>
        <v>5750</v>
      </c>
      <c r="S27" s="153">
        <f>$C27/80*各种公式!$J$10</f>
        <v>5750</v>
      </c>
      <c r="T27">
        <f>SUMPRODUCT(D27:F27,各种公式!$C$13:$E$13)</f>
        <v>4645.10776221572</v>
      </c>
    </row>
    <row r="28" spans="1:20" x14ac:dyDescent="0.15">
      <c r="A28" s="121">
        <f t="shared" si="1"/>
        <v>5.1975051975051971E-2</v>
      </c>
      <c r="B28">
        <v>4.3100000000000005</v>
      </c>
      <c r="C28">
        <v>24</v>
      </c>
      <c r="D28" s="35">
        <f t="shared" si="2"/>
        <v>29327.9727826087</v>
      </c>
      <c r="E28" s="35">
        <f t="shared" si="3"/>
        <v>2743.781237458194</v>
      </c>
      <c r="F28" s="35">
        <f t="shared" si="4"/>
        <v>1219.4583277591973</v>
      </c>
      <c r="G28">
        <f>'2、属性成长'!E29</f>
        <v>1524.3229096989967</v>
      </c>
      <c r="H28">
        <f t="shared" si="5"/>
        <v>19.240000000000002</v>
      </c>
      <c r="I28">
        <v>0</v>
      </c>
      <c r="J28">
        <f t="shared" si="6"/>
        <v>15000</v>
      </c>
      <c r="K28">
        <f t="shared" si="6"/>
        <v>15000</v>
      </c>
      <c r="L28">
        <f t="shared" si="6"/>
        <v>15000</v>
      </c>
      <c r="M28">
        <f t="shared" si="6"/>
        <v>15000</v>
      </c>
      <c r="N28" s="46">
        <f>$C28/80*各种公式!$J$4</f>
        <v>15000</v>
      </c>
      <c r="O28" s="153">
        <f>$C28/80*各种公式!$J$6</f>
        <v>6000</v>
      </c>
      <c r="P28" s="153">
        <f>$C28/80*各种公式!$J$6</f>
        <v>6000</v>
      </c>
      <c r="Q28" s="153">
        <f>$C28/80*各种公式!$J$8</f>
        <v>3000</v>
      </c>
      <c r="R28" s="153">
        <f>$C28/80*各种公式!$J$9</f>
        <v>6000</v>
      </c>
      <c r="S28" s="153">
        <f>$C28/80*各种公式!$J$10</f>
        <v>6000</v>
      </c>
      <c r="T28">
        <f>SUMPRODUCT(D28:F28,各种公式!$C$13:$E$13)</f>
        <v>5136.3584765217392</v>
      </c>
    </row>
    <row r="29" spans="1:20" x14ac:dyDescent="0.15">
      <c r="A29" s="121">
        <f t="shared" si="1"/>
        <v>5.0632911392405063E-2</v>
      </c>
      <c r="B29">
        <v>4.4375</v>
      </c>
      <c r="C29">
        <v>25</v>
      </c>
      <c r="D29" s="35">
        <f t="shared" si="2"/>
        <v>32929.667511496664</v>
      </c>
      <c r="E29" s="35">
        <f t="shared" si="3"/>
        <v>3001.1848871237471</v>
      </c>
      <c r="F29" s="35">
        <f t="shared" si="4"/>
        <v>1333.8599498327765</v>
      </c>
      <c r="G29">
        <f>'2、属性成长'!E30</f>
        <v>1667.3249372909704</v>
      </c>
      <c r="H29">
        <f t="shared" si="5"/>
        <v>19.75</v>
      </c>
      <c r="I29">
        <v>0</v>
      </c>
      <c r="J29">
        <f t="shared" si="6"/>
        <v>15625</v>
      </c>
      <c r="K29">
        <f t="shared" si="6"/>
        <v>15625</v>
      </c>
      <c r="L29">
        <f t="shared" si="6"/>
        <v>15625</v>
      </c>
      <c r="M29">
        <f t="shared" si="6"/>
        <v>15625</v>
      </c>
      <c r="N29" s="46">
        <f>$C29/80*各种公式!$J$4</f>
        <v>15625</v>
      </c>
      <c r="O29" s="153">
        <f>$C29/80*各种公式!$J$6</f>
        <v>6250</v>
      </c>
      <c r="P29" s="153">
        <f>$C29/80*各种公式!$J$6</f>
        <v>6250</v>
      </c>
      <c r="Q29" s="153">
        <f>$C29/80*各种公式!$J$8</f>
        <v>3125</v>
      </c>
      <c r="R29" s="153">
        <f>$C29/80*各种公式!$J$9</f>
        <v>6250</v>
      </c>
      <c r="S29" s="153">
        <f>$C29/80*各种公式!$J$10</f>
        <v>6250</v>
      </c>
      <c r="T29">
        <f>SUMPRODUCT(D29:F29,各种公式!$C$13:$E$13)</f>
        <v>5652.23153741639</v>
      </c>
    </row>
    <row r="30" spans="1:20" x14ac:dyDescent="0.15">
      <c r="A30" s="121">
        <f t="shared" si="1"/>
        <v>4.9358341559723601E-2</v>
      </c>
      <c r="B30">
        <v>4.5649999999999995</v>
      </c>
      <c r="C30">
        <v>26</v>
      </c>
      <c r="D30" s="35">
        <f t="shared" si="2"/>
        <v>37257.666363210708</v>
      </c>
      <c r="E30" s="35">
        <f t="shared" si="3"/>
        <v>3310.1579197324422</v>
      </c>
      <c r="F30" s="35">
        <f t="shared" si="4"/>
        <v>1471.1812976588633</v>
      </c>
      <c r="G30">
        <f>'2、属性成长'!E31</f>
        <v>1838.9766220735789</v>
      </c>
      <c r="H30">
        <f t="shared" si="5"/>
        <v>20.259999999999998</v>
      </c>
      <c r="I30">
        <v>0</v>
      </c>
      <c r="J30">
        <f t="shared" si="6"/>
        <v>16250</v>
      </c>
      <c r="K30">
        <f t="shared" si="6"/>
        <v>16250</v>
      </c>
      <c r="L30">
        <f t="shared" si="6"/>
        <v>16250</v>
      </c>
      <c r="M30">
        <f t="shared" si="6"/>
        <v>16250</v>
      </c>
      <c r="N30" s="46">
        <f>$C30/80*各种公式!$J$4</f>
        <v>16250</v>
      </c>
      <c r="O30" s="153">
        <f>$C30/80*各种公式!$J$6</f>
        <v>6500</v>
      </c>
      <c r="P30" s="153">
        <f>$C30/80*各种公式!$J$6</f>
        <v>6500</v>
      </c>
      <c r="Q30" s="153">
        <f>$C30/80*各种公式!$J$8</f>
        <v>3250</v>
      </c>
      <c r="R30" s="153">
        <f>$C30/80*各种公式!$J$9</f>
        <v>6500</v>
      </c>
      <c r="S30" s="153">
        <f>$C30/80*各种公式!$J$10</f>
        <v>6500</v>
      </c>
      <c r="T30">
        <f>SUMPRODUCT(D30:F30,各种公式!$C$13:$E$13)</f>
        <v>6271.6458719197344</v>
      </c>
    </row>
    <row r="31" spans="1:20" x14ac:dyDescent="0.15">
      <c r="A31" s="121">
        <f t="shared" si="1"/>
        <v>4.8146364949446317E-2</v>
      </c>
      <c r="B31">
        <v>4.6924999999999999</v>
      </c>
      <c r="C31">
        <v>27</v>
      </c>
      <c r="D31" s="35">
        <f t="shared" si="2"/>
        <v>41903.848113252519</v>
      </c>
      <c r="E31" s="35">
        <f t="shared" si="3"/>
        <v>3631.5323352842815</v>
      </c>
      <c r="F31" s="35">
        <f t="shared" si="4"/>
        <v>1614.0143712374586</v>
      </c>
      <c r="G31">
        <f>'2、属性成长'!E32</f>
        <v>2017.5179640468232</v>
      </c>
      <c r="H31">
        <f t="shared" si="5"/>
        <v>20.77</v>
      </c>
      <c r="I31">
        <v>0</v>
      </c>
      <c r="J31">
        <f t="shared" si="6"/>
        <v>16875</v>
      </c>
      <c r="K31">
        <f t="shared" si="6"/>
        <v>16875</v>
      </c>
      <c r="L31">
        <f t="shared" si="6"/>
        <v>16875</v>
      </c>
      <c r="M31">
        <f t="shared" si="6"/>
        <v>16875</v>
      </c>
      <c r="N31" s="46">
        <f>$C31/80*各种公式!$J$4</f>
        <v>16875</v>
      </c>
      <c r="O31" s="153">
        <f>$C31/80*各种公式!$J$6</f>
        <v>6750</v>
      </c>
      <c r="P31" s="153">
        <f>$C31/80*各种公式!$J$6</f>
        <v>6750</v>
      </c>
      <c r="Q31" s="153">
        <f>$C31/80*各种公式!$J$8</f>
        <v>3375</v>
      </c>
      <c r="R31" s="153">
        <f>$C31/80*各种公式!$J$9</f>
        <v>6750</v>
      </c>
      <c r="S31" s="153">
        <f>$C31/80*各种公式!$J$10</f>
        <v>6750</v>
      </c>
      <c r="T31">
        <f>SUMPRODUCT(D31:F31,各种公式!$C$13:$E$13)</f>
        <v>6921.7006310518409</v>
      </c>
    </row>
    <row r="32" spans="1:20" x14ac:dyDescent="0.15">
      <c r="A32" s="121">
        <f t="shared" si="1"/>
        <v>4.6992481203007516E-2</v>
      </c>
      <c r="B32">
        <v>4.82</v>
      </c>
      <c r="C32">
        <v>28</v>
      </c>
      <c r="D32" s="35">
        <f t="shared" si="2"/>
        <v>46878.753937123758</v>
      </c>
      <c r="E32" s="35">
        <f t="shared" si="3"/>
        <v>3965.3081337792655</v>
      </c>
      <c r="F32" s="35">
        <f t="shared" si="4"/>
        <v>1762.3591705685624</v>
      </c>
      <c r="G32">
        <f>'2、属性成长'!E33</f>
        <v>2202.9489632107029</v>
      </c>
      <c r="H32">
        <f t="shared" si="5"/>
        <v>21.28</v>
      </c>
      <c r="I32">
        <v>0</v>
      </c>
      <c r="J32">
        <f t="shared" si="6"/>
        <v>17500</v>
      </c>
      <c r="K32">
        <f t="shared" si="6"/>
        <v>17500</v>
      </c>
      <c r="L32">
        <f t="shared" si="6"/>
        <v>17500</v>
      </c>
      <c r="M32">
        <f t="shared" si="6"/>
        <v>17500</v>
      </c>
      <c r="N32" s="46">
        <f>$C32/80*各种公式!$J$4</f>
        <v>17500</v>
      </c>
      <c r="O32" s="153">
        <f>$C32/80*各种公式!$J$6</f>
        <v>7000</v>
      </c>
      <c r="P32" s="153">
        <f>$C32/80*各种公式!$J$6</f>
        <v>7000</v>
      </c>
      <c r="Q32" s="153">
        <f>$C32/80*各种公式!$J$8</f>
        <v>3500</v>
      </c>
      <c r="R32" s="153">
        <f>$C32/80*各种公式!$J$9</f>
        <v>7000</v>
      </c>
      <c r="S32" s="153">
        <f>$C32/80*各种公式!$J$10</f>
        <v>7000</v>
      </c>
      <c r="T32">
        <f>SUMPRODUCT(D32:F32,各种公式!$C$13:$E$13)</f>
        <v>7602.8174618327785</v>
      </c>
    </row>
    <row r="33" spans="1:20" x14ac:dyDescent="0.15">
      <c r="A33" s="121">
        <f t="shared" si="1"/>
        <v>4.5892611289582379E-2</v>
      </c>
      <c r="B33">
        <v>4.9474999999999998</v>
      </c>
      <c r="C33">
        <v>29</v>
      </c>
      <c r="D33" s="35">
        <f t="shared" si="2"/>
        <v>52192.925010326107</v>
      </c>
      <c r="E33" s="35">
        <f t="shared" si="3"/>
        <v>4311.4853152173928</v>
      </c>
      <c r="F33" s="35">
        <f t="shared" si="4"/>
        <v>1916.2156956521749</v>
      </c>
      <c r="G33">
        <f>'2、属性成长'!E34</f>
        <v>2395.2696195652184</v>
      </c>
      <c r="H33">
        <f t="shared" si="5"/>
        <v>21.79</v>
      </c>
      <c r="I33">
        <v>0</v>
      </c>
      <c r="J33">
        <f t="shared" si="6"/>
        <v>18125</v>
      </c>
      <c r="K33">
        <f t="shared" si="6"/>
        <v>18125</v>
      </c>
      <c r="L33">
        <f t="shared" si="6"/>
        <v>18125</v>
      </c>
      <c r="M33">
        <f t="shared" si="6"/>
        <v>18125</v>
      </c>
      <c r="N33" s="46">
        <f>$C33/80*各种公式!$J$4</f>
        <v>18125</v>
      </c>
      <c r="O33" s="153">
        <f>$C33/80*各种公式!$J$6</f>
        <v>7250</v>
      </c>
      <c r="P33" s="153">
        <f>$C33/80*各种公式!$J$6</f>
        <v>7250</v>
      </c>
      <c r="Q33" s="153">
        <f>$C33/80*各种公式!$J$8</f>
        <v>3625</v>
      </c>
      <c r="R33" s="153">
        <f>$C33/80*各种公式!$J$9</f>
        <v>7250</v>
      </c>
      <c r="S33" s="153">
        <f>$C33/80*各种公式!$J$10</f>
        <v>7250</v>
      </c>
      <c r="T33">
        <f>SUMPRODUCT(D33:F33,各种公式!$C$13:$E$13)</f>
        <v>8315.4180112826107</v>
      </c>
    </row>
    <row r="34" spans="1:20" x14ac:dyDescent="0.15">
      <c r="A34" s="121">
        <f t="shared" si="1"/>
        <v>4.4843049327354258E-2</v>
      </c>
      <c r="B34">
        <v>5.0750000000000002</v>
      </c>
      <c r="C34">
        <v>30</v>
      </c>
      <c r="D34" s="35">
        <f t="shared" si="2"/>
        <v>58580.113789715739</v>
      </c>
      <c r="E34" s="35">
        <f t="shared" si="3"/>
        <v>4728.4396780936477</v>
      </c>
      <c r="F34" s="35">
        <f t="shared" si="4"/>
        <v>2101.5287458193989</v>
      </c>
      <c r="G34">
        <f>'2、属性成长'!E35</f>
        <v>2626.9109322742484</v>
      </c>
      <c r="H34">
        <f t="shared" si="5"/>
        <v>22.3</v>
      </c>
      <c r="I34">
        <v>0</v>
      </c>
      <c r="J34">
        <f t="shared" si="6"/>
        <v>18750</v>
      </c>
      <c r="K34">
        <f t="shared" si="6"/>
        <v>18750</v>
      </c>
      <c r="L34">
        <f t="shared" si="6"/>
        <v>18750</v>
      </c>
      <c r="M34">
        <f t="shared" si="6"/>
        <v>18750</v>
      </c>
      <c r="N34" s="46">
        <f>$C34/80*各种公式!$J$4</f>
        <v>18750</v>
      </c>
      <c r="O34" s="153">
        <f>$C34/80*各种公式!$J$6</f>
        <v>7500</v>
      </c>
      <c r="P34" s="153">
        <f>$C34/80*各种公式!$J$6</f>
        <v>7500</v>
      </c>
      <c r="Q34" s="153">
        <f>$C34/80*各种公式!$J$8</f>
        <v>3750</v>
      </c>
      <c r="R34" s="153">
        <f>$C34/80*各种公式!$J$9</f>
        <v>7500</v>
      </c>
      <c r="S34" s="153">
        <f>$C34/80*各种公式!$J$10</f>
        <v>7500</v>
      </c>
      <c r="T34">
        <f>SUMPRODUCT(D34:F34,各种公式!$C$13:$E$13)</f>
        <v>9173.172975501675</v>
      </c>
    </row>
    <row r="35" spans="1:20" x14ac:dyDescent="0.15">
      <c r="A35" s="121">
        <f t="shared" si="1"/>
        <v>4.3840420868040332E-2</v>
      </c>
      <c r="B35">
        <v>5.2025000000000006</v>
      </c>
      <c r="C35">
        <v>31</v>
      </c>
      <c r="D35" s="35">
        <f t="shared" si="2"/>
        <v>65439.306328846171</v>
      </c>
      <c r="E35" s="35">
        <f t="shared" si="3"/>
        <v>5163.9961153846161</v>
      </c>
      <c r="F35" s="35">
        <f t="shared" si="4"/>
        <v>2295.1093846153849</v>
      </c>
      <c r="G35">
        <f>'2、属性成长'!E36</f>
        <v>2868.8867307692312</v>
      </c>
      <c r="H35">
        <f t="shared" si="5"/>
        <v>22.810000000000002</v>
      </c>
      <c r="I35">
        <v>0</v>
      </c>
      <c r="J35">
        <f t="shared" si="6"/>
        <v>19375</v>
      </c>
      <c r="K35">
        <f t="shared" si="6"/>
        <v>19375</v>
      </c>
      <c r="L35">
        <f t="shared" si="6"/>
        <v>19375</v>
      </c>
      <c r="M35">
        <f t="shared" si="6"/>
        <v>19375</v>
      </c>
      <c r="N35" s="46">
        <f>$C35/80*各种公式!$J$4</f>
        <v>19375</v>
      </c>
      <c r="O35" s="153">
        <f>$C35/80*各种公式!$J$6</f>
        <v>7750</v>
      </c>
      <c r="P35" s="153">
        <f>$C35/80*各种公式!$J$6</f>
        <v>7750</v>
      </c>
      <c r="Q35" s="153">
        <f>$C35/80*各种公式!$J$8</f>
        <v>3875</v>
      </c>
      <c r="R35" s="153">
        <f>$C35/80*各种公式!$J$9</f>
        <v>7750</v>
      </c>
      <c r="S35" s="153">
        <f>$C35/80*各种公式!$J$10</f>
        <v>7750</v>
      </c>
      <c r="T35">
        <f>SUMPRODUCT(D35:F35,各种公式!$C$13:$E$13)</f>
        <v>10076.677753153848</v>
      </c>
    </row>
    <row r="36" spans="1:20" x14ac:dyDescent="0.15">
      <c r="A36" s="121">
        <f t="shared" si="1"/>
        <v>4.2881646655231559E-2</v>
      </c>
      <c r="B36">
        <v>5.33</v>
      </c>
      <c r="C36">
        <v>32</v>
      </c>
      <c r="D36" s="35">
        <f t="shared" si="2"/>
        <v>72812.7775214047</v>
      </c>
      <c r="E36" s="35">
        <f t="shared" si="3"/>
        <v>5620.1972357859549</v>
      </c>
      <c r="F36" s="35">
        <f t="shared" si="4"/>
        <v>2497.8654381270912</v>
      </c>
      <c r="G36">
        <f>'2、属性成长'!E37</f>
        <v>3122.3317976588637</v>
      </c>
      <c r="H36">
        <f t="shared" si="5"/>
        <v>23.32</v>
      </c>
      <c r="I36">
        <v>0</v>
      </c>
      <c r="J36">
        <f t="shared" si="6"/>
        <v>20000</v>
      </c>
      <c r="K36">
        <f t="shared" si="6"/>
        <v>20000</v>
      </c>
      <c r="L36">
        <f t="shared" si="6"/>
        <v>20000</v>
      </c>
      <c r="M36">
        <f t="shared" si="6"/>
        <v>20000</v>
      </c>
      <c r="N36" s="46">
        <f>$C36/80*各种公式!$J$4</f>
        <v>20000</v>
      </c>
      <c r="O36" s="153">
        <f>$C36/80*各种公式!$J$6</f>
        <v>8000</v>
      </c>
      <c r="P36" s="153">
        <f>$C36/80*各种公式!$J$6</f>
        <v>8000</v>
      </c>
      <c r="Q36" s="153">
        <f>$C36/80*各种公式!$J$8</f>
        <v>4000</v>
      </c>
      <c r="R36" s="153">
        <f>$C36/80*各种公式!$J$9</f>
        <v>8000</v>
      </c>
      <c r="S36" s="153">
        <f>$C36/80*各种公式!$J$10</f>
        <v>8000</v>
      </c>
      <c r="T36">
        <f>SUMPRODUCT(D36:F36,各种公式!$C$13:$E$13)</f>
        <v>11030.573774769235</v>
      </c>
    </row>
    <row r="37" spans="1:20" x14ac:dyDescent="0.15">
      <c r="A37" s="121">
        <f t="shared" si="1"/>
        <v>4.1963911036508601E-2</v>
      </c>
      <c r="B37">
        <v>5.4575000000000005</v>
      </c>
      <c r="C37">
        <v>33</v>
      </c>
      <c r="D37" s="35">
        <f t="shared" si="2"/>
        <v>80692.898434991686</v>
      </c>
      <c r="E37" s="35">
        <f t="shared" si="3"/>
        <v>6095.1413001672272</v>
      </c>
      <c r="F37" s="35">
        <f t="shared" si="4"/>
        <v>2708.9516889632123</v>
      </c>
      <c r="G37">
        <f>'2、属性成长'!E38</f>
        <v>3386.1896112040149</v>
      </c>
      <c r="H37">
        <f t="shared" si="5"/>
        <v>23.830000000000002</v>
      </c>
      <c r="I37">
        <v>0</v>
      </c>
      <c r="J37">
        <f t="shared" si="6"/>
        <v>20625</v>
      </c>
      <c r="K37">
        <f t="shared" si="6"/>
        <v>20625</v>
      </c>
      <c r="L37">
        <f t="shared" si="6"/>
        <v>20625</v>
      </c>
      <c r="M37">
        <f t="shared" si="6"/>
        <v>20625</v>
      </c>
      <c r="N37" s="46">
        <f>$C37/80*各种公式!$J$4</f>
        <v>20625</v>
      </c>
      <c r="O37" s="153">
        <f>$C37/80*各种公式!$J$6</f>
        <v>8250</v>
      </c>
      <c r="P37" s="153">
        <f>$C37/80*各种公式!$J$6</f>
        <v>8250</v>
      </c>
      <c r="Q37" s="153">
        <f>$C37/80*各种公式!$J$8</f>
        <v>4125</v>
      </c>
      <c r="R37" s="153">
        <f>$C37/80*各种公式!$J$9</f>
        <v>8250</v>
      </c>
      <c r="S37" s="153">
        <f>$C37/80*各种公式!$J$10</f>
        <v>8250</v>
      </c>
      <c r="T37">
        <f>SUMPRODUCT(D37:F37,各种公式!$C$13:$E$13)</f>
        <v>12031.808926530108</v>
      </c>
    </row>
    <row r="38" spans="1:20" x14ac:dyDescent="0.15">
      <c r="A38" s="121">
        <f t="shared" si="1"/>
        <v>4.1084634346754315E-2</v>
      </c>
      <c r="B38">
        <v>5.585</v>
      </c>
      <c r="C38">
        <v>34</v>
      </c>
      <c r="D38" s="35">
        <f t="shared" si="2"/>
        <v>89095.600571989969</v>
      </c>
      <c r="E38" s="35">
        <f t="shared" si="3"/>
        <v>6588.8283085284293</v>
      </c>
      <c r="F38" s="35">
        <f t="shared" si="4"/>
        <v>2928.3681371237462</v>
      </c>
      <c r="G38">
        <f>'2、属性成长'!E39</f>
        <v>3660.4601714046826</v>
      </c>
      <c r="H38">
        <f t="shared" si="5"/>
        <v>24.34</v>
      </c>
      <c r="I38">
        <v>0</v>
      </c>
      <c r="J38">
        <f t="shared" ref="J38:M69" si="7">50000/80*$C38</f>
        <v>21250</v>
      </c>
      <c r="K38">
        <f t="shared" si="7"/>
        <v>21250</v>
      </c>
      <c r="L38">
        <f t="shared" si="7"/>
        <v>21250</v>
      </c>
      <c r="M38">
        <f t="shared" si="7"/>
        <v>21250</v>
      </c>
      <c r="N38" s="46">
        <f>$C38/80*各种公式!$J$4</f>
        <v>21250</v>
      </c>
      <c r="O38" s="153">
        <f>$C38/80*各种公式!$J$6</f>
        <v>8500</v>
      </c>
      <c r="P38" s="153">
        <f>$C38/80*各种公式!$J$6</f>
        <v>8500</v>
      </c>
      <c r="Q38" s="153">
        <f>$C38/80*各种公式!$J$8</f>
        <v>4250</v>
      </c>
      <c r="R38" s="153">
        <f>$C38/80*各种公式!$J$9</f>
        <v>8500</v>
      </c>
      <c r="S38" s="153">
        <f>$C38/80*各种公式!$J$10</f>
        <v>8500</v>
      </c>
      <c r="T38">
        <f>SUMPRODUCT(D38:F38,各种公式!$C$13:$E$13)</f>
        <v>13081.020468531773</v>
      </c>
    </row>
    <row r="39" spans="1:20" x14ac:dyDescent="0.15">
      <c r="A39" s="121">
        <f t="shared" si="1"/>
        <v>4.0241448692152917E-2</v>
      </c>
      <c r="B39">
        <v>5.7125000000000004</v>
      </c>
      <c r="C39">
        <v>35</v>
      </c>
      <c r="D39" s="35">
        <f t="shared" si="2"/>
        <v>98036.81543478262</v>
      </c>
      <c r="E39" s="35">
        <f t="shared" si="3"/>
        <v>7101.2582608695666</v>
      </c>
      <c r="F39" s="35">
        <f t="shared" si="4"/>
        <v>3156.1147826086963</v>
      </c>
      <c r="G39">
        <f>'2、属性成长'!E40</f>
        <v>3945.1434782608699</v>
      </c>
      <c r="H39">
        <f t="shared" si="5"/>
        <v>24.85</v>
      </c>
      <c r="I39">
        <v>0</v>
      </c>
      <c r="J39">
        <f t="shared" si="7"/>
        <v>21875</v>
      </c>
      <c r="K39">
        <f t="shared" si="7"/>
        <v>21875</v>
      </c>
      <c r="L39">
        <f t="shared" si="7"/>
        <v>21875</v>
      </c>
      <c r="M39">
        <f t="shared" si="7"/>
        <v>21875</v>
      </c>
      <c r="N39" s="46">
        <f>$C39/80*各种公式!$J$4</f>
        <v>21875</v>
      </c>
      <c r="O39" s="153">
        <f>$C39/80*各种公式!$J$6</f>
        <v>8750</v>
      </c>
      <c r="P39" s="153">
        <f>$C39/80*各种公式!$J$6</f>
        <v>8750</v>
      </c>
      <c r="Q39" s="153">
        <f>$C39/80*各种公式!$J$8</f>
        <v>4375</v>
      </c>
      <c r="R39" s="153">
        <f>$C39/80*各种公式!$J$9</f>
        <v>8750</v>
      </c>
      <c r="S39" s="153">
        <f>$C39/80*各种公式!$J$10</f>
        <v>8750</v>
      </c>
      <c r="T39">
        <f>SUMPRODUCT(D39:F39,各种公式!$C$13:$E$13)</f>
        <v>14178.845660869567</v>
      </c>
    </row>
    <row r="40" spans="1:20" x14ac:dyDescent="0.15">
      <c r="A40" s="121">
        <f t="shared" si="1"/>
        <v>3.9432176656151417E-2</v>
      </c>
      <c r="B40">
        <v>5.84</v>
      </c>
      <c r="C40">
        <v>36</v>
      </c>
      <c r="D40" s="35">
        <f t="shared" si="2"/>
        <v>107532.47452575252</v>
      </c>
      <c r="E40" s="35">
        <f t="shared" si="3"/>
        <v>7632.4311571906364</v>
      </c>
      <c r="F40" s="35">
        <f t="shared" si="4"/>
        <v>3392.191625418061</v>
      </c>
      <c r="G40">
        <f>'2、属性成长'!E41</f>
        <v>4240.2395317725759</v>
      </c>
      <c r="H40">
        <f t="shared" si="5"/>
        <v>25.36</v>
      </c>
      <c r="I40">
        <v>0</v>
      </c>
      <c r="J40">
        <f t="shared" si="7"/>
        <v>22500</v>
      </c>
      <c r="K40">
        <f t="shared" si="7"/>
        <v>22500</v>
      </c>
      <c r="L40">
        <f t="shared" si="7"/>
        <v>22500</v>
      </c>
      <c r="M40">
        <f t="shared" si="7"/>
        <v>22500</v>
      </c>
      <c r="N40" s="46">
        <f>$C40/80*各种公式!$J$4</f>
        <v>22500</v>
      </c>
      <c r="O40" s="153">
        <f>$C40/80*各种公式!$J$6</f>
        <v>9000</v>
      </c>
      <c r="P40" s="153">
        <f>$C40/80*各种公式!$J$6</f>
        <v>9000</v>
      </c>
      <c r="Q40" s="153">
        <f>$C40/80*各种公式!$J$8</f>
        <v>4500</v>
      </c>
      <c r="R40" s="153">
        <f>$C40/80*各种公式!$J$9</f>
        <v>9000</v>
      </c>
      <c r="S40" s="153">
        <f>$C40/80*各种公式!$J$10</f>
        <v>9000</v>
      </c>
      <c r="T40">
        <f>SUMPRODUCT(D40:F40,各种公式!$C$13:$E$13)</f>
        <v>15325.921763638798</v>
      </c>
    </row>
    <row r="41" spans="1:20" x14ac:dyDescent="0.15">
      <c r="A41" s="121">
        <f t="shared" si="1"/>
        <v>3.8654812524159254E-2</v>
      </c>
      <c r="B41">
        <v>5.9675000000000002</v>
      </c>
      <c r="C41">
        <v>37</v>
      </c>
      <c r="D41" s="35">
        <f t="shared" si="2"/>
        <v>117598.50934728263</v>
      </c>
      <c r="E41" s="35">
        <f t="shared" si="3"/>
        <v>8182.3469974916397</v>
      </c>
      <c r="F41" s="35">
        <f t="shared" si="4"/>
        <v>3636.59866555184</v>
      </c>
      <c r="G41">
        <f>'2、属性成长'!E42</f>
        <v>4545.7483319397998</v>
      </c>
      <c r="H41">
        <f t="shared" si="5"/>
        <v>25.87</v>
      </c>
      <c r="I41">
        <v>0</v>
      </c>
      <c r="J41">
        <f t="shared" si="7"/>
        <v>23125</v>
      </c>
      <c r="K41">
        <f t="shared" si="7"/>
        <v>23125</v>
      </c>
      <c r="L41">
        <f t="shared" si="7"/>
        <v>23125</v>
      </c>
      <c r="M41">
        <f t="shared" si="7"/>
        <v>23125</v>
      </c>
      <c r="N41" s="46">
        <f>$C41/80*各种公式!$J$4</f>
        <v>23125</v>
      </c>
      <c r="O41" s="153">
        <f>$C41/80*各种公式!$J$6</f>
        <v>9250</v>
      </c>
      <c r="P41" s="153">
        <f>$C41/80*各种公式!$J$6</f>
        <v>9250</v>
      </c>
      <c r="Q41" s="153">
        <f>$C41/80*各种公式!$J$8</f>
        <v>4625</v>
      </c>
      <c r="R41" s="153">
        <f>$C41/80*各种公式!$J$9</f>
        <v>9250</v>
      </c>
      <c r="S41" s="153">
        <f>$C41/80*各种公式!$J$10</f>
        <v>9250</v>
      </c>
      <c r="T41">
        <f>SUMPRODUCT(D41:F41,各种公式!$C$13:$E$13)</f>
        <v>16522.886036934786</v>
      </c>
    </row>
    <row r="42" spans="1:20" x14ac:dyDescent="0.15">
      <c r="A42" s="121">
        <f t="shared" si="1"/>
        <v>3.7907505686125852E-2</v>
      </c>
      <c r="B42">
        <v>6.0949999999999998</v>
      </c>
      <c r="C42">
        <v>38</v>
      </c>
      <c r="D42" s="35">
        <f t="shared" si="2"/>
        <v>128250.85140175585</v>
      </c>
      <c r="E42" s="35">
        <f t="shared" si="3"/>
        <v>8751.0057817725756</v>
      </c>
      <c r="F42" s="35">
        <f t="shared" si="4"/>
        <v>3889.3359030100337</v>
      </c>
      <c r="G42">
        <f>'2、属性成长'!E43</f>
        <v>4861.6698787625419</v>
      </c>
      <c r="H42">
        <f t="shared" si="5"/>
        <v>26.38</v>
      </c>
      <c r="I42">
        <v>0</v>
      </c>
      <c r="J42">
        <f t="shared" si="7"/>
        <v>23750</v>
      </c>
      <c r="K42">
        <f t="shared" si="7"/>
        <v>23750</v>
      </c>
      <c r="L42">
        <f t="shared" si="7"/>
        <v>23750</v>
      </c>
      <c r="M42">
        <f t="shared" si="7"/>
        <v>23750</v>
      </c>
      <c r="N42" s="46">
        <f>$C42/80*各种公式!$J$4</f>
        <v>23750</v>
      </c>
      <c r="O42" s="153">
        <f>$C42/80*各种公式!$J$6</f>
        <v>9500</v>
      </c>
      <c r="P42" s="153">
        <f>$C42/80*各种公式!$J$6</f>
        <v>9500</v>
      </c>
      <c r="Q42" s="153">
        <f>$C42/80*各种公式!$J$8</f>
        <v>4750</v>
      </c>
      <c r="R42" s="153">
        <f>$C42/80*各种公式!$J$9</f>
        <v>9500</v>
      </c>
      <c r="S42" s="153">
        <f>$C42/80*各种公式!$J$10</f>
        <v>9500</v>
      </c>
      <c r="T42">
        <f>SUMPRODUCT(D42:F42,各种公式!$C$13:$E$13)</f>
        <v>17770.375740852844</v>
      </c>
    </row>
    <row r="43" spans="1:20" x14ac:dyDescent="0.15">
      <c r="A43" s="121">
        <f t="shared" si="1"/>
        <v>3.718854592785422E-2</v>
      </c>
      <c r="B43">
        <v>6.2225000000000001</v>
      </c>
      <c r="C43">
        <v>39</v>
      </c>
      <c r="D43" s="35">
        <f t="shared" si="2"/>
        <v>139505.43219155521</v>
      </c>
      <c r="E43" s="35">
        <f t="shared" si="3"/>
        <v>9338.4075100334449</v>
      </c>
      <c r="F43" s="35">
        <f t="shared" si="4"/>
        <v>4150.4033377926426</v>
      </c>
      <c r="G43">
        <f>'2、属性成长'!E44</f>
        <v>5188.0041722408032</v>
      </c>
      <c r="H43">
        <f t="shared" si="5"/>
        <v>26.89</v>
      </c>
      <c r="I43">
        <v>0</v>
      </c>
      <c r="J43">
        <f t="shared" si="7"/>
        <v>24375</v>
      </c>
      <c r="K43">
        <f t="shared" si="7"/>
        <v>24375</v>
      </c>
      <c r="L43">
        <f t="shared" si="7"/>
        <v>24375</v>
      </c>
      <c r="M43">
        <f t="shared" si="7"/>
        <v>24375</v>
      </c>
      <c r="N43" s="46">
        <f>$C43/80*各种公式!$J$4</f>
        <v>24375</v>
      </c>
      <c r="O43" s="153">
        <f>$C43/80*各种公式!$J$6</f>
        <v>9750</v>
      </c>
      <c r="P43" s="153">
        <f>$C43/80*各种公式!$J$6</f>
        <v>9750</v>
      </c>
      <c r="Q43" s="153">
        <f>$C43/80*各种公式!$J$8</f>
        <v>4875</v>
      </c>
      <c r="R43" s="153">
        <f>$C43/80*各种公式!$J$9</f>
        <v>9750</v>
      </c>
      <c r="S43" s="153">
        <f>$C43/80*各种公式!$J$10</f>
        <v>9750</v>
      </c>
      <c r="T43">
        <f>SUMPRODUCT(D43:F43,各种公式!$C$13:$E$13)</f>
        <v>19069.028135488297</v>
      </c>
    </row>
    <row r="44" spans="1:20" x14ac:dyDescent="0.15">
      <c r="A44" s="121">
        <f t="shared" si="1"/>
        <v>3.6496350364963508E-2</v>
      </c>
      <c r="B44">
        <v>6.35</v>
      </c>
      <c r="C44">
        <v>40</v>
      </c>
      <c r="D44" s="35">
        <f t="shared" si="2"/>
        <v>152741.95063545156</v>
      </c>
      <c r="E44" s="35">
        <f t="shared" si="3"/>
        <v>10034.14274247492</v>
      </c>
      <c r="F44" s="35">
        <f t="shared" si="4"/>
        <v>4459.6189966555203</v>
      </c>
      <c r="G44">
        <f>'2、属性成长'!E45</f>
        <v>5574.5237458194006</v>
      </c>
      <c r="H44">
        <f t="shared" si="5"/>
        <v>27.4</v>
      </c>
      <c r="I44">
        <v>0</v>
      </c>
      <c r="J44">
        <f t="shared" si="7"/>
        <v>25000</v>
      </c>
      <c r="K44">
        <f t="shared" si="7"/>
        <v>25000</v>
      </c>
      <c r="L44">
        <f t="shared" si="7"/>
        <v>25000</v>
      </c>
      <c r="M44">
        <f t="shared" si="7"/>
        <v>25000</v>
      </c>
      <c r="N44" s="46">
        <f>$C44/80*各种公式!$J$4</f>
        <v>25000</v>
      </c>
      <c r="O44" s="153">
        <f>$C44/80*各种公式!$J$6</f>
        <v>10000</v>
      </c>
      <c r="P44" s="153">
        <f>$C44/80*各种公式!$J$6</f>
        <v>10000</v>
      </c>
      <c r="Q44" s="153">
        <f>$C44/80*各种公式!$J$8</f>
        <v>5000</v>
      </c>
      <c r="R44" s="153">
        <f>$C44/80*各种公式!$J$9</f>
        <v>10000</v>
      </c>
      <c r="S44" s="153">
        <f>$C44/80*各种公式!$J$10</f>
        <v>10000</v>
      </c>
      <c r="T44">
        <f>SUMPRODUCT(D44:F44,各种公式!$C$13:$E$13)</f>
        <v>20603.439764548504</v>
      </c>
    </row>
    <row r="45" spans="1:20" x14ac:dyDescent="0.15">
      <c r="A45" s="121">
        <f t="shared" si="1"/>
        <v>3.5829451809387319E-2</v>
      </c>
      <c r="B45">
        <v>6.4775</v>
      </c>
      <c r="C45">
        <v>41</v>
      </c>
      <c r="D45" s="35">
        <f t="shared" si="2"/>
        <v>166760.21205660541</v>
      </c>
      <c r="E45" s="35">
        <f t="shared" si="3"/>
        <v>10754.868566889636</v>
      </c>
      <c r="F45" s="35">
        <f t="shared" si="4"/>
        <v>4779.9415852842822</v>
      </c>
      <c r="G45">
        <f>'2、属性成长'!E46</f>
        <v>5974.9269816053529</v>
      </c>
      <c r="H45">
        <f t="shared" si="5"/>
        <v>27.91</v>
      </c>
      <c r="I45">
        <v>0</v>
      </c>
      <c r="J45">
        <f t="shared" si="7"/>
        <v>25625</v>
      </c>
      <c r="K45">
        <f t="shared" si="7"/>
        <v>25625</v>
      </c>
      <c r="L45">
        <f t="shared" si="7"/>
        <v>25625</v>
      </c>
      <c r="M45">
        <f t="shared" si="7"/>
        <v>25625</v>
      </c>
      <c r="N45" s="46">
        <f>$C45/80*各种公式!$J$4</f>
        <v>25624.999999999996</v>
      </c>
      <c r="O45" s="153">
        <f>$C45/80*各种公式!$J$6</f>
        <v>10250</v>
      </c>
      <c r="P45" s="153">
        <f>$C45/80*各种公式!$J$6</f>
        <v>10250</v>
      </c>
      <c r="Q45" s="153">
        <f>$C45/80*各种公式!$J$8</f>
        <v>5125</v>
      </c>
      <c r="R45" s="153">
        <f>$C45/80*各种公式!$J$9</f>
        <v>10250</v>
      </c>
      <c r="S45" s="153">
        <f>$C45/80*各种公式!$J$10</f>
        <v>10250</v>
      </c>
      <c r="T45">
        <f>SUMPRODUCT(D45:F45,各种公式!$C$13:$E$13)</f>
        <v>22205.218634438137</v>
      </c>
    </row>
    <row r="46" spans="1:20" x14ac:dyDescent="0.15">
      <c r="A46" s="121">
        <f t="shared" si="1"/>
        <v>3.5186488388458829E-2</v>
      </c>
      <c r="B46">
        <v>6.6050000000000004</v>
      </c>
      <c r="C46">
        <v>42</v>
      </c>
      <c r="D46" s="35">
        <f t="shared" si="2"/>
        <v>181581.45845819404</v>
      </c>
      <c r="E46" s="35">
        <f t="shared" si="3"/>
        <v>11500.584983277597</v>
      </c>
      <c r="F46" s="35">
        <f t="shared" si="4"/>
        <v>5111.3711036789318</v>
      </c>
      <c r="G46">
        <f>'2、属性成长'!E47</f>
        <v>6389.2138795986639</v>
      </c>
      <c r="H46">
        <f t="shared" si="5"/>
        <v>28.42</v>
      </c>
      <c r="I46">
        <v>0</v>
      </c>
      <c r="J46">
        <f t="shared" si="7"/>
        <v>26250</v>
      </c>
      <c r="K46">
        <f t="shared" si="7"/>
        <v>26250</v>
      </c>
      <c r="L46">
        <f t="shared" si="7"/>
        <v>26250</v>
      </c>
      <c r="M46">
        <f t="shared" si="7"/>
        <v>26250</v>
      </c>
      <c r="N46" s="46">
        <f>$C46/80*各种公式!$J$4</f>
        <v>26250</v>
      </c>
      <c r="O46" s="153">
        <f>$C46/80*各种公式!$J$6</f>
        <v>10500</v>
      </c>
      <c r="P46" s="153">
        <f>$C46/80*各种公式!$J$6</f>
        <v>10500</v>
      </c>
      <c r="Q46" s="153">
        <f>$C46/80*各种公式!$J$8</f>
        <v>5250</v>
      </c>
      <c r="R46" s="153">
        <f>$C46/80*各种公式!$J$9</f>
        <v>10500</v>
      </c>
      <c r="S46" s="153">
        <f>$C46/80*各种公式!$J$10</f>
        <v>10500</v>
      </c>
      <c r="T46">
        <f>SUMPRODUCT(D46:F46,各种公式!$C$13:$E$13)</f>
        <v>23875.214425284292</v>
      </c>
    </row>
    <row r="47" spans="1:20" x14ac:dyDescent="0.15">
      <c r="A47" s="121">
        <f t="shared" si="1"/>
        <v>3.4566194262011754E-2</v>
      </c>
      <c r="B47">
        <v>6.7324999999999999</v>
      </c>
      <c r="C47">
        <v>43</v>
      </c>
      <c r="D47" s="35">
        <f t="shared" si="2"/>
        <v>197226.93184339468</v>
      </c>
      <c r="E47" s="35">
        <f t="shared" si="3"/>
        <v>12271.291991638798</v>
      </c>
      <c r="F47" s="35">
        <f t="shared" si="4"/>
        <v>5453.9075518394666</v>
      </c>
      <c r="G47">
        <f>'2、属性成长'!E48</f>
        <v>6817.3844397993325</v>
      </c>
      <c r="H47">
        <f t="shared" si="5"/>
        <v>28.93</v>
      </c>
      <c r="I47">
        <v>0</v>
      </c>
      <c r="J47">
        <f t="shared" si="7"/>
        <v>26875</v>
      </c>
      <c r="K47">
        <f t="shared" si="7"/>
        <v>26875</v>
      </c>
      <c r="L47">
        <f t="shared" si="7"/>
        <v>26875</v>
      </c>
      <c r="M47">
        <f t="shared" si="7"/>
        <v>26875</v>
      </c>
      <c r="N47" s="46">
        <f>$C47/80*各种公式!$J$4</f>
        <v>26875</v>
      </c>
      <c r="O47" s="153">
        <f>$C47/80*各种公式!$J$6</f>
        <v>10750</v>
      </c>
      <c r="P47" s="153">
        <f>$C47/80*各种公式!$J$6</f>
        <v>10750</v>
      </c>
      <c r="Q47" s="153">
        <f>$C47/80*各种公式!$J$8</f>
        <v>5375</v>
      </c>
      <c r="R47" s="153">
        <f>$C47/80*各种公式!$J$9</f>
        <v>10750</v>
      </c>
      <c r="S47" s="153">
        <f>$C47/80*各种公式!$J$10</f>
        <v>10750</v>
      </c>
      <c r="T47">
        <f>SUMPRODUCT(D47:F47,各种公式!$C$13:$E$13)</f>
        <v>25614.276817214053</v>
      </c>
    </row>
    <row r="48" spans="1:20" x14ac:dyDescent="0.15">
      <c r="A48" s="121">
        <f t="shared" si="1"/>
        <v>3.3967391304347824E-2</v>
      </c>
      <c r="B48">
        <v>6.86</v>
      </c>
      <c r="C48">
        <v>44</v>
      </c>
      <c r="D48" s="35">
        <f t="shared" si="2"/>
        <v>213717.87421538465</v>
      </c>
      <c r="E48" s="35">
        <f t="shared" si="3"/>
        <v>13066.989591973246</v>
      </c>
      <c r="F48" s="35">
        <f t="shared" si="4"/>
        <v>5807.5509297658873</v>
      </c>
      <c r="G48">
        <f>'2、属性成长'!E49</f>
        <v>7259.4386622073589</v>
      </c>
      <c r="H48">
        <f t="shared" si="5"/>
        <v>29.44</v>
      </c>
      <c r="I48">
        <v>0</v>
      </c>
      <c r="J48">
        <f t="shared" si="7"/>
        <v>27500</v>
      </c>
      <c r="K48">
        <f t="shared" si="7"/>
        <v>27500</v>
      </c>
      <c r="L48">
        <f t="shared" si="7"/>
        <v>27500</v>
      </c>
      <c r="M48">
        <f t="shared" si="7"/>
        <v>27500</v>
      </c>
      <c r="N48" s="46">
        <f>$C48/80*各种公式!$J$4</f>
        <v>27500.000000000004</v>
      </c>
      <c r="O48" s="153">
        <f>$C48/80*各种公式!$J$6</f>
        <v>11000</v>
      </c>
      <c r="P48" s="153">
        <f>$C48/80*各种公式!$J$6</f>
        <v>11000</v>
      </c>
      <c r="Q48" s="153">
        <f>$C48/80*各种公式!$J$8</f>
        <v>5500</v>
      </c>
      <c r="R48" s="153">
        <f>$C48/80*各种公式!$J$9</f>
        <v>11000</v>
      </c>
      <c r="S48" s="153">
        <f>$C48/80*各种公式!$J$10</f>
        <v>11000</v>
      </c>
      <c r="T48">
        <f>SUMPRODUCT(D48:F48,各种公式!$C$13:$E$13)</f>
        <v>27423.255490354517</v>
      </c>
    </row>
    <row r="49" spans="1:20" x14ac:dyDescent="0.15">
      <c r="A49" s="121">
        <f t="shared" si="1"/>
        <v>3.3388981636060099E-2</v>
      </c>
      <c r="B49">
        <v>6.9874999999999998</v>
      </c>
      <c r="C49">
        <v>45</v>
      </c>
      <c r="D49" s="35">
        <f t="shared" si="2"/>
        <v>231075.52757734121</v>
      </c>
      <c r="E49" s="35">
        <f t="shared" si="3"/>
        <v>13887.677784280941</v>
      </c>
      <c r="F49" s="35">
        <f t="shared" si="4"/>
        <v>6172.3012374581958</v>
      </c>
      <c r="G49">
        <f>'2、属性成长'!E50</f>
        <v>7715.3765468227448</v>
      </c>
      <c r="H49">
        <f t="shared" si="5"/>
        <v>29.95</v>
      </c>
      <c r="I49">
        <v>0</v>
      </c>
      <c r="J49">
        <f t="shared" si="7"/>
        <v>28125</v>
      </c>
      <c r="K49">
        <f t="shared" si="7"/>
        <v>28125</v>
      </c>
      <c r="L49">
        <f t="shared" si="7"/>
        <v>28125</v>
      </c>
      <c r="M49">
        <f t="shared" si="7"/>
        <v>28125</v>
      </c>
      <c r="N49" s="46">
        <f>$C49/80*各种公式!$J$4</f>
        <v>28125</v>
      </c>
      <c r="O49" s="153">
        <f>$C49/80*各种公式!$J$6</f>
        <v>11250</v>
      </c>
      <c r="P49" s="153">
        <f>$C49/80*各种公式!$J$6</f>
        <v>11250</v>
      </c>
      <c r="Q49" s="153">
        <f>$C49/80*各种公式!$J$8</f>
        <v>5625</v>
      </c>
      <c r="R49" s="153">
        <f>$C49/80*各种公式!$J$9</f>
        <v>11250</v>
      </c>
      <c r="S49" s="153">
        <f>$C49/80*各种公式!$J$10</f>
        <v>11250</v>
      </c>
      <c r="T49">
        <f>SUMPRODUCT(D49:F49,各种公式!$C$13:$E$13)</f>
        <v>29303.000124832783</v>
      </c>
    </row>
    <row r="50" spans="1:20" x14ac:dyDescent="0.15">
      <c r="A50" s="121">
        <f t="shared" si="1"/>
        <v>3.2829940906106365E-2</v>
      </c>
      <c r="B50">
        <v>7.1150000000000002</v>
      </c>
      <c r="C50">
        <v>46</v>
      </c>
      <c r="D50" s="35">
        <f t="shared" si="2"/>
        <v>249321.13393244156</v>
      </c>
      <c r="E50" s="35">
        <f t="shared" si="3"/>
        <v>14733.356568561878</v>
      </c>
      <c r="F50" s="35">
        <f t="shared" si="4"/>
        <v>6548.1584749163903</v>
      </c>
      <c r="G50">
        <f>'2、属性成长'!E51</f>
        <v>8185.1980936454875</v>
      </c>
      <c r="H50">
        <f t="shared" si="5"/>
        <v>30.46</v>
      </c>
      <c r="I50">
        <v>0</v>
      </c>
      <c r="J50">
        <f t="shared" si="7"/>
        <v>28750</v>
      </c>
      <c r="K50">
        <f t="shared" si="7"/>
        <v>28750</v>
      </c>
      <c r="L50">
        <f t="shared" si="7"/>
        <v>28750</v>
      </c>
      <c r="M50">
        <f t="shared" si="7"/>
        <v>28750</v>
      </c>
      <c r="N50" s="46">
        <f>$C50/80*各种公式!$J$4</f>
        <v>28749.999999999996</v>
      </c>
      <c r="O50" s="153">
        <f>$C50/80*各种公式!$J$6</f>
        <v>11500</v>
      </c>
      <c r="P50" s="153">
        <f>$C50/80*各种公式!$J$6</f>
        <v>11500</v>
      </c>
      <c r="Q50" s="153">
        <f>$C50/80*各种公式!$J$8</f>
        <v>5750</v>
      </c>
      <c r="R50" s="153">
        <f>$C50/80*各种公式!$J$9</f>
        <v>11500</v>
      </c>
      <c r="S50" s="153">
        <f>$C50/80*各种公式!$J$10</f>
        <v>11500</v>
      </c>
      <c r="T50">
        <f>SUMPRODUCT(D50:F50,各种公式!$C$13:$E$13)</f>
        <v>31254.360400775928</v>
      </c>
    </row>
    <row r="51" spans="1:20" x14ac:dyDescent="0.15">
      <c r="A51" s="121">
        <f t="shared" si="1"/>
        <v>3.2289312237649338E-2</v>
      </c>
      <c r="B51">
        <v>7.2424999999999997</v>
      </c>
      <c r="C51">
        <v>47</v>
      </c>
      <c r="D51" s="35">
        <f t="shared" si="2"/>
        <v>268475.93528386293</v>
      </c>
      <c r="E51" s="35">
        <f t="shared" si="3"/>
        <v>15604.025944816058</v>
      </c>
      <c r="F51" s="35">
        <f t="shared" si="4"/>
        <v>6935.1226421404708</v>
      </c>
      <c r="G51">
        <f>'2、属性成长'!E52</f>
        <v>8668.9033026755878</v>
      </c>
      <c r="H51">
        <f t="shared" si="5"/>
        <v>30.97</v>
      </c>
      <c r="I51">
        <v>0</v>
      </c>
      <c r="J51">
        <f t="shared" si="7"/>
        <v>29375</v>
      </c>
      <c r="K51">
        <f t="shared" si="7"/>
        <v>29375</v>
      </c>
      <c r="L51">
        <f t="shared" si="7"/>
        <v>29375</v>
      </c>
      <c r="M51">
        <f t="shared" si="7"/>
        <v>29375</v>
      </c>
      <c r="N51" s="46">
        <f>$C51/80*各种公式!$J$4</f>
        <v>29375</v>
      </c>
      <c r="O51" s="153">
        <f>$C51/80*各种公式!$J$6</f>
        <v>11750</v>
      </c>
      <c r="P51" s="153">
        <f>$C51/80*各种公式!$J$6</f>
        <v>11750</v>
      </c>
      <c r="Q51" s="153">
        <f>$C51/80*各种公式!$J$8</f>
        <v>5875</v>
      </c>
      <c r="R51" s="153">
        <f>$C51/80*各种公式!$J$9</f>
        <v>11750</v>
      </c>
      <c r="S51" s="153">
        <f>$C51/80*各种公式!$J$10</f>
        <v>11750</v>
      </c>
      <c r="T51">
        <f>SUMPRODUCT(D51:F51,各种公式!$C$13:$E$13)</f>
        <v>33278.185998311048</v>
      </c>
    </row>
    <row r="52" spans="1:20" x14ac:dyDescent="0.15">
      <c r="A52" s="121">
        <f t="shared" si="1"/>
        <v>3.176620076238882E-2</v>
      </c>
      <c r="B52">
        <v>7.37</v>
      </c>
      <c r="C52">
        <v>48</v>
      </c>
      <c r="D52" s="35">
        <f t="shared" si="2"/>
        <v>288561.17363478272</v>
      </c>
      <c r="E52" s="35">
        <f t="shared" si="3"/>
        <v>16499.685913043486</v>
      </c>
      <c r="F52" s="35">
        <f t="shared" si="4"/>
        <v>7333.1937391304382</v>
      </c>
      <c r="G52">
        <f>'2、属性成长'!E53</f>
        <v>9166.4921739130477</v>
      </c>
      <c r="H52">
        <f t="shared" si="5"/>
        <v>31.48</v>
      </c>
      <c r="I52">
        <v>0</v>
      </c>
      <c r="J52">
        <f t="shared" si="7"/>
        <v>30000</v>
      </c>
      <c r="K52">
        <f t="shared" si="7"/>
        <v>30000</v>
      </c>
      <c r="L52">
        <f t="shared" si="7"/>
        <v>30000</v>
      </c>
      <c r="M52">
        <f t="shared" si="7"/>
        <v>30000</v>
      </c>
      <c r="N52" s="46">
        <f>$C52/80*各种公式!$J$4</f>
        <v>30000</v>
      </c>
      <c r="O52" s="153">
        <f>$C52/80*各种公式!$J$6</f>
        <v>12000</v>
      </c>
      <c r="P52" s="153">
        <f>$C52/80*各种公式!$J$6</f>
        <v>12000</v>
      </c>
      <c r="Q52" s="153">
        <f>$C52/80*各种公式!$J$8</f>
        <v>6000</v>
      </c>
      <c r="R52" s="153">
        <f>$C52/80*各种公式!$J$9</f>
        <v>12000</v>
      </c>
      <c r="S52" s="153">
        <f>$C52/80*各种公式!$J$10</f>
        <v>12000</v>
      </c>
      <c r="T52">
        <f>SUMPRODUCT(D52:F52,各种公式!$C$13:$E$13)</f>
        <v>35375.326597565232</v>
      </c>
    </row>
    <row r="53" spans="1:20" x14ac:dyDescent="0.15">
      <c r="A53" s="121">
        <f t="shared" si="1"/>
        <v>3.1259768677711783E-2</v>
      </c>
      <c r="B53">
        <v>7.4975000000000005</v>
      </c>
      <c r="C53">
        <v>49</v>
      </c>
      <c r="D53" s="35">
        <f t="shared" si="2"/>
        <v>309598.0909883781</v>
      </c>
      <c r="E53" s="35">
        <f t="shared" si="3"/>
        <v>17420.336473244155</v>
      </c>
      <c r="F53" s="35">
        <f t="shared" si="4"/>
        <v>7742.3717658862915</v>
      </c>
      <c r="G53">
        <f>'2、属性成长'!E54</f>
        <v>9677.9647073578635</v>
      </c>
      <c r="H53">
        <f t="shared" si="5"/>
        <v>31.990000000000002</v>
      </c>
      <c r="I53">
        <v>0</v>
      </c>
      <c r="J53">
        <f t="shared" si="7"/>
        <v>30625</v>
      </c>
      <c r="K53">
        <f t="shared" si="7"/>
        <v>30625</v>
      </c>
      <c r="L53">
        <f t="shared" si="7"/>
        <v>30625</v>
      </c>
      <c r="M53">
        <f t="shared" si="7"/>
        <v>30625</v>
      </c>
      <c r="N53" s="46">
        <f>$C53/80*各种公式!$J$4</f>
        <v>30625.000000000004</v>
      </c>
      <c r="O53" s="153">
        <f>$C53/80*各种公式!$J$6</f>
        <v>12250</v>
      </c>
      <c r="P53" s="153">
        <f>$C53/80*各种公式!$J$6</f>
        <v>12250</v>
      </c>
      <c r="Q53" s="153">
        <f>$C53/80*各种公式!$J$8</f>
        <v>6125</v>
      </c>
      <c r="R53" s="153">
        <f>$C53/80*各种公式!$J$9</f>
        <v>12250</v>
      </c>
      <c r="S53" s="153">
        <f>$C53/80*各种公式!$J$10</f>
        <v>12250</v>
      </c>
      <c r="T53">
        <f>SUMPRODUCT(D53:F53,各种公式!$C$13:$E$13)</f>
        <v>37546.631878665576</v>
      </c>
    </row>
    <row r="54" spans="1:20" x14ac:dyDescent="0.15">
      <c r="A54" s="121">
        <f t="shared" si="1"/>
        <v>3.0769230769230771E-2</v>
      </c>
      <c r="B54">
        <v>7.625</v>
      </c>
      <c r="C54">
        <v>50</v>
      </c>
      <c r="D54" s="35">
        <f t="shared" si="2"/>
        <v>333789.56046195666</v>
      </c>
      <c r="E54" s="35">
        <f t="shared" si="3"/>
        <v>18486.806425585291</v>
      </c>
      <c r="F54" s="35">
        <f t="shared" si="4"/>
        <v>8216.3584113712404</v>
      </c>
      <c r="G54">
        <f>'2、属性成长'!E55</f>
        <v>10270.448014214051</v>
      </c>
      <c r="H54">
        <f t="shared" si="5"/>
        <v>32.5</v>
      </c>
      <c r="I54">
        <v>0</v>
      </c>
      <c r="J54">
        <f t="shared" si="7"/>
        <v>31250</v>
      </c>
      <c r="K54">
        <f t="shared" si="7"/>
        <v>31250</v>
      </c>
      <c r="L54">
        <f t="shared" si="7"/>
        <v>31250</v>
      </c>
      <c r="M54">
        <f t="shared" si="7"/>
        <v>31250</v>
      </c>
      <c r="N54" s="46">
        <f>$C54/80*各种公式!$J$4</f>
        <v>31250</v>
      </c>
      <c r="O54" s="153">
        <f>$C54/80*各种公式!$J$6</f>
        <v>12500</v>
      </c>
      <c r="P54" s="153">
        <f>$C54/80*各种公式!$J$6</f>
        <v>12500</v>
      </c>
      <c r="Q54" s="153">
        <f>$C54/80*各种公式!$J$8</f>
        <v>6250</v>
      </c>
      <c r="R54" s="153">
        <f>$C54/80*各种公式!$J$9</f>
        <v>12500</v>
      </c>
      <c r="S54" s="153">
        <f>$C54/80*各种公式!$J$10</f>
        <v>12500</v>
      </c>
      <c r="T54">
        <f>SUMPRODUCT(D54:F54,各种公式!$C$13:$E$13)</f>
        <v>40054.747255434799</v>
      </c>
    </row>
    <row r="55" spans="1:20" x14ac:dyDescent="0.15">
      <c r="A55" s="121">
        <f t="shared" si="1"/>
        <v>3.0293850348379274E-2</v>
      </c>
      <c r="B55">
        <v>7.7525000000000004</v>
      </c>
      <c r="C55">
        <v>51</v>
      </c>
      <c r="D55" s="35">
        <f t="shared" si="2"/>
        <v>359158.23752035969</v>
      </c>
      <c r="E55" s="35">
        <f t="shared" si="3"/>
        <v>19584.514617892979</v>
      </c>
      <c r="F55" s="35">
        <f t="shared" si="4"/>
        <v>8704.228719063547</v>
      </c>
      <c r="G55">
        <f>'2、属性成长'!E56</f>
        <v>10880.285898829434</v>
      </c>
      <c r="H55">
        <f t="shared" si="5"/>
        <v>33.010000000000005</v>
      </c>
      <c r="I55">
        <v>0</v>
      </c>
      <c r="J55">
        <f t="shared" si="7"/>
        <v>31875</v>
      </c>
      <c r="K55">
        <f t="shared" si="7"/>
        <v>31875</v>
      </c>
      <c r="L55">
        <f t="shared" si="7"/>
        <v>31875</v>
      </c>
      <c r="M55">
        <f t="shared" si="7"/>
        <v>31875</v>
      </c>
      <c r="N55" s="46">
        <f>$C55/80*各种公式!$J$4</f>
        <v>31874.999999999996</v>
      </c>
      <c r="O55" s="153">
        <f>$C55/80*各种公式!$J$6</f>
        <v>12750</v>
      </c>
      <c r="P55" s="153">
        <f>$C55/80*各种公式!$J$6</f>
        <v>12750</v>
      </c>
      <c r="Q55" s="153">
        <f>$C55/80*各种公式!$J$8</f>
        <v>6375</v>
      </c>
      <c r="R55" s="153">
        <f>$C55/80*各种公式!$J$9</f>
        <v>12750</v>
      </c>
      <c r="S55" s="153">
        <f>$C55/80*各种公式!$J$10</f>
        <v>12750</v>
      </c>
      <c r="T55">
        <f>SUMPRODUCT(D55:F55,各种公式!$C$13:$E$13)</f>
        <v>42655.072837770917</v>
      </c>
    </row>
    <row r="56" spans="1:20" x14ac:dyDescent="0.15">
      <c r="A56" s="121">
        <f t="shared" si="1"/>
        <v>2.9832935560859194E-2</v>
      </c>
      <c r="B56">
        <v>7.88</v>
      </c>
      <c r="C56">
        <v>52</v>
      </c>
      <c r="D56" s="35">
        <f t="shared" si="2"/>
        <v>385730.67466755857</v>
      </c>
      <c r="E56" s="35">
        <f t="shared" si="3"/>
        <v>20713.461050167229</v>
      </c>
      <c r="F56" s="35">
        <f t="shared" si="4"/>
        <v>9205.9826889632131</v>
      </c>
      <c r="G56">
        <f>'2、属性成长'!E57</f>
        <v>11507.478361204016</v>
      </c>
      <c r="H56">
        <f t="shared" si="5"/>
        <v>33.519999999999996</v>
      </c>
      <c r="I56">
        <v>0</v>
      </c>
      <c r="J56">
        <f t="shared" si="7"/>
        <v>32500</v>
      </c>
      <c r="K56">
        <f t="shared" si="7"/>
        <v>32500</v>
      </c>
      <c r="L56">
        <f t="shared" si="7"/>
        <v>32500</v>
      </c>
      <c r="M56">
        <f t="shared" si="7"/>
        <v>32500</v>
      </c>
      <c r="N56" s="46">
        <f>$C56/80*各种公式!$J$4</f>
        <v>32500</v>
      </c>
      <c r="O56" s="153">
        <f>$C56/80*各种公式!$J$6</f>
        <v>13000</v>
      </c>
      <c r="P56" s="153">
        <f>$C56/80*各种公式!$J$6</f>
        <v>13000</v>
      </c>
      <c r="Q56" s="153">
        <f>$C56/80*各种公式!$J$8</f>
        <v>6500</v>
      </c>
      <c r="R56" s="153">
        <f>$C56/80*各种公式!$J$9</f>
        <v>13000</v>
      </c>
      <c r="S56" s="153">
        <f>$C56/80*各种公式!$J$10</f>
        <v>13000</v>
      </c>
      <c r="T56">
        <f>SUMPRODUCT(D56:F56,各种公式!$C$13:$E$13)</f>
        <v>45348.670725832781</v>
      </c>
    </row>
    <row r="57" spans="1:20" x14ac:dyDescent="0.15">
      <c r="A57" s="121">
        <f t="shared" si="1"/>
        <v>2.9385836027034967E-2</v>
      </c>
      <c r="B57">
        <v>8.0075000000000003</v>
      </c>
      <c r="C57">
        <v>53</v>
      </c>
      <c r="D57" s="35">
        <f t="shared" si="2"/>
        <v>413533.42440752522</v>
      </c>
      <c r="E57" s="35">
        <f t="shared" si="3"/>
        <v>21873.645722408033</v>
      </c>
      <c r="F57" s="35">
        <f t="shared" si="4"/>
        <v>9721.620321070237</v>
      </c>
      <c r="G57">
        <f>'2、属性成长'!E58</f>
        <v>12152.025401337796</v>
      </c>
      <c r="H57">
        <f t="shared" si="5"/>
        <v>34.03</v>
      </c>
      <c r="I57">
        <v>0</v>
      </c>
      <c r="J57">
        <f t="shared" si="7"/>
        <v>33125</v>
      </c>
      <c r="K57">
        <f t="shared" si="7"/>
        <v>33125</v>
      </c>
      <c r="L57">
        <f t="shared" si="7"/>
        <v>33125</v>
      </c>
      <c r="M57">
        <f t="shared" si="7"/>
        <v>33125</v>
      </c>
      <c r="N57" s="46">
        <f>$C57/80*各种公式!$J$4</f>
        <v>33125</v>
      </c>
      <c r="O57" s="153">
        <f>$C57/80*各种公式!$J$6</f>
        <v>13250</v>
      </c>
      <c r="P57" s="153">
        <f>$C57/80*各种公式!$J$6</f>
        <v>13250</v>
      </c>
      <c r="Q57" s="153">
        <f>$C57/80*各种公式!$J$8</f>
        <v>6625</v>
      </c>
      <c r="R57" s="153">
        <f>$C57/80*各种公式!$J$9</f>
        <v>13250</v>
      </c>
      <c r="S57" s="153">
        <f>$C57/80*各种公式!$J$10</f>
        <v>13250</v>
      </c>
      <c r="T57">
        <f>SUMPRODUCT(D57:F57,各种公式!$C$13:$E$13)</f>
        <v>48136.603019779279</v>
      </c>
    </row>
    <row r="58" spans="1:20" x14ac:dyDescent="0.15">
      <c r="A58" s="121">
        <f t="shared" si="1"/>
        <v>2.8951939779965258E-2</v>
      </c>
      <c r="B58">
        <v>8.1349999999999998</v>
      </c>
      <c r="C58">
        <v>54</v>
      </c>
      <c r="D58" s="35">
        <f t="shared" si="2"/>
        <v>442593.03924423084</v>
      </c>
      <c r="E58" s="35">
        <f t="shared" si="3"/>
        <v>23065.068634615389</v>
      </c>
      <c r="F58" s="35">
        <f t="shared" si="4"/>
        <v>10251.141615384618</v>
      </c>
      <c r="G58">
        <f>'2、属性成长'!E59</f>
        <v>12813.927019230772</v>
      </c>
      <c r="H58">
        <f t="shared" si="5"/>
        <v>34.54</v>
      </c>
      <c r="I58">
        <v>0</v>
      </c>
      <c r="J58">
        <f t="shared" si="7"/>
        <v>33750</v>
      </c>
      <c r="K58">
        <f t="shared" si="7"/>
        <v>33750</v>
      </c>
      <c r="L58">
        <f t="shared" si="7"/>
        <v>33750</v>
      </c>
      <c r="M58">
        <f t="shared" si="7"/>
        <v>33750</v>
      </c>
      <c r="N58" s="46">
        <f>$C58/80*各种公式!$J$4</f>
        <v>33750</v>
      </c>
      <c r="O58" s="153">
        <f>$C58/80*各种公式!$J$6</f>
        <v>13500</v>
      </c>
      <c r="P58" s="153">
        <f>$C58/80*各种公式!$J$6</f>
        <v>13500</v>
      </c>
      <c r="Q58" s="153">
        <f>$C58/80*各种公式!$J$8</f>
        <v>6750</v>
      </c>
      <c r="R58" s="153">
        <f>$C58/80*各种公式!$J$9</f>
        <v>13500</v>
      </c>
      <c r="S58" s="153">
        <f>$C58/80*各种公式!$J$10</f>
        <v>13500</v>
      </c>
      <c r="T58">
        <f>SUMPRODUCT(D58:F58,各种公式!$C$13:$E$13)</f>
        <v>51019.931819769248</v>
      </c>
    </row>
    <row r="59" spans="1:20" x14ac:dyDescent="0.15">
      <c r="A59" s="121">
        <f t="shared" si="1"/>
        <v>2.8530670470756064E-2</v>
      </c>
      <c r="B59">
        <v>8.2624999999999993</v>
      </c>
      <c r="C59">
        <v>55</v>
      </c>
      <c r="D59" s="35">
        <f t="shared" si="2"/>
        <v>472936.07168164715</v>
      </c>
      <c r="E59" s="35">
        <f t="shared" si="3"/>
        <v>24287.729786789299</v>
      </c>
      <c r="F59" s="35">
        <f t="shared" si="4"/>
        <v>10794.546571906356</v>
      </c>
      <c r="G59">
        <f>'2、属性成长'!E60</f>
        <v>13493.183214882944</v>
      </c>
      <c r="H59">
        <f t="shared" si="5"/>
        <v>35.049999999999997</v>
      </c>
      <c r="I59">
        <v>0</v>
      </c>
      <c r="J59">
        <f t="shared" si="7"/>
        <v>34375</v>
      </c>
      <c r="K59">
        <f t="shared" si="7"/>
        <v>34375</v>
      </c>
      <c r="L59">
        <f t="shared" si="7"/>
        <v>34375</v>
      </c>
      <c r="M59">
        <f t="shared" si="7"/>
        <v>34375</v>
      </c>
      <c r="N59" s="46">
        <f>$C59/80*各种公式!$J$4</f>
        <v>34375</v>
      </c>
      <c r="O59" s="153">
        <f>$C59/80*各种公式!$J$6</f>
        <v>13750</v>
      </c>
      <c r="P59" s="153">
        <f>$C59/80*各种公式!$J$6</f>
        <v>13750</v>
      </c>
      <c r="Q59" s="153">
        <f>$C59/80*各种公式!$J$8</f>
        <v>6875</v>
      </c>
      <c r="R59" s="153">
        <f>$C59/80*各种公式!$J$9</f>
        <v>13750</v>
      </c>
      <c r="S59" s="153">
        <f>$C59/80*各种公式!$J$10</f>
        <v>13750</v>
      </c>
      <c r="T59">
        <f>SUMPRODUCT(D59:F59,各种公式!$C$13:$E$13)</f>
        <v>53999.719225961548</v>
      </c>
    </row>
    <row r="60" spans="1:20" x14ac:dyDescent="0.15">
      <c r="A60" s="121">
        <f t="shared" si="1"/>
        <v>2.8121484814398197E-2</v>
      </c>
      <c r="B60">
        <v>8.39</v>
      </c>
      <c r="C60">
        <v>56</v>
      </c>
      <c r="D60" s="35">
        <f t="shared" si="2"/>
        <v>504589.07422374596</v>
      </c>
      <c r="E60" s="35">
        <f t="shared" si="3"/>
        <v>25541.629178929772</v>
      </c>
      <c r="F60" s="35">
        <f t="shared" si="4"/>
        <v>11351.835190635455</v>
      </c>
      <c r="G60">
        <f>'2、属性成长'!E61</f>
        <v>14189.793988294317</v>
      </c>
      <c r="H60">
        <f t="shared" si="5"/>
        <v>35.56</v>
      </c>
      <c r="I60">
        <v>0</v>
      </c>
      <c r="J60">
        <f t="shared" si="7"/>
        <v>35000</v>
      </c>
      <c r="K60">
        <f t="shared" si="7"/>
        <v>35000</v>
      </c>
      <c r="L60">
        <f t="shared" si="7"/>
        <v>35000</v>
      </c>
      <c r="M60">
        <f t="shared" si="7"/>
        <v>35000</v>
      </c>
      <c r="N60" s="46">
        <f>$C60/80*各种公式!$J$4</f>
        <v>35000</v>
      </c>
      <c r="O60" s="153">
        <f>$C60/80*各种公式!$J$6</f>
        <v>14000</v>
      </c>
      <c r="P60" s="153">
        <f>$C60/80*各种公式!$J$6</f>
        <v>14000</v>
      </c>
      <c r="Q60" s="153">
        <f>$C60/80*各种公式!$J$8</f>
        <v>7000</v>
      </c>
      <c r="R60" s="153">
        <f>$C60/80*各种公式!$J$9</f>
        <v>14000</v>
      </c>
      <c r="S60" s="153">
        <f>$C60/80*各种公式!$J$10</f>
        <v>14000</v>
      </c>
      <c r="T60">
        <f>SUMPRODUCT(D60:F60,各种公式!$C$13:$E$13)</f>
        <v>57077.027338515065</v>
      </c>
    </row>
    <row r="61" spans="1:20" x14ac:dyDescent="0.15">
      <c r="A61" s="121">
        <f t="shared" si="1"/>
        <v>2.772387025228722E-2</v>
      </c>
      <c r="B61">
        <v>8.5175000000000001</v>
      </c>
      <c r="C61">
        <v>57</v>
      </c>
      <c r="D61" s="35">
        <f t="shared" si="2"/>
        <v>537578.59937449847</v>
      </c>
      <c r="E61" s="35">
        <f t="shared" si="3"/>
        <v>26826.766811036796</v>
      </c>
      <c r="F61" s="35">
        <f t="shared" si="4"/>
        <v>11923.007471571909</v>
      </c>
      <c r="G61">
        <f>'2、属性成长'!E62</f>
        <v>14903.759339464887</v>
      </c>
      <c r="H61">
        <f t="shared" si="5"/>
        <v>36.07</v>
      </c>
      <c r="I61">
        <v>0</v>
      </c>
      <c r="J61">
        <f t="shared" si="7"/>
        <v>35625</v>
      </c>
      <c r="K61">
        <f t="shared" si="7"/>
        <v>35625</v>
      </c>
      <c r="L61">
        <f t="shared" si="7"/>
        <v>35625</v>
      </c>
      <c r="M61">
        <f t="shared" si="7"/>
        <v>35625</v>
      </c>
      <c r="N61" s="46">
        <f>$C61/80*各种公式!$J$4</f>
        <v>35625</v>
      </c>
      <c r="O61" s="153">
        <f>$C61/80*各种公式!$J$6</f>
        <v>14250</v>
      </c>
      <c r="P61" s="153">
        <f>$C61/80*各种公式!$J$6</f>
        <v>14250</v>
      </c>
      <c r="Q61" s="153">
        <f>$C61/80*各种公式!$J$8</f>
        <v>7125</v>
      </c>
      <c r="R61" s="153">
        <f>$C61/80*各种公式!$J$9</f>
        <v>14250</v>
      </c>
      <c r="S61" s="153">
        <f>$C61/80*各种公式!$J$10</f>
        <v>14250</v>
      </c>
      <c r="T61">
        <f>SUMPRODUCT(D61:F61,各种公式!$C$13:$E$13)</f>
        <v>60252.918257588644</v>
      </c>
    </row>
    <row r="62" spans="1:20" x14ac:dyDescent="0.15">
      <c r="A62" s="121">
        <f t="shared" si="1"/>
        <v>2.7337342810278841E-2</v>
      </c>
      <c r="B62">
        <v>8.6449999999999996</v>
      </c>
      <c r="C62">
        <v>58</v>
      </c>
      <c r="D62" s="35">
        <f t="shared" si="2"/>
        <v>571931.19963787636</v>
      </c>
      <c r="E62" s="35">
        <f t="shared" si="3"/>
        <v>28143.142683110374</v>
      </c>
      <c r="F62" s="35">
        <f t="shared" si="4"/>
        <v>12508.063414715723</v>
      </c>
      <c r="G62">
        <f>'2、属性成长'!E63</f>
        <v>15635.079268394653</v>
      </c>
      <c r="H62">
        <f t="shared" si="5"/>
        <v>36.58</v>
      </c>
      <c r="I62">
        <v>0</v>
      </c>
      <c r="J62">
        <f t="shared" si="7"/>
        <v>36250</v>
      </c>
      <c r="K62">
        <f t="shared" si="7"/>
        <v>36250</v>
      </c>
      <c r="L62">
        <f t="shared" si="7"/>
        <v>36250</v>
      </c>
      <c r="M62">
        <f t="shared" si="7"/>
        <v>36250</v>
      </c>
      <c r="N62" s="46">
        <f>$C62/80*各种公式!$J$4</f>
        <v>36250</v>
      </c>
      <c r="O62" s="153">
        <f>$C62/80*各种公式!$J$6</f>
        <v>14500</v>
      </c>
      <c r="P62" s="153">
        <f>$C62/80*各种公式!$J$6</f>
        <v>14500</v>
      </c>
      <c r="Q62" s="153">
        <f>$C62/80*各种公式!$J$8</f>
        <v>7250</v>
      </c>
      <c r="R62" s="153">
        <f>$C62/80*各种公式!$J$9</f>
        <v>14500</v>
      </c>
      <c r="S62" s="153">
        <f>$C62/80*各种公式!$J$10</f>
        <v>14500</v>
      </c>
      <c r="T62">
        <f>SUMPRODUCT(D62:F62,各种公式!$C$13:$E$13)</f>
        <v>63528.454083341159</v>
      </c>
    </row>
    <row r="63" spans="1:20" x14ac:dyDescent="0.15">
      <c r="A63" s="121">
        <f t="shared" si="1"/>
        <v>2.6961445133459151E-2</v>
      </c>
      <c r="B63">
        <v>8.7725000000000009</v>
      </c>
      <c r="C63">
        <v>59</v>
      </c>
      <c r="D63" s="35">
        <f t="shared" si="2"/>
        <v>607673.42751785135</v>
      </c>
      <c r="E63" s="35">
        <f t="shared" si="3"/>
        <v>29490.756795150512</v>
      </c>
      <c r="F63" s="35">
        <f t="shared" si="4"/>
        <v>13107.003020066893</v>
      </c>
      <c r="G63">
        <f>'2、属性成长'!E64</f>
        <v>16383.753775083616</v>
      </c>
      <c r="H63">
        <f t="shared" si="5"/>
        <v>37.090000000000003</v>
      </c>
      <c r="I63">
        <v>0</v>
      </c>
      <c r="J63">
        <f t="shared" si="7"/>
        <v>36875</v>
      </c>
      <c r="K63">
        <f t="shared" si="7"/>
        <v>36875</v>
      </c>
      <c r="L63">
        <f t="shared" si="7"/>
        <v>36875</v>
      </c>
      <c r="M63">
        <f t="shared" si="7"/>
        <v>36875</v>
      </c>
      <c r="N63" s="46">
        <f>$C63/80*各种公式!$J$4</f>
        <v>36875</v>
      </c>
      <c r="O63" s="153">
        <f>$C63/80*各种公式!$J$6</f>
        <v>14750</v>
      </c>
      <c r="P63" s="153">
        <f>$C63/80*各种公式!$J$6</f>
        <v>14750</v>
      </c>
      <c r="Q63" s="153">
        <f>$C63/80*各种公式!$J$8</f>
        <v>7375</v>
      </c>
      <c r="R63" s="153">
        <f>$C63/80*各种公式!$J$9</f>
        <v>14750</v>
      </c>
      <c r="S63" s="153">
        <f>$C63/80*各种公式!$J$10</f>
        <v>14750</v>
      </c>
      <c r="T63">
        <f>SUMPRODUCT(D63:F63,各种公式!$C$13:$E$13)</f>
        <v>66904.696915931461</v>
      </c>
    </row>
    <row r="64" spans="1:20" x14ac:dyDescent="0.15">
      <c r="A64" s="121">
        <f t="shared" si="1"/>
        <v>2.6595744680851064E-2</v>
      </c>
      <c r="B64">
        <v>8.9</v>
      </c>
      <c r="C64">
        <v>60</v>
      </c>
      <c r="D64" s="35">
        <f t="shared" si="2"/>
        <v>648008.34702341165</v>
      </c>
      <c r="E64" s="35">
        <f t="shared" si="3"/>
        <v>31021.676187290985</v>
      </c>
      <c r="F64" s="35">
        <f t="shared" si="4"/>
        <v>13787.411638795993</v>
      </c>
      <c r="G64">
        <f>'2、属性成长'!E65</f>
        <v>17234.26454849499</v>
      </c>
      <c r="H64">
        <f t="shared" si="5"/>
        <v>37.6</v>
      </c>
      <c r="I64">
        <v>0</v>
      </c>
      <c r="J64">
        <f t="shared" si="7"/>
        <v>37500</v>
      </c>
      <c r="K64">
        <f t="shared" si="7"/>
        <v>37500</v>
      </c>
      <c r="L64">
        <f t="shared" si="7"/>
        <v>37500</v>
      </c>
      <c r="M64">
        <f t="shared" si="7"/>
        <v>37500</v>
      </c>
      <c r="N64" s="46">
        <f>$C64/80*各种公式!$J$4</f>
        <v>37500</v>
      </c>
      <c r="O64" s="153">
        <f>$C64/80*各种公式!$J$6</f>
        <v>15000</v>
      </c>
      <c r="P64" s="153">
        <f>$C64/80*各种公式!$J$6</f>
        <v>15000</v>
      </c>
      <c r="Q64" s="153">
        <f>$C64/80*各种公式!$J$8</f>
        <v>7500</v>
      </c>
      <c r="R64" s="153">
        <f>$C64/80*各种公式!$J$9</f>
        <v>15000</v>
      </c>
      <c r="S64" s="153">
        <f>$C64/80*各种公式!$J$10</f>
        <v>15000</v>
      </c>
      <c r="T64">
        <f>SUMPRODUCT(D64:F64,各种公式!$C$13:$E$13)</f>
        <v>70729.421707023444</v>
      </c>
    </row>
    <row r="65" spans="1:20" x14ac:dyDescent="0.15">
      <c r="A65" s="121">
        <f t="shared" si="1"/>
        <v>2.6239832065074783E-2</v>
      </c>
      <c r="B65">
        <v>9.0274999999999999</v>
      </c>
      <c r="C65">
        <v>61</v>
      </c>
      <c r="D65" s="35">
        <f t="shared" si="2"/>
        <v>690004.44706793502</v>
      </c>
      <c r="E65" s="35">
        <f t="shared" si="3"/>
        <v>32590.081467391312</v>
      </c>
      <c r="F65" s="35">
        <f t="shared" si="4"/>
        <v>14484.480652173917</v>
      </c>
      <c r="G65">
        <f>'2、属性成长'!E66</f>
        <v>18105.600815217396</v>
      </c>
      <c r="H65">
        <f t="shared" si="5"/>
        <v>38.11</v>
      </c>
      <c r="I65">
        <v>0</v>
      </c>
      <c r="J65">
        <f t="shared" si="7"/>
        <v>38125</v>
      </c>
      <c r="K65">
        <f t="shared" si="7"/>
        <v>38125</v>
      </c>
      <c r="L65">
        <f t="shared" si="7"/>
        <v>38125</v>
      </c>
      <c r="M65">
        <f t="shared" si="7"/>
        <v>38125</v>
      </c>
      <c r="N65" s="46">
        <f>$C65/80*各种公式!$J$4</f>
        <v>38125</v>
      </c>
      <c r="O65" s="153">
        <f>$C65/80*各种公式!$J$6</f>
        <v>15250</v>
      </c>
      <c r="P65" s="153">
        <f>$C65/80*各种公式!$J$6</f>
        <v>15250</v>
      </c>
      <c r="Q65" s="153">
        <f>$C65/80*各种公式!$J$8</f>
        <v>7625</v>
      </c>
      <c r="R65" s="153">
        <f>$C65/80*各种公式!$J$9</f>
        <v>15250</v>
      </c>
      <c r="S65" s="153">
        <f>$C65/80*各种公式!$J$10</f>
        <v>15250</v>
      </c>
      <c r="T65">
        <f>SUMPRODUCT(D65:F65,各种公式!$C$13:$E$13)</f>
        <v>74674.740002282633</v>
      </c>
    </row>
    <row r="66" spans="1:20" x14ac:dyDescent="0.15">
      <c r="A66" s="121">
        <f t="shared" si="1"/>
        <v>2.5893319523562917E-2</v>
      </c>
      <c r="B66">
        <v>9.1550000000000011</v>
      </c>
      <c r="C66">
        <v>62</v>
      </c>
      <c r="D66" s="35">
        <f t="shared" si="2"/>
        <v>733693.59065618762</v>
      </c>
      <c r="E66" s="35">
        <f t="shared" si="3"/>
        <v>34195.972635451515</v>
      </c>
      <c r="F66" s="35">
        <f t="shared" si="4"/>
        <v>15198.210060200676</v>
      </c>
      <c r="G66">
        <f>'2、属性成长'!E67</f>
        <v>18997.762575250843</v>
      </c>
      <c r="H66">
        <f t="shared" si="5"/>
        <v>38.620000000000005</v>
      </c>
      <c r="I66">
        <v>0</v>
      </c>
      <c r="J66">
        <f t="shared" si="7"/>
        <v>38750</v>
      </c>
      <c r="K66">
        <f t="shared" si="7"/>
        <v>38750</v>
      </c>
      <c r="L66">
        <f t="shared" si="7"/>
        <v>38750</v>
      </c>
      <c r="M66">
        <f t="shared" si="7"/>
        <v>38750</v>
      </c>
      <c r="N66" s="46">
        <f>$C66/80*各种公式!$J$4</f>
        <v>38750</v>
      </c>
      <c r="O66" s="153">
        <f>$C66/80*各种公式!$J$6</f>
        <v>15500</v>
      </c>
      <c r="P66" s="153">
        <f>$C66/80*各种公式!$J$6</f>
        <v>15500</v>
      </c>
      <c r="Q66" s="153">
        <f>$C66/80*各种公式!$J$8</f>
        <v>7750</v>
      </c>
      <c r="R66" s="153">
        <f>$C66/80*各种公式!$J$9</f>
        <v>15500</v>
      </c>
      <c r="S66" s="153">
        <f>$C66/80*各种公式!$J$10</f>
        <v>15500</v>
      </c>
      <c r="T66">
        <f>SUMPRODUCT(D66:F66,各种公式!$C$13:$E$13)</f>
        <v>78741.926321899693</v>
      </c>
    </row>
    <row r="67" spans="1:20" x14ac:dyDescent="0.15">
      <c r="A67" s="121">
        <f t="shared" si="1"/>
        <v>2.5555839509327879E-2</v>
      </c>
      <c r="B67">
        <v>9.2825000000000006</v>
      </c>
      <c r="C67">
        <v>63</v>
      </c>
      <c r="D67" s="35">
        <f t="shared" si="2"/>
        <v>779107.64079293516</v>
      </c>
      <c r="E67" s="35">
        <f t="shared" si="3"/>
        <v>35839.349691471587</v>
      </c>
      <c r="F67" s="35">
        <f t="shared" si="4"/>
        <v>15928.599862876261</v>
      </c>
      <c r="G67">
        <f>'2、属性成长'!E68</f>
        <v>19910.749828595326</v>
      </c>
      <c r="H67">
        <f t="shared" si="5"/>
        <v>39.130000000000003</v>
      </c>
      <c r="I67">
        <v>0</v>
      </c>
      <c r="J67">
        <f t="shared" si="7"/>
        <v>39375</v>
      </c>
      <c r="K67">
        <f t="shared" si="7"/>
        <v>39375</v>
      </c>
      <c r="L67">
        <f t="shared" si="7"/>
        <v>39375</v>
      </c>
      <c r="M67">
        <f t="shared" si="7"/>
        <v>39375</v>
      </c>
      <c r="N67" s="46">
        <f>$C67/80*各种公式!$J$4</f>
        <v>39375</v>
      </c>
      <c r="O67" s="153">
        <f>$C67/80*各种公式!$J$6</f>
        <v>15750</v>
      </c>
      <c r="P67" s="153">
        <f>$C67/80*各种公式!$J$6</f>
        <v>15750</v>
      </c>
      <c r="Q67" s="153">
        <f>$C67/80*各种公式!$J$8</f>
        <v>7875</v>
      </c>
      <c r="R67" s="153">
        <f>$C67/80*各种公式!$J$9</f>
        <v>15750</v>
      </c>
      <c r="S67" s="153">
        <f>$C67/80*各种公式!$J$10</f>
        <v>15750</v>
      </c>
      <c r="T67">
        <f>SUMPRODUCT(D67:F67,各种公式!$C$13:$E$13)</f>
        <v>82932.255186065246</v>
      </c>
    </row>
    <row r="68" spans="1:20" x14ac:dyDescent="0.15">
      <c r="A68" s="121">
        <f t="shared" si="1"/>
        <v>2.5227043390514632E-2</v>
      </c>
      <c r="B68">
        <v>9.41</v>
      </c>
      <c r="C68">
        <v>64</v>
      </c>
      <c r="D68" s="35">
        <f t="shared" si="2"/>
        <v>826278.46048294357</v>
      </c>
      <c r="E68" s="35">
        <f t="shared" si="3"/>
        <v>37520.21263545152</v>
      </c>
      <c r="F68" s="35">
        <f t="shared" si="4"/>
        <v>16675.650060200678</v>
      </c>
      <c r="G68">
        <f>'2、属性成长'!E69</f>
        <v>20844.562575250846</v>
      </c>
      <c r="H68">
        <f t="shared" si="5"/>
        <v>39.64</v>
      </c>
      <c r="I68">
        <v>0</v>
      </c>
      <c r="J68">
        <f t="shared" si="7"/>
        <v>40000</v>
      </c>
      <c r="K68">
        <f t="shared" si="7"/>
        <v>40000</v>
      </c>
      <c r="L68">
        <f t="shared" si="7"/>
        <v>40000</v>
      </c>
      <c r="M68">
        <f t="shared" si="7"/>
        <v>40000</v>
      </c>
      <c r="N68" s="46">
        <f>$C68/80*各种公式!$J$4</f>
        <v>40000</v>
      </c>
      <c r="O68" s="153">
        <f>$C68/80*各种公式!$J$6</f>
        <v>16000</v>
      </c>
      <c r="P68" s="153">
        <f>$C68/80*各种公式!$J$6</f>
        <v>16000</v>
      </c>
      <c r="Q68" s="153">
        <f>$C68/80*各种公式!$J$8</f>
        <v>8000</v>
      </c>
      <c r="R68" s="153">
        <f>$C68/80*各种公式!$J$9</f>
        <v>16000</v>
      </c>
      <c r="S68" s="153">
        <f>$C68/80*各种公式!$J$10</f>
        <v>16000</v>
      </c>
      <c r="T68">
        <f>SUMPRODUCT(D68:F68,各种公式!$C$13:$E$13)</f>
        <v>87247.001114969957</v>
      </c>
    </row>
    <row r="69" spans="1:20" x14ac:dyDescent="0.15">
      <c r="A69" s="121">
        <f t="shared" si="1"/>
        <v>2.4906600249066005E-2</v>
      </c>
      <c r="B69">
        <v>9.5374999999999996</v>
      </c>
      <c r="C69">
        <v>65</v>
      </c>
      <c r="D69" s="35">
        <f t="shared" si="2"/>
        <v>875237.91273097834</v>
      </c>
      <c r="E69" s="35">
        <f t="shared" si="3"/>
        <v>39238.561467391308</v>
      </c>
      <c r="F69" s="35">
        <f t="shared" si="4"/>
        <v>17439.360652173917</v>
      </c>
      <c r="G69">
        <f>'2、属性成长'!E70</f>
        <v>21799.200815217395</v>
      </c>
      <c r="H69">
        <f t="shared" si="5"/>
        <v>40.15</v>
      </c>
      <c r="I69">
        <v>0</v>
      </c>
      <c r="J69">
        <f t="shared" si="7"/>
        <v>40625</v>
      </c>
      <c r="K69">
        <f t="shared" si="7"/>
        <v>40625</v>
      </c>
      <c r="L69">
        <f t="shared" si="7"/>
        <v>40625</v>
      </c>
      <c r="M69">
        <f t="shared" si="7"/>
        <v>40625</v>
      </c>
      <c r="N69" s="46">
        <f>$C69/80*各种公式!$J$4</f>
        <v>40625</v>
      </c>
      <c r="O69" s="153">
        <f>$C69/80*各种公式!$J$6</f>
        <v>16250</v>
      </c>
      <c r="P69" s="153">
        <f>$C69/80*各种公式!$J$6</f>
        <v>16250</v>
      </c>
      <c r="Q69" s="153">
        <f>$C69/80*各种公式!$J$8</f>
        <v>8125</v>
      </c>
      <c r="R69" s="153">
        <f>$C69/80*各种公式!$J$9</f>
        <v>16250</v>
      </c>
      <c r="S69" s="153">
        <f>$C69/80*各种公式!$J$10</f>
        <v>16250</v>
      </c>
      <c r="T69">
        <f>SUMPRODUCT(D69:F69,各种公式!$C$13:$E$13)</f>
        <v>91687.438628804361</v>
      </c>
    </row>
    <row r="70" spans="1:20" x14ac:dyDescent="0.15">
      <c r="A70" s="121">
        <f t="shared" ref="A70:A104" si="8">1/H70</f>
        <v>2.4594195769798325E-2</v>
      </c>
      <c r="B70">
        <v>9.6650000000000009</v>
      </c>
      <c r="C70">
        <v>66</v>
      </c>
      <c r="D70" s="35">
        <f t="shared" ref="D70:D104" si="9">G70*H70</f>
        <v>926017.86054180656</v>
      </c>
      <c r="E70" s="35">
        <f t="shared" ref="E70:E104" si="10">F70+G70</f>
        <v>40994.396187290993</v>
      </c>
      <c r="F70" s="35">
        <f t="shared" ref="F70:F104" si="11">G70*0.8</f>
        <v>18219.731638795998</v>
      </c>
      <c r="G70">
        <f>'2、属性成长'!E71</f>
        <v>22774.664548494995</v>
      </c>
      <c r="H70">
        <f t="shared" ref="H70:H104" si="12">B70*4+2</f>
        <v>40.660000000000004</v>
      </c>
      <c r="I70">
        <v>0</v>
      </c>
      <c r="J70">
        <f t="shared" ref="J70:M104" si="13">50000/80*$C70</f>
        <v>41250</v>
      </c>
      <c r="K70">
        <f t="shared" si="13"/>
        <v>41250</v>
      </c>
      <c r="L70">
        <f t="shared" si="13"/>
        <v>41250</v>
      </c>
      <c r="M70">
        <f t="shared" si="13"/>
        <v>41250</v>
      </c>
      <c r="N70" s="46">
        <f>$C70/80*各种公式!$J$4</f>
        <v>41250</v>
      </c>
      <c r="O70" s="153">
        <f>$C70/80*各种公式!$J$6</f>
        <v>16500</v>
      </c>
      <c r="P70" s="153">
        <f>$C70/80*各种公式!$J$6</f>
        <v>16500</v>
      </c>
      <c r="Q70" s="153">
        <f>$C70/80*各种公式!$J$8</f>
        <v>8250</v>
      </c>
      <c r="R70" s="153">
        <f>$C70/80*各种公式!$J$9</f>
        <v>16500</v>
      </c>
      <c r="S70" s="153">
        <f>$C70/80*各种公式!$J$10</f>
        <v>16500</v>
      </c>
      <c r="T70">
        <f>SUMPRODUCT(D70:F70,各种公式!$C$13:$E$13)</f>
        <v>96254.842247759269</v>
      </c>
    </row>
    <row r="71" spans="1:20" x14ac:dyDescent="0.15">
      <c r="A71" s="121">
        <f t="shared" si="8"/>
        <v>2.4289531212047605E-2</v>
      </c>
      <c r="B71">
        <v>9.7925000000000004</v>
      </c>
      <c r="C71">
        <v>67</v>
      </c>
      <c r="D71" s="35">
        <f t="shared" si="9"/>
        <v>978650.16692019301</v>
      </c>
      <c r="E71" s="35">
        <f t="shared" si="10"/>
        <v>42787.716795150533</v>
      </c>
      <c r="F71" s="35">
        <f t="shared" si="11"/>
        <v>19016.763020066905</v>
      </c>
      <c r="G71">
        <f>'2、属性成长'!E72</f>
        <v>23770.953775083628</v>
      </c>
      <c r="H71">
        <f t="shared" si="12"/>
        <v>41.17</v>
      </c>
      <c r="I71">
        <v>0</v>
      </c>
      <c r="J71">
        <f t="shared" si="13"/>
        <v>41875</v>
      </c>
      <c r="K71">
        <f t="shared" si="13"/>
        <v>41875</v>
      </c>
      <c r="L71">
        <f t="shared" si="13"/>
        <v>41875</v>
      </c>
      <c r="M71">
        <f t="shared" si="13"/>
        <v>41875</v>
      </c>
      <c r="N71" s="46">
        <f>$C71/80*各种公式!$J$4</f>
        <v>41875</v>
      </c>
      <c r="O71" s="153">
        <f>$C71/80*各种公式!$J$6</f>
        <v>16750</v>
      </c>
      <c r="P71" s="153">
        <f>$C71/80*各种公式!$J$6</f>
        <v>16750</v>
      </c>
      <c r="Q71" s="153">
        <f>$C71/80*各种公式!$J$8</f>
        <v>8375</v>
      </c>
      <c r="R71" s="153">
        <f>$C71/80*各种公式!$J$9</f>
        <v>16750</v>
      </c>
      <c r="S71" s="153">
        <f>$C71/80*各种公式!$J$10</f>
        <v>16750</v>
      </c>
      <c r="T71">
        <f>SUMPRODUCT(D71:F71,各种公式!$C$13:$E$13)</f>
        <v>100950.48649202516</v>
      </c>
    </row>
    <row r="72" spans="1:20" x14ac:dyDescent="0.15">
      <c r="A72" s="121">
        <f t="shared" si="8"/>
        <v>2.3992322456813819E-2</v>
      </c>
      <c r="B72">
        <v>9.92</v>
      </c>
      <c r="C72">
        <v>68</v>
      </c>
      <c r="D72" s="35">
        <f t="shared" si="9"/>
        <v>1033166.6948709039</v>
      </c>
      <c r="E72" s="35">
        <f t="shared" si="10"/>
        <v>44618.523290969941</v>
      </c>
      <c r="F72" s="35">
        <f t="shared" si="11"/>
        <v>19830.45479598664</v>
      </c>
      <c r="G72">
        <f>'2、属性成长'!E73</f>
        <v>24788.068494983298</v>
      </c>
      <c r="H72">
        <f t="shared" si="12"/>
        <v>41.68</v>
      </c>
      <c r="I72">
        <v>0</v>
      </c>
      <c r="J72">
        <f t="shared" si="13"/>
        <v>42500</v>
      </c>
      <c r="K72">
        <f t="shared" si="13"/>
        <v>42500</v>
      </c>
      <c r="L72">
        <f t="shared" si="13"/>
        <v>42500</v>
      </c>
      <c r="M72">
        <f t="shared" si="13"/>
        <v>42500</v>
      </c>
      <c r="N72" s="46">
        <f>$C72/80*各种公式!$J$4</f>
        <v>42500</v>
      </c>
      <c r="O72" s="153">
        <f>$C72/80*各种公式!$J$6</f>
        <v>17000</v>
      </c>
      <c r="P72" s="153">
        <f>$C72/80*各种公式!$J$6</f>
        <v>17000</v>
      </c>
      <c r="Q72" s="153">
        <f>$C72/80*各种公式!$J$8</f>
        <v>8500</v>
      </c>
      <c r="R72" s="153">
        <f>$C72/80*各种公式!$J$9</f>
        <v>17000</v>
      </c>
      <c r="S72" s="153">
        <f>$C72/80*各种公式!$J$10</f>
        <v>17000</v>
      </c>
      <c r="T72">
        <f>SUMPRODUCT(D72:F72,各种公式!$C$13:$E$13)</f>
        <v>105775.64588179273</v>
      </c>
    </row>
    <row r="73" spans="1:20" x14ac:dyDescent="0.15">
      <c r="A73" s="121">
        <f t="shared" si="8"/>
        <v>2.3702299123014935E-2</v>
      </c>
      <c r="B73">
        <v>10.047499999999999</v>
      </c>
      <c r="C73">
        <v>69</v>
      </c>
      <c r="D73" s="35">
        <f t="shared" si="9"/>
        <v>1089599.307398705</v>
      </c>
      <c r="E73" s="35">
        <f t="shared" si="10"/>
        <v>46486.815674749203</v>
      </c>
      <c r="F73" s="35">
        <f t="shared" si="11"/>
        <v>20660.806966555203</v>
      </c>
      <c r="G73">
        <f>'2、属性成长'!E74</f>
        <v>25826.008708194004</v>
      </c>
      <c r="H73">
        <f t="shared" si="12"/>
        <v>42.19</v>
      </c>
      <c r="I73">
        <v>0</v>
      </c>
      <c r="J73">
        <f t="shared" si="13"/>
        <v>43125</v>
      </c>
      <c r="K73">
        <f t="shared" si="13"/>
        <v>43125</v>
      </c>
      <c r="L73">
        <f t="shared" si="13"/>
        <v>43125</v>
      </c>
      <c r="M73">
        <f t="shared" si="13"/>
        <v>43125</v>
      </c>
      <c r="N73" s="46">
        <f>$C73/80*各种公式!$J$4</f>
        <v>43125</v>
      </c>
      <c r="O73" s="153">
        <f>$C73/80*各种公式!$J$6</f>
        <v>17250</v>
      </c>
      <c r="P73" s="153">
        <f>$C73/80*各种公式!$J$6</f>
        <v>17250</v>
      </c>
      <c r="Q73" s="153">
        <f>$C73/80*各种公式!$J$8</f>
        <v>8625</v>
      </c>
      <c r="R73" s="153">
        <f>$C73/80*各种公式!$J$9</f>
        <v>17250</v>
      </c>
      <c r="S73" s="153">
        <f>$C73/80*各种公式!$J$10</f>
        <v>17250</v>
      </c>
      <c r="T73">
        <f>SUMPRODUCT(D73:F73,各种公式!$C$13:$E$13)</f>
        <v>110731.59493725261</v>
      </c>
    </row>
    <row r="74" spans="1:20" x14ac:dyDescent="0.15">
      <c r="A74" s="121">
        <f t="shared" si="8"/>
        <v>2.3419203747072598E-2</v>
      </c>
      <c r="B74">
        <v>10.175000000000001</v>
      </c>
      <c r="C74">
        <v>70</v>
      </c>
      <c r="D74" s="35">
        <f t="shared" si="9"/>
        <v>1152328.276097409</v>
      </c>
      <c r="E74" s="35">
        <f t="shared" si="10"/>
        <v>48575.89922658867</v>
      </c>
      <c r="F74" s="35">
        <f t="shared" si="11"/>
        <v>21589.288545150521</v>
      </c>
      <c r="G74">
        <f>'2、属性成长'!E75</f>
        <v>26986.610681438149</v>
      </c>
      <c r="H74">
        <f t="shared" si="12"/>
        <v>42.7</v>
      </c>
      <c r="I74">
        <v>0</v>
      </c>
      <c r="J74">
        <f t="shared" si="13"/>
        <v>43750</v>
      </c>
      <c r="K74">
        <f t="shared" si="13"/>
        <v>43750</v>
      </c>
      <c r="L74">
        <f t="shared" si="13"/>
        <v>43750</v>
      </c>
      <c r="M74">
        <f t="shared" si="13"/>
        <v>43750</v>
      </c>
      <c r="N74" s="46">
        <f>$C74/80*各种公式!$J$4</f>
        <v>43750</v>
      </c>
      <c r="O74" s="153">
        <f>$C74/80*各种公式!$J$6</f>
        <v>17500</v>
      </c>
      <c r="P74" s="153">
        <f>$C74/80*各种公式!$J$6</f>
        <v>17500</v>
      </c>
      <c r="Q74" s="153">
        <f>$C74/80*各种公式!$J$8</f>
        <v>8750</v>
      </c>
      <c r="R74" s="153">
        <f>$C74/80*各种公式!$J$9</f>
        <v>17500</v>
      </c>
      <c r="S74" s="153">
        <f>$C74/80*各种公式!$J$10</f>
        <v>17500</v>
      </c>
      <c r="T74">
        <f>SUMPRODUCT(D74:F74,各种公式!$C$13:$E$13)</f>
        <v>116258.31881563555</v>
      </c>
    </row>
    <row r="75" spans="1:20" x14ac:dyDescent="0.15">
      <c r="A75" s="121">
        <f t="shared" si="8"/>
        <v>2.3142791020597082E-2</v>
      </c>
      <c r="B75">
        <v>10.3025</v>
      </c>
      <c r="C75">
        <v>71</v>
      </c>
      <c r="D75" s="35">
        <f t="shared" si="9"/>
        <v>1217290.9066357866</v>
      </c>
      <c r="E75" s="35">
        <f t="shared" si="10"/>
        <v>50708.716314381301</v>
      </c>
      <c r="F75" s="35">
        <f t="shared" si="11"/>
        <v>22537.207250836134</v>
      </c>
      <c r="G75">
        <f>'2、属性成长'!E76</f>
        <v>28171.509063545167</v>
      </c>
      <c r="H75">
        <f t="shared" si="12"/>
        <v>43.21</v>
      </c>
      <c r="I75">
        <v>0</v>
      </c>
      <c r="J75">
        <f t="shared" si="13"/>
        <v>44375</v>
      </c>
      <c r="K75">
        <f t="shared" si="13"/>
        <v>44375</v>
      </c>
      <c r="L75">
        <f t="shared" si="13"/>
        <v>44375</v>
      </c>
      <c r="M75">
        <f t="shared" si="13"/>
        <v>44375</v>
      </c>
      <c r="N75" s="46">
        <f>$C75/80*各种公式!$J$4</f>
        <v>44375</v>
      </c>
      <c r="O75" s="153">
        <f>$C75/80*各种公式!$J$6</f>
        <v>17750</v>
      </c>
      <c r="P75" s="153">
        <f>$C75/80*各种公式!$J$6</f>
        <v>17750</v>
      </c>
      <c r="Q75" s="153">
        <f>$C75/80*各种公式!$J$8</f>
        <v>8875</v>
      </c>
      <c r="R75" s="153">
        <f>$C75/80*各种公式!$J$9</f>
        <v>17750</v>
      </c>
      <c r="S75" s="153">
        <f>$C75/80*各种公式!$J$10</f>
        <v>17750</v>
      </c>
      <c r="T75">
        <f>SUMPRODUCT(D75:F75,各种公式!$C$13:$E$13)</f>
        <v>121937.5598306489</v>
      </c>
    </row>
    <row r="76" spans="1:20" x14ac:dyDescent="0.15">
      <c r="A76" s="121">
        <f t="shared" si="8"/>
        <v>2.2872827081427266E-2</v>
      </c>
      <c r="B76">
        <v>10.43</v>
      </c>
      <c r="C76">
        <v>72</v>
      </c>
      <c r="D76" s="35">
        <f t="shared" si="9"/>
        <v>1284524.3725193988</v>
      </c>
      <c r="E76" s="35">
        <f t="shared" si="10"/>
        <v>52885.266938127126</v>
      </c>
      <c r="F76" s="35">
        <f t="shared" si="11"/>
        <v>23504.563083612054</v>
      </c>
      <c r="G76">
        <f>'2、属性成长'!E77</f>
        <v>29380.703854515068</v>
      </c>
      <c r="H76">
        <f t="shared" si="12"/>
        <v>43.72</v>
      </c>
      <c r="I76">
        <v>0</v>
      </c>
      <c r="J76">
        <f t="shared" si="13"/>
        <v>45000</v>
      </c>
      <c r="K76">
        <f t="shared" si="13"/>
        <v>45000</v>
      </c>
      <c r="L76">
        <f t="shared" si="13"/>
        <v>45000</v>
      </c>
      <c r="M76">
        <f t="shared" si="13"/>
        <v>45000</v>
      </c>
      <c r="N76" s="46">
        <f>$C76/80*各种公式!$J$4</f>
        <v>45000</v>
      </c>
      <c r="O76" s="153">
        <f>$C76/80*各种公式!$J$6</f>
        <v>18000</v>
      </c>
      <c r="P76" s="153">
        <f>$C76/80*各种公式!$J$6</f>
        <v>18000</v>
      </c>
      <c r="Q76" s="153">
        <f>$C76/80*各种公式!$J$8</f>
        <v>9000</v>
      </c>
      <c r="R76" s="153">
        <f>$C76/80*各种公式!$J$9</f>
        <v>18000</v>
      </c>
      <c r="S76" s="153">
        <f>$C76/80*各种公式!$J$10</f>
        <v>18000</v>
      </c>
      <c r="T76">
        <f>SUMPRODUCT(D76:F76,各种公式!$C$13:$E$13)</f>
        <v>127770.80492251513</v>
      </c>
    </row>
    <row r="77" spans="1:20" x14ac:dyDescent="0.15">
      <c r="A77" s="121">
        <f t="shared" si="8"/>
        <v>2.2609088853719192E-2</v>
      </c>
      <c r="B77">
        <v>10.557500000000001</v>
      </c>
      <c r="C77">
        <v>73</v>
      </c>
      <c r="D77" s="35">
        <f t="shared" si="9"/>
        <v>1354065.8472538053</v>
      </c>
      <c r="E77" s="35">
        <f t="shared" si="10"/>
        <v>55105.551097826123</v>
      </c>
      <c r="F77" s="35">
        <f t="shared" si="11"/>
        <v>24491.356043478278</v>
      </c>
      <c r="G77">
        <f>'2、属性成长'!E78</f>
        <v>30614.195054347845</v>
      </c>
      <c r="H77">
        <f t="shared" si="12"/>
        <v>44.230000000000004</v>
      </c>
      <c r="I77">
        <v>0</v>
      </c>
      <c r="J77">
        <f t="shared" si="13"/>
        <v>45625</v>
      </c>
      <c r="K77">
        <f t="shared" si="13"/>
        <v>45625</v>
      </c>
      <c r="L77">
        <f t="shared" si="13"/>
        <v>45625</v>
      </c>
      <c r="M77">
        <f t="shared" si="13"/>
        <v>45625</v>
      </c>
      <c r="N77" s="46">
        <f>$C77/80*各种公式!$J$4</f>
        <v>45625</v>
      </c>
      <c r="O77" s="153">
        <f>$C77/80*各种公式!$J$6</f>
        <v>18250</v>
      </c>
      <c r="P77" s="153">
        <f>$C77/80*各种公式!$J$6</f>
        <v>18250</v>
      </c>
      <c r="Q77" s="153">
        <f>$C77/80*各种公式!$J$8</f>
        <v>9125</v>
      </c>
      <c r="R77" s="153">
        <f>$C77/80*各种公式!$J$9</f>
        <v>18250</v>
      </c>
      <c r="S77" s="153">
        <f>$C77/80*各种公式!$J$10</f>
        <v>18250</v>
      </c>
      <c r="T77">
        <f>SUMPRODUCT(D77:F77,各种公式!$C$13:$E$13)</f>
        <v>133759.54103145661</v>
      </c>
    </row>
    <row r="78" spans="1:20" x14ac:dyDescent="0.15">
      <c r="A78" s="121">
        <f t="shared" si="8"/>
        <v>2.2351363433169423E-2</v>
      </c>
      <c r="B78">
        <v>10.685</v>
      </c>
      <c r="C78">
        <v>74</v>
      </c>
      <c r="D78" s="35">
        <f t="shared" si="9"/>
        <v>1425952.504344566</v>
      </c>
      <c r="E78" s="35">
        <f t="shared" si="10"/>
        <v>57369.568793478291</v>
      </c>
      <c r="F78" s="35">
        <f t="shared" si="11"/>
        <v>25497.586130434796</v>
      </c>
      <c r="G78">
        <f>'2、属性成长'!E79</f>
        <v>31871.982663043495</v>
      </c>
      <c r="H78">
        <f t="shared" si="12"/>
        <v>44.74</v>
      </c>
      <c r="I78">
        <v>0</v>
      </c>
      <c r="J78">
        <f t="shared" si="13"/>
        <v>46250</v>
      </c>
      <c r="K78">
        <f t="shared" si="13"/>
        <v>46250</v>
      </c>
      <c r="L78">
        <f t="shared" si="13"/>
        <v>46250</v>
      </c>
      <c r="M78">
        <f t="shared" si="13"/>
        <v>46250</v>
      </c>
      <c r="N78" s="46">
        <f>$C78/80*各种公式!$J$4</f>
        <v>46250</v>
      </c>
      <c r="O78" s="153">
        <f>$C78/80*各种公式!$J$6</f>
        <v>18500</v>
      </c>
      <c r="P78" s="153">
        <f>$C78/80*各种公式!$J$6</f>
        <v>18500</v>
      </c>
      <c r="Q78" s="153">
        <f>$C78/80*各种公式!$J$8</f>
        <v>9250</v>
      </c>
      <c r="R78" s="153">
        <f>$C78/80*各种公式!$J$9</f>
        <v>18500</v>
      </c>
      <c r="S78" s="153">
        <f>$C78/80*各种公式!$J$10</f>
        <v>18500</v>
      </c>
      <c r="T78">
        <f>SUMPRODUCT(D78:F78,各种公式!$C$13:$E$13)</f>
        <v>139905.25509769574</v>
      </c>
    </row>
    <row r="79" spans="1:20" x14ac:dyDescent="0.15">
      <c r="A79" s="121">
        <f t="shared" si="8"/>
        <v>2.2099447513812154E-2</v>
      </c>
      <c r="B79">
        <v>10.8125</v>
      </c>
      <c r="C79">
        <v>75</v>
      </c>
      <c r="D79" s="35">
        <f t="shared" si="9"/>
        <v>1500221.5172972416</v>
      </c>
      <c r="E79" s="35">
        <f t="shared" si="10"/>
        <v>59677.320025083645</v>
      </c>
      <c r="F79" s="35">
        <f t="shared" si="11"/>
        <v>26523.253344481622</v>
      </c>
      <c r="G79">
        <f>'2、属性成长'!E80</f>
        <v>33154.066680602024</v>
      </c>
      <c r="H79">
        <f t="shared" si="12"/>
        <v>45.25</v>
      </c>
      <c r="I79">
        <v>0</v>
      </c>
      <c r="J79">
        <f t="shared" si="13"/>
        <v>46875</v>
      </c>
      <c r="K79">
        <f t="shared" si="13"/>
        <v>46875</v>
      </c>
      <c r="L79">
        <f t="shared" si="13"/>
        <v>46875</v>
      </c>
      <c r="M79">
        <f t="shared" si="13"/>
        <v>46875</v>
      </c>
      <c r="N79" s="46">
        <f>$C79/80*各种公式!$J$4</f>
        <v>46875</v>
      </c>
      <c r="O79" s="153">
        <f>$C79/80*各种公式!$J$6</f>
        <v>18750</v>
      </c>
      <c r="P79" s="153">
        <f>$C79/80*各种公式!$J$6</f>
        <v>18750</v>
      </c>
      <c r="Q79" s="153">
        <f>$C79/80*各种公式!$J$8</f>
        <v>9375</v>
      </c>
      <c r="R79" s="153">
        <f>$C79/80*各种公式!$J$9</f>
        <v>18750</v>
      </c>
      <c r="S79" s="153">
        <f>$C79/80*各种公式!$J$10</f>
        <v>18750</v>
      </c>
      <c r="T79">
        <f>SUMPRODUCT(D79:F79,各种公式!$C$13:$E$13)</f>
        <v>146209.43406145493</v>
      </c>
    </row>
    <row r="80" spans="1:20" x14ac:dyDescent="0.15">
      <c r="A80" s="121">
        <f t="shared" si="8"/>
        <v>2.1853146853146856E-2</v>
      </c>
      <c r="B80">
        <v>10.94</v>
      </c>
      <c r="C80">
        <v>76</v>
      </c>
      <c r="D80" s="35">
        <f t="shared" si="9"/>
        <v>1576910.059617392</v>
      </c>
      <c r="E80" s="35">
        <f t="shared" si="10"/>
        <v>62028.804792642171</v>
      </c>
      <c r="F80" s="35">
        <f t="shared" si="11"/>
        <v>27568.357685618743</v>
      </c>
      <c r="G80">
        <f>'2、属性成长'!E81</f>
        <v>34460.447107023429</v>
      </c>
      <c r="H80">
        <f t="shared" si="12"/>
        <v>45.76</v>
      </c>
      <c r="I80">
        <v>0</v>
      </c>
      <c r="J80">
        <f t="shared" si="13"/>
        <v>47500</v>
      </c>
      <c r="K80">
        <f t="shared" si="13"/>
        <v>47500</v>
      </c>
      <c r="L80">
        <f t="shared" si="13"/>
        <v>47500</v>
      </c>
      <c r="M80">
        <f t="shared" si="13"/>
        <v>47500</v>
      </c>
      <c r="N80" s="46">
        <f>$C80/80*各种公式!$J$4</f>
        <v>47500</v>
      </c>
      <c r="O80" s="153">
        <f>$C80/80*各种公式!$J$6</f>
        <v>19000</v>
      </c>
      <c r="P80" s="153">
        <f>$C80/80*各种公式!$J$6</f>
        <v>19000</v>
      </c>
      <c r="Q80" s="153">
        <f>$C80/80*各种公式!$J$8</f>
        <v>9500</v>
      </c>
      <c r="R80" s="153">
        <f>$C80/80*各种公式!$J$9</f>
        <v>19000</v>
      </c>
      <c r="S80" s="153">
        <f>$C80/80*各种公式!$J$10</f>
        <v>19000</v>
      </c>
      <c r="T80">
        <f>SUMPRODUCT(D80:F80,各种公式!$C$13:$E$13)</f>
        <v>152673.56486295658</v>
      </c>
    </row>
    <row r="81" spans="1:20" x14ac:dyDescent="0.15">
      <c r="A81" s="121">
        <f t="shared" si="8"/>
        <v>2.1612275772638856E-2</v>
      </c>
      <c r="B81">
        <v>11.067500000000001</v>
      </c>
      <c r="C81">
        <v>77</v>
      </c>
      <c r="D81" s="35">
        <f t="shared" si="9"/>
        <v>1656055.3048105778</v>
      </c>
      <c r="E81" s="35">
        <f t="shared" si="10"/>
        <v>64424.023096153876</v>
      </c>
      <c r="F81" s="35">
        <f t="shared" si="11"/>
        <v>28632.899153846167</v>
      </c>
      <c r="G81">
        <f>'2、属性成长'!E82</f>
        <v>35791.123942307706</v>
      </c>
      <c r="H81">
        <f t="shared" si="12"/>
        <v>46.27</v>
      </c>
      <c r="I81">
        <v>0</v>
      </c>
      <c r="J81">
        <f t="shared" si="13"/>
        <v>48125</v>
      </c>
      <c r="K81">
        <f t="shared" si="13"/>
        <v>48125</v>
      </c>
      <c r="L81">
        <f t="shared" si="13"/>
        <v>48125</v>
      </c>
      <c r="M81">
        <f t="shared" si="13"/>
        <v>48125</v>
      </c>
      <c r="N81" s="46">
        <f>$C81/80*各种公式!$J$4</f>
        <v>48125</v>
      </c>
      <c r="O81" s="153">
        <f>$C81/80*各种公式!$J$6</f>
        <v>19250</v>
      </c>
      <c r="P81" s="153">
        <f>$C81/80*各种公式!$J$6</f>
        <v>19250</v>
      </c>
      <c r="Q81" s="153">
        <f>$C81/80*各种公式!$J$8</f>
        <v>9625</v>
      </c>
      <c r="R81" s="153">
        <f>$C81/80*各种公式!$J$9</f>
        <v>19250</v>
      </c>
      <c r="S81" s="153">
        <f>$C81/80*各种公式!$J$10</f>
        <v>19250</v>
      </c>
      <c r="T81">
        <f>SUMPRODUCT(D81:F81,各种公式!$C$13:$E$13)</f>
        <v>159299.13444242315</v>
      </c>
    </row>
    <row r="82" spans="1:20" x14ac:dyDescent="0.15">
      <c r="A82" s="121">
        <f t="shared" si="8"/>
        <v>2.1376656690893545E-2</v>
      </c>
      <c r="B82">
        <v>11.195</v>
      </c>
      <c r="C82">
        <v>78</v>
      </c>
      <c r="D82" s="35">
        <f t="shared" si="9"/>
        <v>1737694.4263823582</v>
      </c>
      <c r="E82" s="35">
        <f t="shared" si="10"/>
        <v>66862.974935618739</v>
      </c>
      <c r="F82" s="35">
        <f t="shared" si="11"/>
        <v>29716.877749163887</v>
      </c>
      <c r="G82">
        <f>'2、属性成长'!E83</f>
        <v>37146.097186454856</v>
      </c>
      <c r="H82">
        <f t="shared" si="12"/>
        <v>46.78</v>
      </c>
      <c r="I82">
        <v>0</v>
      </c>
      <c r="J82">
        <f t="shared" si="13"/>
        <v>48750</v>
      </c>
      <c r="K82">
        <f t="shared" si="13"/>
        <v>48750</v>
      </c>
      <c r="L82">
        <f t="shared" si="13"/>
        <v>48750</v>
      </c>
      <c r="M82">
        <f t="shared" si="13"/>
        <v>48750</v>
      </c>
      <c r="N82" s="46">
        <f>$C82/80*各种公式!$J$4</f>
        <v>48750</v>
      </c>
      <c r="O82" s="153">
        <f>$C82/80*各种公式!$J$6</f>
        <v>19500</v>
      </c>
      <c r="P82" s="153">
        <f>$C82/80*各种公式!$J$6</f>
        <v>19500</v>
      </c>
      <c r="Q82" s="153">
        <f>$C82/80*各种公式!$J$8</f>
        <v>9750</v>
      </c>
      <c r="R82" s="153">
        <f>$C82/80*各种公式!$J$9</f>
        <v>19500</v>
      </c>
      <c r="S82" s="153">
        <f>$C82/80*各种公式!$J$10</f>
        <v>19500</v>
      </c>
      <c r="T82">
        <f>SUMPRODUCT(D82:F82,各种公式!$C$13:$E$13)</f>
        <v>166087.62974007695</v>
      </c>
    </row>
    <row r="83" spans="1:20" x14ac:dyDescent="0.15">
      <c r="A83" s="121">
        <f t="shared" si="8"/>
        <v>2.1146119687037428E-2</v>
      </c>
      <c r="B83">
        <v>11.3225</v>
      </c>
      <c r="C83">
        <v>79</v>
      </c>
      <c r="D83" s="35">
        <f t="shared" si="9"/>
        <v>1821864.5978382952</v>
      </c>
      <c r="E83" s="35">
        <f t="shared" si="10"/>
        <v>69345.660311036816</v>
      </c>
      <c r="F83" s="35">
        <f t="shared" si="11"/>
        <v>30820.29347157192</v>
      </c>
      <c r="G83">
        <f>'2、属性成长'!E84</f>
        <v>38525.366839464899</v>
      </c>
      <c r="H83">
        <f t="shared" si="12"/>
        <v>47.29</v>
      </c>
      <c r="I83">
        <v>0</v>
      </c>
      <c r="J83">
        <f t="shared" si="13"/>
        <v>49375</v>
      </c>
      <c r="K83">
        <f t="shared" si="13"/>
        <v>49375</v>
      </c>
      <c r="L83">
        <f t="shared" si="13"/>
        <v>49375</v>
      </c>
      <c r="M83">
        <f t="shared" si="13"/>
        <v>49375</v>
      </c>
      <c r="N83" s="46">
        <f>$C83/80*各种公式!$J$4</f>
        <v>49375</v>
      </c>
      <c r="O83" s="153">
        <f>$C83/80*各种公式!$J$6</f>
        <v>19750</v>
      </c>
      <c r="P83" s="153">
        <f>$C83/80*各种公式!$J$6</f>
        <v>19750</v>
      </c>
      <c r="Q83" s="153">
        <f>$C83/80*各种公式!$J$8</f>
        <v>9875</v>
      </c>
      <c r="R83" s="153">
        <f>$C83/80*各种公式!$J$9</f>
        <v>19750</v>
      </c>
      <c r="S83" s="153">
        <f>$C83/80*各种公式!$J$10</f>
        <v>19750</v>
      </c>
      <c r="T83">
        <f>SUMPRODUCT(D83:F83,各种公式!$C$13:$E$13)</f>
        <v>173040.53769614056</v>
      </c>
    </row>
    <row r="84" spans="1:20" x14ac:dyDescent="0.15">
      <c r="A84" s="121">
        <f t="shared" si="8"/>
        <v>2.0920502092050212E-2</v>
      </c>
      <c r="B84">
        <v>11.45</v>
      </c>
      <c r="C84">
        <v>80</v>
      </c>
      <c r="D84" s="35">
        <f t="shared" si="9"/>
        <v>1914300.3150501673</v>
      </c>
      <c r="E84" s="35">
        <f t="shared" si="10"/>
        <v>72086.622742474923</v>
      </c>
      <c r="F84" s="35">
        <f t="shared" si="11"/>
        <v>32038.498996655522</v>
      </c>
      <c r="G84">
        <f>'2、属性成长'!E85</f>
        <v>40048.123745819401</v>
      </c>
      <c r="H84">
        <f t="shared" si="12"/>
        <v>47.8</v>
      </c>
      <c r="I84">
        <v>0</v>
      </c>
      <c r="J84">
        <f t="shared" si="13"/>
        <v>50000</v>
      </c>
      <c r="K84">
        <f t="shared" si="13"/>
        <v>50000</v>
      </c>
      <c r="L84">
        <f t="shared" si="13"/>
        <v>50000</v>
      </c>
      <c r="M84">
        <f t="shared" si="13"/>
        <v>50000</v>
      </c>
      <c r="N84" s="46">
        <f>$C84/80*各种公式!$J$4</f>
        <v>50000</v>
      </c>
      <c r="O84" s="153">
        <f>$C84/80*各种公式!$J$6</f>
        <v>20000</v>
      </c>
      <c r="P84" s="153">
        <f>$C84/80*各种公式!$J$6</f>
        <v>20000</v>
      </c>
      <c r="Q84" s="153">
        <f>$C84/80*各种公式!$J$8</f>
        <v>10000</v>
      </c>
      <c r="R84" s="153">
        <f>$C84/80*各种公式!$J$9</f>
        <v>20000</v>
      </c>
      <c r="S84" s="153">
        <f>$C84/80*各种公式!$J$10</f>
        <v>20000</v>
      </c>
      <c r="T84">
        <f>SUMPRODUCT(D84:F84,各种公式!$C$13:$E$13)</f>
        <v>180697.13434113713</v>
      </c>
    </row>
    <row r="85" spans="1:20" x14ac:dyDescent="0.15">
      <c r="A85" s="121">
        <f t="shared" si="8"/>
        <v>2.0699648105982196E-2</v>
      </c>
      <c r="B85">
        <v>11.577500000000001</v>
      </c>
      <c r="C85">
        <v>81</v>
      </c>
      <c r="D85" s="35">
        <f t="shared" si="9"/>
        <v>2009630.6837489975</v>
      </c>
      <c r="E85" s="35">
        <f t="shared" si="10"/>
        <v>74877.566357859556</v>
      </c>
      <c r="F85" s="35">
        <f t="shared" si="11"/>
        <v>33278.918381270916</v>
      </c>
      <c r="G85">
        <f>'2、属性成长'!E86</f>
        <v>41598.647976588647</v>
      </c>
      <c r="H85">
        <f t="shared" si="12"/>
        <v>48.31</v>
      </c>
      <c r="I85">
        <v>0</v>
      </c>
      <c r="J85">
        <f t="shared" si="13"/>
        <v>50625</v>
      </c>
      <c r="K85">
        <f t="shared" si="13"/>
        <v>50625</v>
      </c>
      <c r="L85">
        <f t="shared" si="13"/>
        <v>50625</v>
      </c>
      <c r="M85">
        <f t="shared" si="13"/>
        <v>50625</v>
      </c>
      <c r="N85" s="46">
        <f>$C85/80*各种公式!$J$4</f>
        <v>50625</v>
      </c>
      <c r="O85" s="153">
        <f>$C85/80*各种公式!$J$6</f>
        <v>20250</v>
      </c>
      <c r="P85" s="153">
        <f>$C85/80*各种公式!$J$6</f>
        <v>20250</v>
      </c>
      <c r="Q85" s="153">
        <f>$C85/80*各种公式!$J$8</f>
        <v>10125</v>
      </c>
      <c r="R85" s="153">
        <f>$C85/80*各种公式!$J$9</f>
        <v>20250</v>
      </c>
      <c r="S85" s="153">
        <f>$C85/80*各种公式!$J$10</f>
        <v>20250</v>
      </c>
      <c r="T85">
        <f>SUMPRODUCT(D85:F85,各种公式!$C$13:$E$13)</f>
        <v>188541.71208909038</v>
      </c>
    </row>
    <row r="86" spans="1:20" x14ac:dyDescent="0.15">
      <c r="A86" s="121">
        <f t="shared" si="8"/>
        <v>2.0483408439164276E-2</v>
      </c>
      <c r="B86">
        <v>11.705</v>
      </c>
      <c r="C86">
        <v>82</v>
      </c>
      <c r="D86" s="35">
        <f t="shared" si="9"/>
        <v>2107898.1879411377</v>
      </c>
      <c r="E86" s="35">
        <f t="shared" si="10"/>
        <v>77718.491157190656</v>
      </c>
      <c r="F86" s="35">
        <f t="shared" si="11"/>
        <v>34541.551625418069</v>
      </c>
      <c r="G86">
        <f>'2、属性成长'!E87</f>
        <v>43176.939531772587</v>
      </c>
      <c r="H86">
        <f t="shared" si="12"/>
        <v>48.82</v>
      </c>
      <c r="I86">
        <v>0</v>
      </c>
      <c r="J86">
        <f t="shared" si="13"/>
        <v>51250</v>
      </c>
      <c r="K86">
        <f t="shared" si="13"/>
        <v>51250</v>
      </c>
      <c r="L86">
        <f t="shared" si="13"/>
        <v>51250</v>
      </c>
      <c r="M86">
        <f t="shared" si="13"/>
        <v>51250</v>
      </c>
      <c r="N86" s="46">
        <f>$C86/80*各种公式!$J$4</f>
        <v>51249.999999999993</v>
      </c>
      <c r="O86" s="153">
        <f>$C86/80*各种公式!$J$6</f>
        <v>20500</v>
      </c>
      <c r="P86" s="153">
        <f>$C86/80*各种公式!$J$6</f>
        <v>20500</v>
      </c>
      <c r="Q86" s="153">
        <f>$C86/80*各种公式!$J$8</f>
        <v>10250</v>
      </c>
      <c r="R86" s="153">
        <f>$C86/80*各种公式!$J$9</f>
        <v>20500</v>
      </c>
      <c r="S86" s="153">
        <f>$C86/80*各种公式!$J$10</f>
        <v>20500</v>
      </c>
      <c r="T86">
        <f>SUMPRODUCT(D86:F86,各种公式!$C$13:$E$13)</f>
        <v>196575.97030025424</v>
      </c>
    </row>
    <row r="87" spans="1:20" x14ac:dyDescent="0.15">
      <c r="A87" s="121">
        <f t="shared" si="8"/>
        <v>2.0271639975674032E-2</v>
      </c>
      <c r="B87">
        <v>11.8325</v>
      </c>
      <c r="C87">
        <v>83</v>
      </c>
      <c r="D87" s="35">
        <f t="shared" si="9"/>
        <v>2209145.3116329438</v>
      </c>
      <c r="E87" s="35">
        <f t="shared" si="10"/>
        <v>80609.397140468252</v>
      </c>
      <c r="F87" s="35">
        <f t="shared" si="11"/>
        <v>35826.398729097004</v>
      </c>
      <c r="G87">
        <f>'2、属性成长'!E88</f>
        <v>44782.998411371249</v>
      </c>
      <c r="H87">
        <f t="shared" si="12"/>
        <v>49.33</v>
      </c>
      <c r="I87">
        <v>0</v>
      </c>
      <c r="J87">
        <f t="shared" si="13"/>
        <v>51875</v>
      </c>
      <c r="K87">
        <f t="shared" si="13"/>
        <v>51875</v>
      </c>
      <c r="L87">
        <f t="shared" si="13"/>
        <v>51875</v>
      </c>
      <c r="M87">
        <f t="shared" si="13"/>
        <v>51875</v>
      </c>
      <c r="N87" s="46">
        <f>$C87/80*各种公式!$J$4</f>
        <v>51875.000000000007</v>
      </c>
      <c r="O87" s="153">
        <f>$C87/80*各种公式!$J$6</f>
        <v>20750</v>
      </c>
      <c r="P87" s="153">
        <f>$C87/80*各种公式!$J$6</f>
        <v>20750</v>
      </c>
      <c r="Q87" s="153">
        <f>$C87/80*各种公式!$J$8</f>
        <v>10375</v>
      </c>
      <c r="R87" s="153">
        <f>$C87/80*各种公式!$J$9</f>
        <v>20750</v>
      </c>
      <c r="S87" s="153">
        <f>$C87/80*各种公式!$J$10</f>
        <v>20750</v>
      </c>
      <c r="T87">
        <f>SUMPRODUCT(D87:F87,各种公式!$C$13:$E$13)</f>
        <v>204801.60833488303</v>
      </c>
    </row>
    <row r="88" spans="1:20" x14ac:dyDescent="0.15">
      <c r="A88" s="121">
        <f t="shared" si="8"/>
        <v>2.0064205457463884E-2</v>
      </c>
      <c r="B88">
        <v>11.96</v>
      </c>
      <c r="C88">
        <v>84</v>
      </c>
      <c r="D88" s="35">
        <f t="shared" si="9"/>
        <v>2313414.5388307702</v>
      </c>
      <c r="E88" s="35">
        <f t="shared" si="10"/>
        <v>83550.284307692331</v>
      </c>
      <c r="F88" s="35">
        <f t="shared" si="11"/>
        <v>37133.459692307704</v>
      </c>
      <c r="G88">
        <f>'2、属性成长'!E89</f>
        <v>46416.824615384627</v>
      </c>
      <c r="H88">
        <f t="shared" si="12"/>
        <v>49.84</v>
      </c>
      <c r="I88">
        <v>0</v>
      </c>
      <c r="J88">
        <f t="shared" si="13"/>
        <v>52500</v>
      </c>
      <c r="K88">
        <f t="shared" si="13"/>
        <v>52500</v>
      </c>
      <c r="L88">
        <f t="shared" si="13"/>
        <v>52500</v>
      </c>
      <c r="M88">
        <f t="shared" si="13"/>
        <v>52500</v>
      </c>
      <c r="N88" s="46">
        <f>$C88/80*各种公式!$J$4</f>
        <v>52500</v>
      </c>
      <c r="O88" s="153">
        <f>$C88/80*各种公式!$J$6</f>
        <v>21000</v>
      </c>
      <c r="P88" s="153">
        <f>$C88/80*各种公式!$J$6</f>
        <v>21000</v>
      </c>
      <c r="Q88" s="153">
        <f>$C88/80*各种公式!$J$8</f>
        <v>10500</v>
      </c>
      <c r="R88" s="153">
        <f>$C88/80*各种公式!$J$9</f>
        <v>21000</v>
      </c>
      <c r="S88" s="153">
        <f>$C88/80*各种公式!$J$10</f>
        <v>21000</v>
      </c>
      <c r="T88">
        <f>SUMPRODUCT(D88:F88,各种公式!$C$13:$E$13)</f>
        <v>213220.32555323082</v>
      </c>
    </row>
    <row r="89" spans="1:20" x14ac:dyDescent="0.15">
      <c r="A89" s="121">
        <f t="shared" si="8"/>
        <v>1.9860973187686197E-2</v>
      </c>
      <c r="B89">
        <v>12.0875</v>
      </c>
      <c r="C89">
        <v>85</v>
      </c>
      <c r="D89" s="35">
        <f t="shared" si="9"/>
        <v>2420748.3535409695</v>
      </c>
      <c r="E89" s="35">
        <f t="shared" si="10"/>
        <v>86541.152658862877</v>
      </c>
      <c r="F89" s="35">
        <f t="shared" si="11"/>
        <v>38462.734515050164</v>
      </c>
      <c r="G89">
        <f>'2、属性成长'!E90</f>
        <v>48078.418143812705</v>
      </c>
      <c r="H89">
        <f t="shared" si="12"/>
        <v>50.35</v>
      </c>
      <c r="I89">
        <v>0</v>
      </c>
      <c r="J89">
        <f t="shared" si="13"/>
        <v>53125</v>
      </c>
      <c r="K89">
        <f t="shared" si="13"/>
        <v>53125</v>
      </c>
      <c r="L89">
        <f t="shared" si="13"/>
        <v>53125</v>
      </c>
      <c r="M89">
        <f t="shared" si="13"/>
        <v>53125</v>
      </c>
      <c r="N89" s="46">
        <f>$C89/80*各种公式!$J$4</f>
        <v>53125</v>
      </c>
      <c r="O89" s="153">
        <f>$C89/80*各种公式!$J$6</f>
        <v>21250</v>
      </c>
      <c r="P89" s="153">
        <f>$C89/80*各种公式!$J$6</f>
        <v>21250</v>
      </c>
      <c r="Q89" s="153">
        <f>$C89/80*各种公式!$J$8</f>
        <v>10625</v>
      </c>
      <c r="R89" s="153">
        <f>$C89/80*各种公式!$J$9</f>
        <v>21250</v>
      </c>
      <c r="S89" s="153">
        <f>$C89/80*各种公式!$J$10</f>
        <v>21250</v>
      </c>
      <c r="T89">
        <f>SUMPRODUCT(D89:F89,各种公式!$C$13:$E$13)</f>
        <v>221833.82131555185</v>
      </c>
    </row>
    <row r="90" spans="1:20" x14ac:dyDescent="0.15">
      <c r="A90" s="121">
        <f t="shared" si="8"/>
        <v>1.9661816751867872E-2</v>
      </c>
      <c r="B90">
        <v>12.215</v>
      </c>
      <c r="C90">
        <v>86</v>
      </c>
      <c r="D90" s="35">
        <f t="shared" si="9"/>
        <v>2531189.2397698998</v>
      </c>
      <c r="E90" s="35">
        <f t="shared" si="10"/>
        <v>89582.002193979948</v>
      </c>
      <c r="F90" s="35">
        <f t="shared" si="11"/>
        <v>39814.22319732442</v>
      </c>
      <c r="G90">
        <f>'2、属性成长'!E91</f>
        <v>49767.778996655521</v>
      </c>
      <c r="H90">
        <f t="shared" si="12"/>
        <v>50.86</v>
      </c>
      <c r="I90">
        <v>0</v>
      </c>
      <c r="J90">
        <f t="shared" si="13"/>
        <v>53750</v>
      </c>
      <c r="K90">
        <f t="shared" si="13"/>
        <v>53750</v>
      </c>
      <c r="L90">
        <f t="shared" si="13"/>
        <v>53750</v>
      </c>
      <c r="M90">
        <f t="shared" si="13"/>
        <v>53750</v>
      </c>
      <c r="N90" s="46">
        <f>$C90/80*各种公式!$J$4</f>
        <v>53750</v>
      </c>
      <c r="O90" s="153">
        <f>$C90/80*各种公式!$J$6</f>
        <v>21500</v>
      </c>
      <c r="P90" s="153">
        <f>$C90/80*各种公式!$J$6</f>
        <v>21500</v>
      </c>
      <c r="Q90" s="153">
        <f>$C90/80*各种公式!$J$8</f>
        <v>10750</v>
      </c>
      <c r="R90" s="153">
        <f>$C90/80*各种公式!$J$9</f>
        <v>21500</v>
      </c>
      <c r="S90" s="153">
        <f>$C90/80*各种公式!$J$10</f>
        <v>21500</v>
      </c>
      <c r="T90">
        <f>SUMPRODUCT(D90:F90,各种公式!$C$13:$E$13)</f>
        <v>230643.79498210037</v>
      </c>
    </row>
    <row r="91" spans="1:20" x14ac:dyDescent="0.15">
      <c r="A91" s="121">
        <f t="shared" si="8"/>
        <v>1.9466614755693987E-2</v>
      </c>
      <c r="B91">
        <v>12.342499999999999</v>
      </c>
      <c r="C91">
        <v>87</v>
      </c>
      <c r="D91" s="35">
        <f t="shared" si="9"/>
        <v>2644779.6815239121</v>
      </c>
      <c r="E91" s="35">
        <f t="shared" si="10"/>
        <v>92672.832913043458</v>
      </c>
      <c r="F91" s="35">
        <f t="shared" si="11"/>
        <v>41187.925739130427</v>
      </c>
      <c r="G91">
        <f>'2、属性成长'!E92</f>
        <v>51484.90717391303</v>
      </c>
      <c r="H91">
        <f t="shared" si="12"/>
        <v>51.37</v>
      </c>
      <c r="I91">
        <v>0</v>
      </c>
      <c r="J91">
        <f t="shared" si="13"/>
        <v>54375</v>
      </c>
      <c r="K91">
        <f t="shared" si="13"/>
        <v>54375</v>
      </c>
      <c r="L91">
        <f t="shared" si="13"/>
        <v>54375</v>
      </c>
      <c r="M91">
        <f t="shared" si="13"/>
        <v>54375</v>
      </c>
      <c r="N91" s="46">
        <f>$C91/80*各种公式!$J$4</f>
        <v>54374.999999999993</v>
      </c>
      <c r="O91" s="153">
        <f>$C91/80*各种公式!$J$6</f>
        <v>21750</v>
      </c>
      <c r="P91" s="153">
        <f>$C91/80*各种公式!$J$6</f>
        <v>21750</v>
      </c>
      <c r="Q91" s="153">
        <f>$C91/80*各种公式!$J$8</f>
        <v>10875</v>
      </c>
      <c r="R91" s="153">
        <f>$C91/80*各种公式!$J$9</f>
        <v>21750</v>
      </c>
      <c r="S91" s="153">
        <f>$C91/80*各种公式!$J$10</f>
        <v>21750</v>
      </c>
      <c r="T91">
        <f>SUMPRODUCT(D91:F91,各种公式!$C$13:$E$13)</f>
        <v>239651.94591313036</v>
      </c>
    </row>
    <row r="92" spans="1:20" x14ac:dyDescent="0.15">
      <c r="A92" s="121">
        <f t="shared" si="8"/>
        <v>1.9275250578257516E-2</v>
      </c>
      <c r="B92">
        <v>12.47</v>
      </c>
      <c r="C92">
        <v>88</v>
      </c>
      <c r="D92" s="35">
        <f t="shared" si="9"/>
        <v>2761562.162809364</v>
      </c>
      <c r="E92" s="35">
        <f t="shared" si="10"/>
        <v>95813.644816053478</v>
      </c>
      <c r="F92" s="35">
        <f t="shared" si="11"/>
        <v>42583.842140468216</v>
      </c>
      <c r="G92">
        <f>'2、属性成长'!E93</f>
        <v>53229.80267558527</v>
      </c>
      <c r="H92">
        <f t="shared" si="12"/>
        <v>51.88</v>
      </c>
      <c r="I92">
        <v>0</v>
      </c>
      <c r="J92">
        <f t="shared" si="13"/>
        <v>55000</v>
      </c>
      <c r="K92">
        <f t="shared" si="13"/>
        <v>55000</v>
      </c>
      <c r="L92">
        <f t="shared" si="13"/>
        <v>55000</v>
      </c>
      <c r="M92">
        <f t="shared" si="13"/>
        <v>55000</v>
      </c>
      <c r="N92" s="46">
        <f>$C92/80*各种公式!$J$4</f>
        <v>55000.000000000007</v>
      </c>
      <c r="O92" s="153">
        <f>$C92/80*各种公式!$J$6</f>
        <v>22000</v>
      </c>
      <c r="P92" s="153">
        <f>$C92/80*各种公式!$J$6</f>
        <v>22000</v>
      </c>
      <c r="Q92" s="153">
        <f>$C92/80*各种公式!$J$8</f>
        <v>11000</v>
      </c>
      <c r="R92" s="153">
        <f>$C92/80*各种公式!$J$9</f>
        <v>22000</v>
      </c>
      <c r="S92" s="153">
        <f>$C92/80*各种公式!$J$10</f>
        <v>22000</v>
      </c>
      <c r="T92">
        <f>SUMPRODUCT(D92:F92,各种公式!$C$13:$E$13)</f>
        <v>248859.97346889626</v>
      </c>
    </row>
    <row r="93" spans="1:20" x14ac:dyDescent="0.15">
      <c r="A93" s="121">
        <f t="shared" si="8"/>
        <v>1.9087612139721322E-2</v>
      </c>
      <c r="B93">
        <v>12.5975</v>
      </c>
      <c r="C93">
        <v>89</v>
      </c>
      <c r="D93" s="35">
        <f t="shared" si="9"/>
        <v>2881579.1676326082</v>
      </c>
      <c r="E93" s="35">
        <f t="shared" si="10"/>
        <v>99004.437903010024</v>
      </c>
      <c r="F93" s="35">
        <f t="shared" si="11"/>
        <v>44001.972401337785</v>
      </c>
      <c r="G93">
        <f>'2、属性成长'!E94</f>
        <v>55002.465501672232</v>
      </c>
      <c r="H93">
        <f t="shared" si="12"/>
        <v>52.39</v>
      </c>
      <c r="I93">
        <v>0</v>
      </c>
      <c r="J93">
        <f t="shared" si="13"/>
        <v>55625</v>
      </c>
      <c r="K93">
        <f t="shared" si="13"/>
        <v>55625</v>
      </c>
      <c r="L93">
        <f t="shared" si="13"/>
        <v>55625</v>
      </c>
      <c r="M93">
        <f t="shared" si="13"/>
        <v>55625</v>
      </c>
      <c r="N93" s="46">
        <f>$C93/80*各种公式!$J$4</f>
        <v>55625</v>
      </c>
      <c r="O93" s="153">
        <f>$C93/80*各种公式!$J$6</f>
        <v>22250</v>
      </c>
      <c r="P93" s="153">
        <f>$C93/80*各种公式!$J$6</f>
        <v>22250</v>
      </c>
      <c r="Q93" s="153">
        <f>$C93/80*各种公式!$J$8</f>
        <v>11125</v>
      </c>
      <c r="R93" s="153">
        <f>$C93/80*各种公式!$J$9</f>
        <v>22250</v>
      </c>
      <c r="S93" s="153">
        <f>$C93/80*各种公式!$J$10</f>
        <v>22250</v>
      </c>
      <c r="T93">
        <f>SUMPRODUCT(D93:F93,各种公式!$C$13:$E$13)</f>
        <v>258269.57700965213</v>
      </c>
    </row>
    <row r="94" spans="1:20" x14ac:dyDescent="0.15">
      <c r="A94" s="121">
        <f t="shared" si="8"/>
        <v>1.890359168241966E-2</v>
      </c>
      <c r="B94">
        <v>12.725</v>
      </c>
      <c r="C94">
        <v>90</v>
      </c>
      <c r="D94" s="35">
        <f t="shared" si="9"/>
        <v>3004873.1799999988</v>
      </c>
      <c r="E94" s="35">
        <f t="shared" si="10"/>
        <v>102245.21217391299</v>
      </c>
      <c r="F94" s="35">
        <f t="shared" si="11"/>
        <v>45442.316521739114</v>
      </c>
      <c r="G94">
        <f>'2、属性成长'!E95</f>
        <v>56802.895652173887</v>
      </c>
      <c r="H94">
        <f t="shared" si="12"/>
        <v>52.9</v>
      </c>
      <c r="I94">
        <v>0</v>
      </c>
      <c r="J94">
        <f t="shared" si="13"/>
        <v>56250</v>
      </c>
      <c r="K94">
        <f t="shared" si="13"/>
        <v>56250</v>
      </c>
      <c r="L94">
        <f t="shared" si="13"/>
        <v>56250</v>
      </c>
      <c r="M94">
        <f t="shared" si="13"/>
        <v>56250</v>
      </c>
      <c r="N94" s="46">
        <f>$C94/80*各种公式!$J$4</f>
        <v>56250</v>
      </c>
      <c r="O94" s="153">
        <f>$C94/80*各种公式!$J$6</f>
        <v>22500</v>
      </c>
      <c r="P94" s="153">
        <f>$C94/80*各种公式!$J$6</f>
        <v>22500</v>
      </c>
      <c r="Q94" s="153">
        <f>$C94/80*各种公式!$J$8</f>
        <v>11250</v>
      </c>
      <c r="R94" s="153">
        <f>$C94/80*各种公式!$J$9</f>
        <v>22500</v>
      </c>
      <c r="S94" s="153">
        <f>$C94/80*各种公式!$J$10</f>
        <v>22500</v>
      </c>
      <c r="T94">
        <f>SUMPRODUCT(D94:F94,各种公式!$C$13:$E$13)</f>
        <v>267882.45589565206</v>
      </c>
    </row>
    <row r="95" spans="1:20" x14ac:dyDescent="0.15">
      <c r="A95" s="121">
        <f t="shared" si="8"/>
        <v>1.872308556450103E-2</v>
      </c>
      <c r="B95">
        <v>12.852500000000001</v>
      </c>
      <c r="C95">
        <v>91</v>
      </c>
      <c r="D95" s="35">
        <f t="shared" si="9"/>
        <v>3131486.6839178922</v>
      </c>
      <c r="E95" s="35">
        <f t="shared" si="10"/>
        <v>105535.9676287625</v>
      </c>
      <c r="F95" s="35">
        <f t="shared" si="11"/>
        <v>46904.874501672224</v>
      </c>
      <c r="G95">
        <f>'2、属性成长'!E96</f>
        <v>58631.09312709028</v>
      </c>
      <c r="H95">
        <f t="shared" si="12"/>
        <v>53.410000000000004</v>
      </c>
      <c r="I95">
        <v>0</v>
      </c>
      <c r="J95">
        <f t="shared" si="13"/>
        <v>56875</v>
      </c>
      <c r="K95">
        <f t="shared" si="13"/>
        <v>56875</v>
      </c>
      <c r="L95">
        <f t="shared" si="13"/>
        <v>56875</v>
      </c>
      <c r="M95">
        <f t="shared" si="13"/>
        <v>56875</v>
      </c>
      <c r="N95" s="46">
        <f>$C95/80*各种公式!$J$4</f>
        <v>56875</v>
      </c>
      <c r="O95" s="153">
        <f>$C95/80*各种公式!$J$6</f>
        <v>22750</v>
      </c>
      <c r="P95" s="153">
        <f>$C95/80*各种公式!$J$6</f>
        <v>22750</v>
      </c>
      <c r="Q95" s="153">
        <f>$C95/80*各种公式!$J$8</f>
        <v>11375</v>
      </c>
      <c r="R95" s="153">
        <f>$C95/80*各种公式!$J$9</f>
        <v>22750</v>
      </c>
      <c r="S95" s="153">
        <f>$C95/80*各种公式!$J$10</f>
        <v>22750</v>
      </c>
      <c r="T95">
        <f>SUMPRODUCT(D95:F95,各种公式!$C$13:$E$13)</f>
        <v>277700.3094871504</v>
      </c>
    </row>
    <row r="96" spans="1:20" x14ac:dyDescent="0.15">
      <c r="A96" s="121">
        <f t="shared" si="8"/>
        <v>1.8545994065281898E-2</v>
      </c>
      <c r="B96">
        <v>12.98</v>
      </c>
      <c r="C96">
        <v>92</v>
      </c>
      <c r="D96" s="35">
        <f t="shared" si="9"/>
        <v>3261462.1633926416</v>
      </c>
      <c r="E96" s="35">
        <f t="shared" si="10"/>
        <v>108876.7042675585</v>
      </c>
      <c r="F96" s="35">
        <f t="shared" si="11"/>
        <v>48389.646341137115</v>
      </c>
      <c r="G96">
        <f>'2、属性成长'!E97</f>
        <v>60487.057926421388</v>
      </c>
      <c r="H96">
        <f t="shared" si="12"/>
        <v>53.92</v>
      </c>
      <c r="I96">
        <v>0</v>
      </c>
      <c r="J96">
        <f t="shared" si="13"/>
        <v>57500</v>
      </c>
      <c r="K96">
        <f t="shared" si="13"/>
        <v>57500</v>
      </c>
      <c r="L96">
        <f t="shared" si="13"/>
        <v>57500</v>
      </c>
      <c r="M96">
        <f t="shared" si="13"/>
        <v>57500</v>
      </c>
      <c r="N96" s="46">
        <f>$C96/80*各种公式!$J$4</f>
        <v>57499.999999999993</v>
      </c>
      <c r="O96" s="153">
        <f>$C96/80*各种公式!$J$6</f>
        <v>23000</v>
      </c>
      <c r="P96" s="153">
        <f>$C96/80*各种公式!$J$6</f>
        <v>23000</v>
      </c>
      <c r="Q96" s="153">
        <f>$C96/80*各种公式!$J$8</f>
        <v>11500</v>
      </c>
      <c r="R96" s="153">
        <f>$C96/80*各种公式!$J$9</f>
        <v>23000</v>
      </c>
      <c r="S96" s="153">
        <f>$C96/80*各种公式!$J$10</f>
        <v>23000</v>
      </c>
      <c r="T96">
        <f>SUMPRODUCT(D96:F96,各种公式!$C$13:$E$13)</f>
        <v>287724.83714440127</v>
      </c>
    </row>
    <row r="97" spans="1:20" x14ac:dyDescent="0.15">
      <c r="A97" s="121">
        <f t="shared" si="8"/>
        <v>1.8372221201543266E-2</v>
      </c>
      <c r="B97">
        <v>13.1075</v>
      </c>
      <c r="C97">
        <v>93</v>
      </c>
      <c r="D97" s="35">
        <f t="shared" si="9"/>
        <v>3394842.1024305997</v>
      </c>
      <c r="E97" s="35">
        <f t="shared" si="10"/>
        <v>112267.42209030094</v>
      </c>
      <c r="F97" s="35">
        <f t="shared" si="11"/>
        <v>49896.632040133751</v>
      </c>
      <c r="G97">
        <f>'2、属性成长'!E98</f>
        <v>62370.790050167183</v>
      </c>
      <c r="H97">
        <f t="shared" si="12"/>
        <v>54.43</v>
      </c>
      <c r="I97">
        <v>0</v>
      </c>
      <c r="J97">
        <f t="shared" si="13"/>
        <v>58125</v>
      </c>
      <c r="K97">
        <f t="shared" si="13"/>
        <v>58125</v>
      </c>
      <c r="L97">
        <f t="shared" si="13"/>
        <v>58125</v>
      </c>
      <c r="M97">
        <f t="shared" si="13"/>
        <v>58125</v>
      </c>
      <c r="N97" s="46">
        <f>$C97/80*各种公式!$J$4</f>
        <v>58125.000000000007</v>
      </c>
      <c r="O97" s="153">
        <f>$C97/80*各种公式!$J$6</f>
        <v>23250</v>
      </c>
      <c r="P97" s="153">
        <f>$C97/80*各种公式!$J$6</f>
        <v>23250</v>
      </c>
      <c r="Q97" s="153">
        <f>$C97/80*各种公式!$J$8</f>
        <v>11625</v>
      </c>
      <c r="R97" s="153">
        <f>$C97/80*各种公式!$J$9</f>
        <v>23250</v>
      </c>
      <c r="S97" s="153">
        <f>$C97/80*各种公式!$J$10</f>
        <v>23250</v>
      </c>
      <c r="T97">
        <f>SUMPRODUCT(D97:F97,各种公式!$C$13:$E$13)</f>
        <v>297957.73822765867</v>
      </c>
    </row>
    <row r="98" spans="1:20" x14ac:dyDescent="0.15">
      <c r="A98" s="121">
        <f t="shared" si="8"/>
        <v>1.8201674554058973E-2</v>
      </c>
      <c r="B98">
        <v>13.234999999999999</v>
      </c>
      <c r="C98">
        <v>94</v>
      </c>
      <c r="D98" s="35">
        <f t="shared" si="9"/>
        <v>3531668.985038125</v>
      </c>
      <c r="E98" s="35">
        <f t="shared" si="10"/>
        <v>115708.1210969899</v>
      </c>
      <c r="F98" s="35">
        <f t="shared" si="11"/>
        <v>51425.831598662182</v>
      </c>
      <c r="G98">
        <f>'2、属性成长'!E99</f>
        <v>64282.289498327722</v>
      </c>
      <c r="H98">
        <f t="shared" si="12"/>
        <v>54.94</v>
      </c>
      <c r="I98">
        <v>0</v>
      </c>
      <c r="J98">
        <f t="shared" si="13"/>
        <v>58750</v>
      </c>
      <c r="K98">
        <f t="shared" si="13"/>
        <v>58750</v>
      </c>
      <c r="L98">
        <f t="shared" si="13"/>
        <v>58750</v>
      </c>
      <c r="M98">
        <f t="shared" si="13"/>
        <v>58750</v>
      </c>
      <c r="N98" s="46">
        <f>$C98/80*各种公式!$J$4</f>
        <v>58750</v>
      </c>
      <c r="O98" s="153">
        <f>$C98/80*各种公式!$J$6</f>
        <v>23500</v>
      </c>
      <c r="P98" s="153">
        <f>$C98/80*各种公式!$J$6</f>
        <v>23500</v>
      </c>
      <c r="Q98" s="153">
        <f>$C98/80*各种公式!$J$8</f>
        <v>11750</v>
      </c>
      <c r="R98" s="153">
        <f>$C98/80*各种公式!$J$9</f>
        <v>23500</v>
      </c>
      <c r="S98" s="153">
        <f>$C98/80*各种公式!$J$10</f>
        <v>23500</v>
      </c>
      <c r="T98">
        <f>SUMPRODUCT(D98:F98,各种公式!$C$13:$E$13)</f>
        <v>308400.71209717705</v>
      </c>
    </row>
    <row r="99" spans="1:20" x14ac:dyDescent="0.15">
      <c r="A99" s="121">
        <f t="shared" si="8"/>
        <v>1.8034265103697024E-2</v>
      </c>
      <c r="B99">
        <v>13.362500000000001</v>
      </c>
      <c r="C99">
        <v>95</v>
      </c>
      <c r="D99" s="35">
        <f t="shared" si="9"/>
        <v>3671985.2952215695</v>
      </c>
      <c r="E99" s="35">
        <f t="shared" si="10"/>
        <v>119198.80128762533</v>
      </c>
      <c r="F99" s="35">
        <f t="shared" si="11"/>
        <v>52977.245016722372</v>
      </c>
      <c r="G99">
        <f>'2、属性成长'!E100</f>
        <v>66221.556270902962</v>
      </c>
      <c r="H99">
        <f t="shared" si="12"/>
        <v>55.45</v>
      </c>
      <c r="I99">
        <v>0</v>
      </c>
      <c r="J99">
        <f t="shared" si="13"/>
        <v>59375</v>
      </c>
      <c r="K99">
        <f t="shared" si="13"/>
        <v>59375</v>
      </c>
      <c r="L99">
        <f t="shared" si="13"/>
        <v>59375</v>
      </c>
      <c r="M99">
        <f t="shared" si="13"/>
        <v>59375</v>
      </c>
      <c r="N99" s="46">
        <f>$C99/80*各种公式!$J$4</f>
        <v>59375</v>
      </c>
      <c r="O99" s="153">
        <f>$C99/80*各种公式!$J$6</f>
        <v>23750</v>
      </c>
      <c r="P99" s="153">
        <f>$C99/80*各种公式!$J$6</f>
        <v>23750</v>
      </c>
      <c r="Q99" s="153">
        <f>$C99/80*各种公式!$J$8</f>
        <v>11875</v>
      </c>
      <c r="R99" s="153">
        <f>$C99/80*各种公式!$J$9</f>
        <v>23750</v>
      </c>
      <c r="S99" s="153">
        <f>$C99/80*各种公式!$J$10</f>
        <v>23750</v>
      </c>
      <c r="T99">
        <f>SUMPRODUCT(D99:F99,各种公式!$C$13:$E$13)</f>
        <v>319055.45811321051</v>
      </c>
    </row>
    <row r="100" spans="1:20" x14ac:dyDescent="0.15">
      <c r="A100" s="121">
        <f t="shared" si="8"/>
        <v>1.7869907076483203E-2</v>
      </c>
      <c r="B100">
        <v>13.49</v>
      </c>
      <c r="C100">
        <v>96</v>
      </c>
      <c r="D100" s="35">
        <f t="shared" si="9"/>
        <v>3815833.5169872884</v>
      </c>
      <c r="E100" s="35">
        <f t="shared" si="10"/>
        <v>122739.46266220728</v>
      </c>
      <c r="F100" s="35">
        <f t="shared" si="11"/>
        <v>54550.872294314351</v>
      </c>
      <c r="G100">
        <f>'2、属性成长'!E101</f>
        <v>68188.590367892932</v>
      </c>
      <c r="H100">
        <f t="shared" si="12"/>
        <v>55.96</v>
      </c>
      <c r="I100">
        <v>0</v>
      </c>
      <c r="J100">
        <f t="shared" si="13"/>
        <v>60000</v>
      </c>
      <c r="K100">
        <f t="shared" si="13"/>
        <v>60000</v>
      </c>
      <c r="L100">
        <f t="shared" si="13"/>
        <v>60000</v>
      </c>
      <c r="M100">
        <f t="shared" si="13"/>
        <v>60000</v>
      </c>
      <c r="N100" s="46">
        <f>$C100/80*各种公式!$J$4</f>
        <v>60000</v>
      </c>
      <c r="O100" s="153">
        <f>$C100/80*各种公式!$J$6</f>
        <v>24000</v>
      </c>
      <c r="P100" s="153">
        <f>$C100/80*各种公式!$J$6</f>
        <v>24000</v>
      </c>
      <c r="Q100" s="153">
        <f>$C100/80*各种公式!$J$8</f>
        <v>12000</v>
      </c>
      <c r="R100" s="153">
        <f>$C100/80*各种公式!$J$9</f>
        <v>24000</v>
      </c>
      <c r="S100" s="153">
        <f>$C100/80*各种公式!$J$10</f>
        <v>24000</v>
      </c>
      <c r="T100">
        <f>SUMPRODUCT(D100:F100,各种公式!$C$13:$E$13)</f>
        <v>329923.67563601315</v>
      </c>
    </row>
    <row r="101" spans="1:20" x14ac:dyDescent="0.15">
      <c r="A101" s="121">
        <f t="shared" si="8"/>
        <v>1.7708517797060386E-2</v>
      </c>
      <c r="B101">
        <v>13.6175</v>
      </c>
      <c r="C101">
        <v>97</v>
      </c>
      <c r="D101" s="35">
        <f t="shared" si="9"/>
        <v>3963256.1343416362</v>
      </c>
      <c r="E101" s="35">
        <f t="shared" si="10"/>
        <v>126330.10522073571</v>
      </c>
      <c r="F101" s="35">
        <f t="shared" si="11"/>
        <v>56146.713431438096</v>
      </c>
      <c r="G101">
        <f>'2、属性成长'!E102</f>
        <v>70183.391789297617</v>
      </c>
      <c r="H101">
        <f t="shared" si="12"/>
        <v>56.47</v>
      </c>
      <c r="I101">
        <v>0</v>
      </c>
      <c r="J101">
        <f t="shared" si="13"/>
        <v>60625</v>
      </c>
      <c r="K101">
        <f t="shared" si="13"/>
        <v>60625</v>
      </c>
      <c r="L101">
        <f t="shared" si="13"/>
        <v>60625</v>
      </c>
      <c r="M101">
        <f t="shared" si="13"/>
        <v>60625</v>
      </c>
      <c r="N101" s="46">
        <f>$C101/80*各种公式!$J$4</f>
        <v>60624.999999999993</v>
      </c>
      <c r="O101" s="153">
        <f>$C101/80*各种公式!$J$6</f>
        <v>24250</v>
      </c>
      <c r="P101" s="153">
        <f>$C101/80*各种公式!$J$6</f>
        <v>24250</v>
      </c>
      <c r="Q101" s="153">
        <f>$C101/80*各种公式!$J$8</f>
        <v>12125</v>
      </c>
      <c r="R101" s="153">
        <f>$C101/80*各种公式!$J$9</f>
        <v>24250</v>
      </c>
      <c r="S101" s="153">
        <f>$C101/80*各种公式!$J$10</f>
        <v>24250</v>
      </c>
      <c r="T101">
        <f>SUMPRODUCT(D101:F101,各种公式!$C$13:$E$13)</f>
        <v>341007.06402583921</v>
      </c>
    </row>
    <row r="102" spans="1:20" x14ac:dyDescent="0.15">
      <c r="A102" s="121">
        <f t="shared" si="8"/>
        <v>1.755001755001755E-2</v>
      </c>
      <c r="B102">
        <v>13.745000000000001</v>
      </c>
      <c r="C102">
        <v>98</v>
      </c>
      <c r="D102" s="35">
        <f t="shared" si="9"/>
        <v>4114295.6312909662</v>
      </c>
      <c r="E102" s="35">
        <f t="shared" si="10"/>
        <v>129970.72896321058</v>
      </c>
      <c r="F102" s="35">
        <f t="shared" si="11"/>
        <v>57764.768428093594</v>
      </c>
      <c r="G102">
        <f>'2、属性成长'!E103</f>
        <v>72205.960535116988</v>
      </c>
      <c r="H102">
        <f t="shared" si="12"/>
        <v>56.980000000000004</v>
      </c>
      <c r="I102">
        <v>0</v>
      </c>
      <c r="J102">
        <f t="shared" si="13"/>
        <v>61250</v>
      </c>
      <c r="K102">
        <f t="shared" si="13"/>
        <v>61250</v>
      </c>
      <c r="L102">
        <f t="shared" si="13"/>
        <v>61250</v>
      </c>
      <c r="M102">
        <f t="shared" si="13"/>
        <v>61250</v>
      </c>
      <c r="N102" s="46">
        <f>$C102/80*各种公式!$J$4</f>
        <v>61250.000000000007</v>
      </c>
      <c r="O102" s="153">
        <f>$C102/80*各种公式!$J$6</f>
        <v>24500</v>
      </c>
      <c r="P102" s="153">
        <f>$C102/80*各种公式!$J$6</f>
        <v>24500</v>
      </c>
      <c r="Q102" s="153">
        <f>$C102/80*各种公式!$J$8</f>
        <v>12250</v>
      </c>
      <c r="R102" s="153">
        <f>$C102/80*各种公式!$J$9</f>
        <v>24500</v>
      </c>
      <c r="S102" s="153">
        <f>$C102/80*各种公式!$J$10</f>
        <v>24500</v>
      </c>
      <c r="T102">
        <f>SUMPRODUCT(D102:F102,各种公式!$C$13:$E$13)</f>
        <v>352307.32264294283</v>
      </c>
    </row>
    <row r="103" spans="1:20" x14ac:dyDescent="0.15">
      <c r="A103" s="121">
        <f t="shared" si="8"/>
        <v>1.7394329448599755E-2</v>
      </c>
      <c r="B103">
        <v>13.8725</v>
      </c>
      <c r="C103">
        <v>99</v>
      </c>
      <c r="D103" s="35">
        <f t="shared" si="9"/>
        <v>4268994.4918416347</v>
      </c>
      <c r="E103" s="35">
        <f t="shared" si="10"/>
        <v>133661.33388963199</v>
      </c>
      <c r="F103" s="35">
        <f t="shared" si="11"/>
        <v>59405.037284280887</v>
      </c>
      <c r="G103">
        <f>'2、属性成长'!E104</f>
        <v>74256.296605351105</v>
      </c>
      <c r="H103">
        <f t="shared" si="12"/>
        <v>57.49</v>
      </c>
      <c r="I103">
        <v>0</v>
      </c>
      <c r="J103">
        <f t="shared" si="13"/>
        <v>61875</v>
      </c>
      <c r="K103">
        <f t="shared" si="13"/>
        <v>61875</v>
      </c>
      <c r="L103">
        <f t="shared" si="13"/>
        <v>61875</v>
      </c>
      <c r="M103">
        <f t="shared" si="13"/>
        <v>61875</v>
      </c>
      <c r="N103" s="46">
        <f>$C103/80*各种公式!$J$4</f>
        <v>61875</v>
      </c>
      <c r="O103" s="153">
        <f>$C103/80*各种公式!$J$6</f>
        <v>24750</v>
      </c>
      <c r="P103" s="153">
        <f>$C103/80*各种公式!$J$6</f>
        <v>24750</v>
      </c>
      <c r="Q103" s="153">
        <f>$C103/80*各种公式!$J$8</f>
        <v>12375</v>
      </c>
      <c r="R103" s="153">
        <f>$C103/80*各种公式!$J$9</f>
        <v>24750</v>
      </c>
      <c r="S103" s="153">
        <f>$C103/80*各种公式!$J$10</f>
        <v>24750</v>
      </c>
      <c r="T103">
        <f>SUMPRODUCT(D103:F103,各种公式!$C$13:$E$13)</f>
        <v>363826.15084757825</v>
      </c>
    </row>
    <row r="104" spans="1:20" x14ac:dyDescent="0.15">
      <c r="A104" s="121">
        <f t="shared" si="8"/>
        <v>1.7241379310344827E-2</v>
      </c>
      <c r="B104">
        <v>14</v>
      </c>
      <c r="C104">
        <v>100</v>
      </c>
      <c r="D104" s="46">
        <f t="shared" si="9"/>
        <v>4427395.1999999965</v>
      </c>
      <c r="E104">
        <f t="shared" si="10"/>
        <v>137401.9199999999</v>
      </c>
      <c r="F104" s="35">
        <f t="shared" si="11"/>
        <v>61067.519999999953</v>
      </c>
      <c r="G104">
        <f>'2、属性成长'!E105</f>
        <v>76334.399999999936</v>
      </c>
      <c r="H104">
        <f t="shared" si="12"/>
        <v>58</v>
      </c>
      <c r="I104">
        <v>0</v>
      </c>
      <c r="J104">
        <f t="shared" si="13"/>
        <v>62500</v>
      </c>
      <c r="K104">
        <f t="shared" si="13"/>
        <v>62500</v>
      </c>
      <c r="L104">
        <f t="shared" si="13"/>
        <v>62500</v>
      </c>
      <c r="M104">
        <f t="shared" si="13"/>
        <v>62500</v>
      </c>
      <c r="N104" s="46">
        <f>$C104/80*各种公式!$J$4</f>
        <v>62500</v>
      </c>
      <c r="O104" s="153">
        <f>$C104/80*各种公式!$J$6</f>
        <v>25000</v>
      </c>
      <c r="P104" s="153">
        <f>$C104/80*各种公式!$J$6</f>
        <v>25000</v>
      </c>
      <c r="Q104" s="153">
        <f>$C104/80*各种公式!$J$8</f>
        <v>12500</v>
      </c>
      <c r="R104" s="153">
        <f>$C104/80*各种公式!$J$9</f>
        <v>25000</v>
      </c>
      <c r="S104" s="153">
        <f>$C104/80*各种公式!$J$10</f>
        <v>25000</v>
      </c>
      <c r="T104">
        <f>SUMPRODUCT(D104:F104,各种公式!$C$13:$E$13)</f>
        <v>375565.24799999973</v>
      </c>
    </row>
    <row r="105" spans="1:20" x14ac:dyDescent="0.15">
      <c r="D105" s="157">
        <f>各种公式!C13</f>
        <v>0.04</v>
      </c>
      <c r="E105" s="157">
        <f>各种公式!D13</f>
        <v>1</v>
      </c>
      <c r="F105" s="157">
        <f>各种公式!E13</f>
        <v>1</v>
      </c>
      <c r="T105">
        <f>SUMPRODUCT(D105:F105,各种公式!$C$13:$E$13)</f>
        <v>2.0015999999999998</v>
      </c>
    </row>
    <row r="106" spans="1:20" x14ac:dyDescent="0.15">
      <c r="D106" s="158">
        <f>D104*D105</f>
        <v>177095.80799999987</v>
      </c>
      <c r="E106" s="158">
        <f t="shared" ref="E106:F106" si="14">E104*E105</f>
        <v>137401.9199999999</v>
      </c>
      <c r="F106" s="158">
        <f t="shared" si="14"/>
        <v>61067.519999999953</v>
      </c>
      <c r="T106">
        <f>SUMPRODUCT(D106:F106,各种公式!$C$13:$E$13)</f>
        <v>205553.27231999984</v>
      </c>
    </row>
  </sheetData>
  <phoneticPr fontId="1" type="noConversion"/>
  <conditionalFormatting sqref="D106:F106 C5:S104">
    <cfRule type="expression" dxfId="116" priority="1">
      <formula>MOD($C5,10)=0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AI107"/>
  <sheetViews>
    <sheetView workbookViewId="0">
      <pane ySplit="4" topLeftCell="A5" activePane="bottomLeft" state="frozen"/>
      <selection pane="bottomLeft" activeCell="F14" sqref="F14"/>
    </sheetView>
  </sheetViews>
  <sheetFormatPr defaultRowHeight="13.5" x14ac:dyDescent="0.15"/>
  <cols>
    <col min="3" max="3" width="15" bestFit="1" customWidth="1"/>
    <col min="4" max="4" width="12.5" customWidth="1"/>
    <col min="6" max="6" width="20.5" bestFit="1" customWidth="1"/>
    <col min="9" max="9" width="21.5" bestFit="1" customWidth="1"/>
    <col min="10" max="10" width="12.875" bestFit="1" customWidth="1"/>
    <col min="11" max="11" width="12.75" bestFit="1" customWidth="1"/>
    <col min="12" max="12" width="11.75" bestFit="1" customWidth="1"/>
    <col min="13" max="13" width="11.625" bestFit="1" customWidth="1"/>
    <col min="14" max="15" width="16.125" bestFit="1" customWidth="1"/>
    <col min="16" max="16" width="11.625" bestFit="1" customWidth="1"/>
    <col min="17" max="17" width="12.75" bestFit="1" customWidth="1"/>
    <col min="18" max="18" width="11.625" bestFit="1" customWidth="1"/>
    <col min="19" max="19" width="13.875" bestFit="1" customWidth="1"/>
    <col min="20" max="20" width="11.625" customWidth="1"/>
    <col min="21" max="21" width="13.875" bestFit="1" customWidth="1"/>
    <col min="22" max="22" width="15" bestFit="1" customWidth="1"/>
    <col min="23" max="24" width="15" customWidth="1"/>
    <col min="25" max="25" width="11.625" customWidth="1"/>
    <col min="26" max="27" width="11.625" bestFit="1" customWidth="1"/>
    <col min="28" max="28" width="19.375" bestFit="1" customWidth="1"/>
    <col min="29" max="31" width="17.25" bestFit="1" customWidth="1"/>
    <col min="32" max="32" width="18.5" bestFit="1" customWidth="1"/>
    <col min="33" max="33" width="19.375" bestFit="1" customWidth="1"/>
    <col min="34" max="36" width="17.25" bestFit="1" customWidth="1"/>
  </cols>
  <sheetData>
    <row r="1" spans="2:35" x14ac:dyDescent="0.15">
      <c r="B1" s="195" t="s">
        <v>294</v>
      </c>
      <c r="C1" s="195"/>
      <c r="D1" s="195"/>
      <c r="E1" s="195"/>
      <c r="H1" s="195" t="s">
        <v>341</v>
      </c>
      <c r="I1" s="195"/>
      <c r="J1" s="195"/>
      <c r="K1" s="195"/>
      <c r="R1">
        <v>0.1</v>
      </c>
      <c r="T1" t="s">
        <v>298</v>
      </c>
      <c r="U1">
        <f>'2、属性成长'!P3</f>
        <v>51.3</v>
      </c>
      <c r="W1" t="s">
        <v>434</v>
      </c>
    </row>
    <row r="2" spans="2:35" x14ac:dyDescent="0.15">
      <c r="B2" s="123"/>
      <c r="C2" s="123"/>
      <c r="D2" s="123"/>
      <c r="E2" s="123"/>
      <c r="H2" s="124"/>
      <c r="I2" s="124"/>
      <c r="J2" s="124"/>
      <c r="K2" s="124"/>
      <c r="W2" t="s">
        <v>402</v>
      </c>
    </row>
    <row r="3" spans="2:35" ht="14.25" thickBot="1" x14ac:dyDescent="0.2">
      <c r="B3" s="195"/>
      <c r="C3" s="195"/>
      <c r="D3" s="195"/>
      <c r="E3" s="195"/>
      <c r="H3">
        <v>1</v>
      </c>
      <c r="I3">
        <v>2</v>
      </c>
      <c r="J3">
        <v>3</v>
      </c>
      <c r="K3">
        <v>4</v>
      </c>
      <c r="L3">
        <v>5</v>
      </c>
      <c r="M3">
        <v>6</v>
      </c>
      <c r="N3">
        <v>7</v>
      </c>
      <c r="O3">
        <v>8</v>
      </c>
      <c r="P3">
        <v>9</v>
      </c>
      <c r="Q3">
        <v>10</v>
      </c>
      <c r="R3">
        <v>11</v>
      </c>
      <c r="S3">
        <v>12</v>
      </c>
      <c r="T3">
        <v>13</v>
      </c>
      <c r="U3">
        <v>14</v>
      </c>
      <c r="AE3" t="s">
        <v>399</v>
      </c>
    </row>
    <row r="4" spans="2:35" x14ac:dyDescent="0.15">
      <c r="B4" s="1" t="s">
        <v>252</v>
      </c>
      <c r="C4" s="9" t="s">
        <v>179</v>
      </c>
      <c r="D4" s="9" t="s">
        <v>180</v>
      </c>
      <c r="E4" s="122" t="s">
        <v>181</v>
      </c>
      <c r="F4" s="1" t="s">
        <v>364</v>
      </c>
      <c r="H4" s="41" t="s">
        <v>297</v>
      </c>
      <c r="I4" s="9" t="str">
        <f>各种公式!C12</f>
        <v>生命</v>
      </c>
      <c r="J4" s="9" t="str">
        <f>各种公式!D12</f>
        <v>攻击</v>
      </c>
      <c r="K4" s="48" t="str">
        <f>各种公式!E12</f>
        <v>防御</v>
      </c>
      <c r="L4" s="9" t="str">
        <f>各种公式!F12</f>
        <v>闪避值</v>
      </c>
      <c r="M4" s="9" t="str">
        <f>各种公式!G12</f>
        <v>命中值</v>
      </c>
      <c r="N4" s="9" t="str">
        <f>各种公式!H12</f>
        <v>暴击值</v>
      </c>
      <c r="O4" s="9" t="str">
        <f>各种公式!I12</f>
        <v>暴击倍数</v>
      </c>
      <c r="P4" s="9" t="str">
        <f>各种公式!J12</f>
        <v>韧性值</v>
      </c>
      <c r="Q4" s="106" t="str">
        <f>各种公式!K12</f>
        <v>伤害减免</v>
      </c>
      <c r="R4" s="40" t="str">
        <f>各种公式!L12</f>
        <v>伤害加深</v>
      </c>
      <c r="S4" s="33" t="str">
        <f>各种公式!M12</f>
        <v>生命加成</v>
      </c>
      <c r="T4" s="33" t="str">
        <f>各种公式!N12</f>
        <v>攻击加成</v>
      </c>
      <c r="U4" s="33" t="str">
        <f>各种公式!O12</f>
        <v>防御加成</v>
      </c>
      <c r="V4" s="113" t="s">
        <v>343</v>
      </c>
      <c r="W4" s="112" t="s">
        <v>351</v>
      </c>
      <c r="X4" s="112" t="s">
        <v>352</v>
      </c>
      <c r="Y4" s="110" t="s">
        <v>342</v>
      </c>
      <c r="Z4" s="110" t="s">
        <v>329</v>
      </c>
      <c r="AA4" s="110" t="s">
        <v>330</v>
      </c>
      <c r="AB4" s="129" t="s">
        <v>403</v>
      </c>
      <c r="AC4" s="129" t="s">
        <v>382</v>
      </c>
      <c r="AD4" s="129" t="s">
        <v>383</v>
      </c>
      <c r="AE4" s="129" t="s">
        <v>391</v>
      </c>
      <c r="AF4" s="146" t="s">
        <v>384</v>
      </c>
      <c r="AG4" s="129" t="s">
        <v>385</v>
      </c>
      <c r="AH4" s="129" t="s">
        <v>386</v>
      </c>
      <c r="AI4" s="129" t="s">
        <v>387</v>
      </c>
    </row>
    <row r="5" spans="2:35" x14ac:dyDescent="0.15">
      <c r="B5" s="1">
        <v>1</v>
      </c>
      <c r="C5" s="1">
        <f>'3、总属性战斗节奏拟合'!D5*'2、属性成长'!$Q6</f>
        <v>495.65999999999997</v>
      </c>
      <c r="D5" s="1">
        <f>'3、总属性战斗节奏拟合'!E5*'2、属性成长'!$Q6</f>
        <v>118.80000000000001</v>
      </c>
      <c r="E5" s="1">
        <f>'3、总属性战斗节奏拟合'!F5*'2、属性成长'!$Q6</f>
        <v>52.800000000000004</v>
      </c>
      <c r="F5" s="1">
        <f>$C$5*各种公式!$C$13+D5+E5</f>
        <v>191.42640000000003</v>
      </c>
      <c r="H5">
        <v>1</v>
      </c>
      <c r="I5" s="138">
        <f>C5*$U$1-AB5</f>
        <v>25425.628766174996</v>
      </c>
      <c r="J5" s="138">
        <f t="shared" ref="J5:J36" si="0">D5*$U$1</f>
        <v>6094.4400000000005</v>
      </c>
      <c r="K5" s="138">
        <f t="shared" ref="K5:K36" si="1">E5*$U$1</f>
        <v>2708.64</v>
      </c>
      <c r="L5">
        <f>'3、总属性战斗节奏拟合'!J5</f>
        <v>625</v>
      </c>
      <c r="M5">
        <f>'3、总属性战斗节奏拟合'!K5</f>
        <v>625</v>
      </c>
      <c r="N5">
        <f>'3、总属性战斗节奏拟合'!L5</f>
        <v>625</v>
      </c>
      <c r="O5" s="31">
        <f>'3、总属性战斗节奏拟合'!N5/各种公式!$J$4</f>
        <v>1.2500000000000001E-2</v>
      </c>
      <c r="P5">
        <f>'3、总属性战斗节奏拟合'!M5</f>
        <v>625</v>
      </c>
      <c r="Q5" s="31">
        <f>'3、总属性战斗节奏拟合'!O5/各种公式!$J$6*各种公式!$M$6</f>
        <v>3.7499999999999999E-3</v>
      </c>
      <c r="R5" s="31">
        <f>'3、总属性战斗节奏拟合'!P5/各种公式!$J$6*各种公式!$M$6</f>
        <v>3.7499999999999999E-3</v>
      </c>
      <c r="S5" s="31">
        <f>'3、总属性战斗节奏拟合'!Q5/各种公式!$J$8*各种公式!$M$8</f>
        <v>1.2500000000000002E-3</v>
      </c>
      <c r="T5" s="31">
        <f>'3、总属性战斗节奏拟合'!R5/各种公式!$J$9*各种公式!$M$9</f>
        <v>2.5000000000000005E-3</v>
      </c>
      <c r="U5" s="31">
        <f>'3、总属性战斗节奏拟合'!S5/各种公式!$J$10*各种公式!$M$10</f>
        <v>3.7499999999999999E-3</v>
      </c>
      <c r="V5">
        <f>'3、总属性战斗节奏拟合'!D5</f>
        <v>495.65999999999997</v>
      </c>
      <c r="W5">
        <f>'3、总属性战斗节奏拟合'!E5</f>
        <v>118.80000000000001</v>
      </c>
      <c r="X5">
        <f>'3、总属性战斗节奏拟合'!F5</f>
        <v>52.800000000000004</v>
      </c>
      <c r="Y5">
        <f>'3、总属性战斗节奏拟合'!G5</f>
        <v>66</v>
      </c>
      <c r="Z5">
        <f>(((L5/$L$104*各种公式!$M$3)+S5+Q5+U5)*V5)</f>
        <v>5.8240049999999997</v>
      </c>
      <c r="AA5">
        <f>(((N5/$N$104*各种公式!$M$3)*Y5*(1+R5)+Y5*R5))+W5*T5-X5*U5</f>
        <v>0.54524250000000007</v>
      </c>
      <c r="AB5">
        <f>Z5-AA5*'3、总属性战斗节奏拟合'!H5</f>
        <v>1.7292338249999988</v>
      </c>
      <c r="AC5" s="145">
        <f>(V5/(1-L5/(L5+116666))-V5)*各种公式!$C$13</f>
        <v>0.10621346407693864</v>
      </c>
      <c r="AD5" s="145">
        <f>Y5*(0.5+O5)</f>
        <v>33.824999999999996</v>
      </c>
      <c r="AE5" s="145">
        <f>Y5*N5/各种公式!$J$5*各种公式!$M$5</f>
        <v>0.24749999999999997</v>
      </c>
      <c r="AF5" s="130">
        <f>Y5*R5</f>
        <v>0.2475</v>
      </c>
      <c r="AG5" s="130">
        <f>S5*V5</f>
        <v>0.6195750000000001</v>
      </c>
      <c r="AH5" s="130">
        <f>T5*W5</f>
        <v>0.2970000000000001</v>
      </c>
      <c r="AI5" s="130">
        <f>U5*X5</f>
        <v>0.19800000000000001</v>
      </c>
    </row>
    <row r="6" spans="2:35" x14ac:dyDescent="0.15">
      <c r="B6" s="1">
        <v>2</v>
      </c>
      <c r="C6" s="1">
        <f>'3、总属性战斗节奏拟合'!D6*'2、属性成长'!$Q7</f>
        <v>577.43999999999994</v>
      </c>
      <c r="D6" s="1">
        <f>'3、总属性战斗节奏拟合'!E6*'2、属性成长'!$Q7</f>
        <v>129.6</v>
      </c>
      <c r="E6" s="1">
        <f>'3、总属性战斗节奏拟合'!F6*'2、属性成长'!$Q7</f>
        <v>57.6</v>
      </c>
      <c r="F6" s="1">
        <f>$C$5*各种公式!$C$13+D6+E6</f>
        <v>207.0264</v>
      </c>
      <c r="H6">
        <v>2</v>
      </c>
      <c r="I6" s="138">
        <f t="shared" ref="I6:I69" si="2">C6*$U$1-AB6</f>
        <v>29618.655904799994</v>
      </c>
      <c r="J6" s="138">
        <f t="shared" si="0"/>
        <v>6648.48</v>
      </c>
      <c r="K6" s="138">
        <f t="shared" si="1"/>
        <v>2954.88</v>
      </c>
      <c r="L6">
        <f>'3、总属性战斗节奏拟合'!J6</f>
        <v>1250</v>
      </c>
      <c r="M6">
        <f>'3、总属性战斗节奏拟合'!K6</f>
        <v>1250</v>
      </c>
      <c r="N6">
        <f>'3、总属性战斗节奏拟合'!L6</f>
        <v>1250</v>
      </c>
      <c r="O6" s="31">
        <f>'3、总属性战斗节奏拟合'!N6/各种公式!$J$4</f>
        <v>2.5000000000000001E-2</v>
      </c>
      <c r="P6">
        <f>'3、总属性战斗节奏拟合'!M6</f>
        <v>1250</v>
      </c>
      <c r="Q6" s="31">
        <f>'3、总属性战斗节奏拟合'!O6/各种公式!$J$6*各种公式!$M$6</f>
        <v>7.4999999999999997E-3</v>
      </c>
      <c r="R6" s="31">
        <f>'3、总属性战斗节奏拟合'!P6/各种公式!$J$6*各种公式!$M$6</f>
        <v>7.4999999999999997E-3</v>
      </c>
      <c r="S6" s="31">
        <f>'3、总属性战斗节奏拟合'!Q6/各种公式!$J$8*各种公式!$M$8</f>
        <v>2.5000000000000005E-3</v>
      </c>
      <c r="T6" s="31">
        <f>'3、总属性战斗节奏拟合'!R6/各种公式!$J$9*各种公式!$M$9</f>
        <v>5.000000000000001E-3</v>
      </c>
      <c r="U6" s="31">
        <f>'3、总属性战斗节奏拟合'!S6/各种公式!$J$10*各种公式!$M$10</f>
        <v>7.4999999999999997E-3</v>
      </c>
      <c r="V6">
        <f>'3、总属性战斗节奏拟合'!D6</f>
        <v>577.43999999999994</v>
      </c>
      <c r="W6">
        <f>'3、总属性战斗节奏拟合'!E6</f>
        <v>129.6</v>
      </c>
      <c r="X6">
        <f>'3、总属性战斗节奏拟合'!F6</f>
        <v>57.6</v>
      </c>
      <c r="Y6">
        <f>'3、总属性战斗节奏拟合'!G6</f>
        <v>72</v>
      </c>
      <c r="Z6">
        <f>(((L6/$L$104*各种公式!$M$3)+S6+Q6+U6)*V6)</f>
        <v>13.569839999999999</v>
      </c>
      <c r="AA6">
        <f>(((N6/$N$104*各种公式!$M$3)*Y6*(1+R6)+Y6*R6))+W6*T6-X6*U6</f>
        <v>1.1912400000000003</v>
      </c>
      <c r="AB6">
        <f>Z6-AA6*'3、总属性战斗节奏拟合'!H6</f>
        <v>4.016095199999997</v>
      </c>
      <c r="AC6" s="145">
        <f>(V6/(1-L6/(L6+116666))-V6)*各种公式!$C$13</f>
        <v>0.24747569986114287</v>
      </c>
      <c r="AD6" s="145">
        <f t="shared" ref="AD6:AD69" si="3">Y6*(0.5+O6)</f>
        <v>37.800000000000004</v>
      </c>
      <c r="AE6" s="145">
        <f>Y6*N6/各种公式!$J$5*各种公式!$M$5</f>
        <v>0.54</v>
      </c>
      <c r="AF6" s="130">
        <f t="shared" ref="AF6:AF69" si="4">Y6*R6</f>
        <v>0.54</v>
      </c>
      <c r="AG6" s="130">
        <f t="shared" ref="AG6:AG69" si="5">S6*V6</f>
        <v>1.4436000000000002</v>
      </c>
      <c r="AH6" s="130">
        <f t="shared" ref="AH6:AH69" si="6">T6*W6</f>
        <v>0.64800000000000013</v>
      </c>
      <c r="AI6" s="130">
        <f t="shared" ref="AI6:AI69" si="7">U6*X6</f>
        <v>0.432</v>
      </c>
    </row>
    <row r="7" spans="2:35" x14ac:dyDescent="0.15">
      <c r="B7" s="1">
        <v>3</v>
      </c>
      <c r="C7" s="1">
        <f>'3、总属性战斗节奏拟合'!D7*'2、属性成长'!$Q8</f>
        <v>665.34000000000015</v>
      </c>
      <c r="D7" s="1">
        <f>'3、总属性战斗节奏拟合'!E7*'2、属性成长'!$Q8</f>
        <v>140.4</v>
      </c>
      <c r="E7" s="1">
        <f>'3、总属性战斗节奏拟合'!F7*'2、属性成长'!$Q8</f>
        <v>62.400000000000006</v>
      </c>
      <c r="F7" s="1">
        <f>$C$5*各种公式!$C$13+D7+E7</f>
        <v>222.62640000000002</v>
      </c>
      <c r="H7">
        <v>3</v>
      </c>
      <c r="I7" s="138">
        <f t="shared" si="2"/>
        <v>34125.023295675004</v>
      </c>
      <c r="J7" s="138">
        <f t="shared" si="0"/>
        <v>7202.5199999999995</v>
      </c>
      <c r="K7" s="138">
        <f t="shared" si="1"/>
        <v>3201.12</v>
      </c>
      <c r="L7">
        <f>'3、总属性战斗节奏拟合'!J7</f>
        <v>1875</v>
      </c>
      <c r="M7">
        <f>'3、总属性战斗节奏拟合'!K7</f>
        <v>1875</v>
      </c>
      <c r="N7">
        <f>'3、总属性战斗节奏拟合'!L7</f>
        <v>1875</v>
      </c>
      <c r="O7" s="31">
        <f>'3、总属性战斗节奏拟合'!N7/各种公式!$J$4</f>
        <v>3.7499999999999999E-2</v>
      </c>
      <c r="P7">
        <f>'3、总属性战斗节奏拟合'!M7</f>
        <v>1875</v>
      </c>
      <c r="Q7" s="31">
        <f>'3、总属性战斗节奏拟合'!O7/各种公式!$J$6*各种公式!$M$6</f>
        <v>1.125E-2</v>
      </c>
      <c r="R7" s="31">
        <f>'3、总属性战斗节奏拟合'!P7/各种公式!$J$6*各种公式!$M$6</f>
        <v>1.125E-2</v>
      </c>
      <c r="S7" s="31">
        <f>'3、总属性战斗节奏拟合'!Q7/各种公式!$J$8*各种公式!$M$8</f>
        <v>3.7499999999999999E-3</v>
      </c>
      <c r="T7" s="31">
        <f>'3、总属性战斗节奏拟合'!R7/各种公式!$J$9*各种公式!$M$9</f>
        <v>7.4999999999999997E-3</v>
      </c>
      <c r="U7" s="31">
        <f>'3、总属性战斗节奏拟合'!S7/各种公式!$J$10*各种公式!$M$10</f>
        <v>1.125E-2</v>
      </c>
      <c r="V7">
        <f>'3、总属性战斗节奏拟合'!D7</f>
        <v>665.34000000000015</v>
      </c>
      <c r="W7">
        <f>'3、总属性战斗节奏拟合'!E7</f>
        <v>140.4</v>
      </c>
      <c r="X7">
        <f>'3、总属性战斗节奏拟合'!F7</f>
        <v>62.400000000000006</v>
      </c>
      <c r="Y7">
        <f>'3、总属性战斗节奏拟合'!G7</f>
        <v>78</v>
      </c>
      <c r="Z7">
        <f>(((L7/$L$104*各种公式!$M$3)+S7+Q7+U7)*V7)</f>
        <v>23.453235000000006</v>
      </c>
      <c r="AA7">
        <f>(((N7/$N$104*各种公式!$M$3)*Y7*(1+R7)+Y7*R7))+W7*T7-X7*U7</f>
        <v>1.9383974999999998</v>
      </c>
      <c r="AB7">
        <f>Z7-AA7*'3、总属性战斗节奏拟合'!H7</f>
        <v>6.9187043250000073</v>
      </c>
      <c r="AC7" s="145">
        <f>(V7/(1-L7/(L7+116666))-V7)*各种公式!$C$13</f>
        <v>0.42772101554865916</v>
      </c>
      <c r="AD7" s="145">
        <f t="shared" si="3"/>
        <v>41.924999999999997</v>
      </c>
      <c r="AE7" s="145">
        <f>Y7*N7/各种公式!$J$5*各种公式!$M$5</f>
        <v>0.87749999999999995</v>
      </c>
      <c r="AF7" s="130">
        <f t="shared" si="4"/>
        <v>0.87749999999999995</v>
      </c>
      <c r="AG7" s="130">
        <f t="shared" si="5"/>
        <v>2.4950250000000005</v>
      </c>
      <c r="AH7" s="130">
        <f t="shared" si="6"/>
        <v>1.0529999999999999</v>
      </c>
      <c r="AI7" s="130">
        <f t="shared" si="7"/>
        <v>0.70200000000000007</v>
      </c>
    </row>
    <row r="8" spans="2:35" x14ac:dyDescent="0.15">
      <c r="B8" s="1">
        <v>4</v>
      </c>
      <c r="C8" s="1">
        <f>'3、总属性战斗节奏拟合'!D8*'2、属性成长'!$Q9</f>
        <v>759.3599999999999</v>
      </c>
      <c r="D8" s="1">
        <f>'3、总属性战斗节奏拟合'!E8*'2、属性成长'!$Q9</f>
        <v>151.19999999999999</v>
      </c>
      <c r="E8" s="1">
        <f>'3、总属性战斗节奏拟合'!F8*'2、属性成长'!$Q9</f>
        <v>67.2</v>
      </c>
      <c r="F8" s="1">
        <f>$C$5*各种公式!$C$13+D8+E8</f>
        <v>238.22640000000001</v>
      </c>
      <c r="H8">
        <v>4</v>
      </c>
      <c r="I8" s="138">
        <f t="shared" si="2"/>
        <v>38944.673644799994</v>
      </c>
      <c r="J8" s="138">
        <f t="shared" si="0"/>
        <v>7756.5599999999986</v>
      </c>
      <c r="K8" s="138">
        <f t="shared" si="1"/>
        <v>3447.36</v>
      </c>
      <c r="L8">
        <f>'3、总属性战斗节奏拟合'!J8</f>
        <v>2500</v>
      </c>
      <c r="M8">
        <f>'3、总属性战斗节奏拟合'!K8</f>
        <v>2500</v>
      </c>
      <c r="N8">
        <f>'3、总属性战斗节奏拟合'!L8</f>
        <v>2500</v>
      </c>
      <c r="O8" s="31">
        <f>'3、总属性战斗节奏拟合'!N8/各种公式!$J$4</f>
        <v>0.05</v>
      </c>
      <c r="P8">
        <f>'3、总属性战斗节奏拟合'!M8</f>
        <v>2500</v>
      </c>
      <c r="Q8" s="31">
        <f>'3、总属性战斗节奏拟合'!O8/各种公式!$J$6*各种公式!$M$6</f>
        <v>1.4999999999999999E-2</v>
      </c>
      <c r="R8" s="31">
        <f>'3、总属性战斗节奏拟合'!P8/各种公式!$J$6*各种公式!$M$6</f>
        <v>1.4999999999999999E-2</v>
      </c>
      <c r="S8" s="31">
        <f>'3、总属性战斗节奏拟合'!Q8/各种公式!$J$8*各种公式!$M$8</f>
        <v>5.000000000000001E-3</v>
      </c>
      <c r="T8" s="31">
        <f>'3、总属性战斗节奏拟合'!R8/各种公式!$J$9*各种公式!$M$9</f>
        <v>1.0000000000000002E-2</v>
      </c>
      <c r="U8" s="31">
        <f>'3、总属性战斗节奏拟合'!S8/各种公式!$J$10*各种公式!$M$10</f>
        <v>1.4999999999999999E-2</v>
      </c>
      <c r="V8">
        <f>'3、总属性战斗节奏拟合'!D8</f>
        <v>759.3599999999999</v>
      </c>
      <c r="W8">
        <f>'3、总属性战斗节奏拟合'!E8</f>
        <v>151.19999999999999</v>
      </c>
      <c r="X8">
        <f>'3、总属性战斗节奏拟合'!F8</f>
        <v>67.2</v>
      </c>
      <c r="Y8">
        <f>'3、总属性战斗节奏拟合'!G8</f>
        <v>84</v>
      </c>
      <c r="Z8">
        <f>(((L8/$L$104*各种公式!$M$3)+S8+Q8+U8)*V8)</f>
        <v>35.689919999999994</v>
      </c>
      <c r="AA8">
        <f>(((N8/$N$104*各种公式!$M$3)*Y8*(1+R8)+Y8*R8))+W8*T8-X8*U8</f>
        <v>2.7871199999999998</v>
      </c>
      <c r="AB8">
        <f>Z8-AA8*'3、总属性战斗节奏拟合'!H8</f>
        <v>10.494355199999998</v>
      </c>
      <c r="AC8" s="145">
        <f>(V8/(1-L8/(L8+116666))-V8)*各种公式!$C$13</f>
        <v>0.65088371933553846</v>
      </c>
      <c r="AD8" s="145">
        <f t="shared" si="3"/>
        <v>46.2</v>
      </c>
      <c r="AE8" s="145">
        <f>Y8*N8/各种公式!$J$5*各种公式!$M$5</f>
        <v>1.26</v>
      </c>
      <c r="AF8" s="130">
        <f t="shared" si="4"/>
        <v>1.26</v>
      </c>
      <c r="AG8" s="130">
        <f t="shared" si="5"/>
        <v>3.7968000000000002</v>
      </c>
      <c r="AH8" s="130">
        <f t="shared" si="6"/>
        <v>1.5120000000000002</v>
      </c>
      <c r="AI8" s="130">
        <f t="shared" si="7"/>
        <v>1.008</v>
      </c>
    </row>
    <row r="9" spans="2:35" x14ac:dyDescent="0.15">
      <c r="B9" s="1">
        <v>5</v>
      </c>
      <c r="C9" s="1">
        <f>'3、总属性战斗节奏拟合'!D9*'2、属性成长'!$Q10</f>
        <v>859.50000000000011</v>
      </c>
      <c r="D9" s="1">
        <f>'3、总属性战斗节奏拟合'!E9*'2、属性成长'!$Q10</f>
        <v>162</v>
      </c>
      <c r="E9" s="1">
        <f>'3、总属性战斗节奏拟合'!F9*'2、属性成长'!$Q10</f>
        <v>72</v>
      </c>
      <c r="F9" s="1">
        <f>$C$5*各种公式!$C$13+D9+E9</f>
        <v>253.82640000000001</v>
      </c>
      <c r="H9">
        <v>5</v>
      </c>
      <c r="I9" s="138">
        <f t="shared" si="2"/>
        <v>44077.550484375002</v>
      </c>
      <c r="J9" s="138">
        <f t="shared" si="0"/>
        <v>8310.6</v>
      </c>
      <c r="K9" s="138">
        <f t="shared" si="1"/>
        <v>3693.6</v>
      </c>
      <c r="L9">
        <f>'3、总属性战斗节奏拟合'!J9</f>
        <v>3125</v>
      </c>
      <c r="M9">
        <f>'3、总属性战斗节奏拟合'!K9</f>
        <v>3125</v>
      </c>
      <c r="N9">
        <f>'3、总属性战斗节奏拟合'!L9</f>
        <v>3125</v>
      </c>
      <c r="O9" s="31">
        <f>'3、总属性战斗节奏拟合'!N9/各种公式!$J$4</f>
        <v>6.25E-2</v>
      </c>
      <c r="P9">
        <f>'3、总属性战斗节奏拟合'!M9</f>
        <v>3125</v>
      </c>
      <c r="Q9" s="31">
        <f>'3、总属性战斗节奏拟合'!O9/各种公式!$J$6*各种公式!$M$6</f>
        <v>1.8749999999999999E-2</v>
      </c>
      <c r="R9" s="31">
        <f>'3、总属性战斗节奏拟合'!P9/各种公式!$J$6*各种公式!$M$6</f>
        <v>1.8749999999999999E-2</v>
      </c>
      <c r="S9" s="31">
        <f>'3、总属性战斗节奏拟合'!Q9/各种公式!$J$8*各种公式!$M$8</f>
        <v>6.2500000000000003E-3</v>
      </c>
      <c r="T9" s="31">
        <f>'3、总属性战斗节奏拟合'!R9/各种公式!$J$9*各种公式!$M$9</f>
        <v>1.2500000000000001E-2</v>
      </c>
      <c r="U9" s="31">
        <f>'3、总属性战斗节奏拟合'!S9/各种公式!$J$10*各种公式!$M$10</f>
        <v>1.8749999999999999E-2</v>
      </c>
      <c r="V9">
        <f>'3、总属性战斗节奏拟合'!D9</f>
        <v>859.50000000000011</v>
      </c>
      <c r="W9">
        <f>'3、总属性战斗节奏拟合'!E9</f>
        <v>162</v>
      </c>
      <c r="X9">
        <f>'3、总属性战斗节奏拟合'!F9</f>
        <v>72</v>
      </c>
      <c r="Y9">
        <f>'3、总属性战斗节奏拟合'!G9</f>
        <v>90</v>
      </c>
      <c r="Z9">
        <f>(((L9/$L$104*各种公式!$M$3)+S9+Q9+U9)*V9)</f>
        <v>50.495625000000004</v>
      </c>
      <c r="AA9">
        <f>(((N9/$N$104*各种公式!$M$3)*Y9*(1+R9)+Y9*R9))+W9*T9-X9*U9</f>
        <v>3.7378125000000004</v>
      </c>
      <c r="AB9">
        <f>Z9-AA9*'3、总属性战斗节奏拟合'!H9</f>
        <v>14.799515624999998</v>
      </c>
      <c r="AC9" s="145">
        <f>(V9/(1-L9/(L9+116666))-V9)*各种公式!$C$13</f>
        <v>0.92089811941782507</v>
      </c>
      <c r="AD9" s="145">
        <f t="shared" si="3"/>
        <v>50.625</v>
      </c>
      <c r="AE9" s="145">
        <f>Y9*N9/各种公式!$J$5*各种公式!$M$5</f>
        <v>1.6875</v>
      </c>
      <c r="AF9" s="130">
        <f t="shared" si="4"/>
        <v>1.6875</v>
      </c>
      <c r="AG9" s="130">
        <f t="shared" si="5"/>
        <v>5.3718750000000011</v>
      </c>
      <c r="AH9" s="130">
        <f t="shared" si="6"/>
        <v>2.0249999999999999</v>
      </c>
      <c r="AI9" s="130">
        <f t="shared" si="7"/>
        <v>1.3499999999999999</v>
      </c>
    </row>
    <row r="10" spans="2:35" x14ac:dyDescent="0.15">
      <c r="B10" s="1">
        <v>6</v>
      </c>
      <c r="C10" s="1">
        <f>'3、总属性战斗节奏拟合'!D10*'2、属性成长'!$Q11</f>
        <v>965.76</v>
      </c>
      <c r="D10" s="1">
        <f>'3、总属性战斗节奏拟合'!E10*'2、属性成长'!$Q11</f>
        <v>172.79999999999998</v>
      </c>
      <c r="E10" s="1">
        <f>'3、总属性战斗节奏拟合'!F10*'2、属性成长'!$Q11</f>
        <v>76.8</v>
      </c>
      <c r="F10" s="1">
        <f>$C$5*各种公式!$C$13+D10+E10</f>
        <v>269.4264</v>
      </c>
      <c r="H10">
        <v>6</v>
      </c>
      <c r="I10" s="138">
        <f t="shared" si="2"/>
        <v>49512.78307926</v>
      </c>
      <c r="J10" s="138">
        <f t="shared" si="0"/>
        <v>8864.64</v>
      </c>
      <c r="K10" s="138">
        <f t="shared" si="1"/>
        <v>3939.8399999999997</v>
      </c>
      <c r="L10">
        <f>'3、总属性战斗节奏拟合'!J10</f>
        <v>3750</v>
      </c>
      <c r="M10">
        <f>'3、总属性战斗节奏拟合'!K10</f>
        <v>3750</v>
      </c>
      <c r="N10">
        <f>'3、总属性战斗节奏拟合'!L10</f>
        <v>3750</v>
      </c>
      <c r="O10" s="31">
        <f>'3、总属性战斗节奏拟合'!N10/各种公式!$J$4</f>
        <v>7.4999999999999997E-2</v>
      </c>
      <c r="P10">
        <f>'3、总属性战斗节奏拟合'!M10</f>
        <v>3750</v>
      </c>
      <c r="Q10" s="31">
        <f>'3、总属性战斗节奏拟合'!O10/各种公式!$J$6*各种公式!$M$6</f>
        <v>2.2499999999999999E-2</v>
      </c>
      <c r="R10" s="31">
        <f>'3、总属性战斗节奏拟合'!P10/各种公式!$J$6*各种公式!$M$6</f>
        <v>2.2499999999999999E-2</v>
      </c>
      <c r="S10" s="31">
        <f>'3、总属性战斗节奏拟合'!Q10/各种公式!$J$8*各种公式!$M$8</f>
        <v>7.4999999999999997E-3</v>
      </c>
      <c r="T10" s="31">
        <f>'3、总属性战斗节奏拟合'!R10/各种公式!$J$9*各种公式!$M$9</f>
        <v>1.4999999999999999E-2</v>
      </c>
      <c r="U10" s="31">
        <f>'3、总属性战斗节奏拟合'!S10/各种公式!$J$10*各种公式!$M$10</f>
        <v>2.2499999999999999E-2</v>
      </c>
      <c r="V10">
        <f>'3、总属性战斗节奏拟合'!D10</f>
        <v>1490.8920000000001</v>
      </c>
      <c r="W10">
        <f>'3、总属性战斗节奏拟合'!E10</f>
        <v>266.76</v>
      </c>
      <c r="X10">
        <f>'3、总属性战斗节奏拟合'!F10</f>
        <v>118.56</v>
      </c>
      <c r="Y10">
        <f>'3、总属性战斗节奏拟合'!G10</f>
        <v>148.19999999999999</v>
      </c>
      <c r="Z10">
        <f>(((L10/$L$104*各种公式!$M$3)+S10+Q10+U10)*V10)</f>
        <v>105.10788600000001</v>
      </c>
      <c r="AA10">
        <f>(((N10/$N$104*各种公式!$M$3)*Y10*(1+R10)+Y10*R10))+W10*T10-X10*U10</f>
        <v>7.3959209999999977</v>
      </c>
      <c r="AB10">
        <f>Z10-AA10*'3、总属性战斗节奏拟合'!H10</f>
        <v>30.70492074000002</v>
      </c>
      <c r="AC10" s="145">
        <f>(V10/(1-L10/(L10+116666))-V10)*各种公式!$C$13</f>
        <v>1.9168720964119803</v>
      </c>
      <c r="AD10" s="145">
        <f t="shared" si="3"/>
        <v>85.214999999999989</v>
      </c>
      <c r="AE10" s="145">
        <f>Y10*N10/各种公式!$J$5*各种公式!$M$5</f>
        <v>3.3344999999999998</v>
      </c>
      <c r="AF10" s="130">
        <f t="shared" si="4"/>
        <v>3.3344999999999998</v>
      </c>
      <c r="AG10" s="130">
        <f t="shared" si="5"/>
        <v>11.18169</v>
      </c>
      <c r="AH10" s="130">
        <f t="shared" si="6"/>
        <v>4.0013999999999994</v>
      </c>
      <c r="AI10" s="130">
        <f t="shared" si="7"/>
        <v>2.6675999999999997</v>
      </c>
    </row>
    <row r="11" spans="2:35" x14ac:dyDescent="0.15">
      <c r="B11" s="1">
        <v>7</v>
      </c>
      <c r="C11" s="1">
        <f>'3、总属性战斗节奏拟合'!D11*'2、属性成长'!$Q12</f>
        <v>1078.1399999999999</v>
      </c>
      <c r="D11" s="1">
        <f>'3、总属性战斗节奏拟合'!E11*'2、属性成长'!$Q12</f>
        <v>183.6</v>
      </c>
      <c r="E11" s="1">
        <f>'3、总属性战斗节奏拟合'!F11*'2、属性成长'!$Q12</f>
        <v>81.600000000000009</v>
      </c>
      <c r="F11" s="1">
        <f>$C$5*各种公式!$C$13+D11+E11</f>
        <v>285.02640000000002</v>
      </c>
      <c r="H11">
        <v>7</v>
      </c>
      <c r="I11" s="138">
        <f t="shared" si="2"/>
        <v>55265.575387068035</v>
      </c>
      <c r="J11" s="138">
        <f t="shared" si="0"/>
        <v>9418.6799999999985</v>
      </c>
      <c r="K11" s="138">
        <f t="shared" si="1"/>
        <v>4186.08</v>
      </c>
      <c r="L11">
        <f>'3、总属性战斗节奏拟合'!J11</f>
        <v>4375</v>
      </c>
      <c r="M11">
        <f>'3、总属性战斗节奏拟合'!K11</f>
        <v>4375</v>
      </c>
      <c r="N11">
        <f>'3、总属性战斗节奏拟合'!L11</f>
        <v>4375</v>
      </c>
      <c r="O11" s="31">
        <f>'3、总属性战斗节奏拟合'!N11/各种公式!$J$4</f>
        <v>8.7499999999999994E-2</v>
      </c>
      <c r="P11">
        <f>'3、总属性战斗节奏拟合'!M11</f>
        <v>4375</v>
      </c>
      <c r="Q11" s="31">
        <f>'3、总属性战斗节奏拟合'!O11/各种公式!$J$6*各种公式!$M$6</f>
        <v>2.6249999999999999E-2</v>
      </c>
      <c r="R11" s="31">
        <f>'3、总属性战斗节奏拟合'!P11/各种公式!$J$6*各种公式!$M$6</f>
        <v>2.6249999999999999E-2</v>
      </c>
      <c r="S11" s="31">
        <f>'3、总属性战斗节奏拟合'!Q11/各种公式!$J$8*各种公式!$M$8</f>
        <v>8.7499999999999991E-3</v>
      </c>
      <c r="T11" s="31">
        <f>'3、总属性战斗节奏拟合'!R11/各种公式!$J$9*各种公式!$M$9</f>
        <v>1.7499999999999998E-2</v>
      </c>
      <c r="U11" s="31">
        <f>'3、总属性战斗节奏拟合'!S11/各种公式!$J$10*各种公式!$M$10</f>
        <v>2.6249999999999999E-2</v>
      </c>
      <c r="V11">
        <f>'3、总属性战斗节奏拟合'!D11</f>
        <v>1795.7769374999998</v>
      </c>
      <c r="W11">
        <f>'3、总属性战斗节奏拟合'!E11</f>
        <v>305.80874999999997</v>
      </c>
      <c r="X11">
        <f>'3、总属性战斗节奏拟合'!F11</f>
        <v>135.91499999999999</v>
      </c>
      <c r="Y11">
        <f>'3、总属性战斗节奏拟合'!G11</f>
        <v>169.89374999999998</v>
      </c>
      <c r="Z11">
        <f>(((L11/$L$104*各种公式!$M$3)+S11+Q11+U11)*V11)</f>
        <v>147.70265310937498</v>
      </c>
      <c r="AA11">
        <f>(((N11/$N$104*各种公式!$M$3)*Y11*(1+R11)+Y11*R11))+W11*T11-X11*U11</f>
        <v>9.9050179921874992</v>
      </c>
      <c r="AB11">
        <f>Z11-AA11*'3、总属性战斗节奏拟合'!H11</f>
        <v>43.006612931953114</v>
      </c>
      <c r="AC11" s="145">
        <f>(V11/(1-L11/(L11+116666))-V11)*各种公式!$C$13</f>
        <v>2.693680798711712</v>
      </c>
      <c r="AD11" s="145">
        <f t="shared" si="3"/>
        <v>99.812578124999987</v>
      </c>
      <c r="AE11" s="145">
        <f>Y11*N11/各种公式!$J$5*各种公式!$M$5</f>
        <v>4.4597109374999988</v>
      </c>
      <c r="AF11" s="130">
        <f t="shared" si="4"/>
        <v>4.4597109374999997</v>
      </c>
      <c r="AG11" s="130">
        <f t="shared" si="5"/>
        <v>15.713048203124997</v>
      </c>
      <c r="AH11" s="130">
        <f t="shared" si="6"/>
        <v>5.3516531249999986</v>
      </c>
      <c r="AI11" s="130">
        <f t="shared" si="7"/>
        <v>3.5677687499999995</v>
      </c>
    </row>
    <row r="12" spans="2:35" x14ac:dyDescent="0.15">
      <c r="B12" s="1">
        <v>8</v>
      </c>
      <c r="C12" s="1">
        <f>'3、总属性战斗节奏拟合'!D12*'2、属性成长'!$Q13</f>
        <v>1196.6399999999999</v>
      </c>
      <c r="D12" s="1">
        <f>'3、总属性战斗节奏拟合'!E12*'2、属性成长'!$Q13</f>
        <v>194.39999999999998</v>
      </c>
      <c r="E12" s="1">
        <f>'3、总属性战斗节奏拟合'!F12*'2、属性成长'!$Q13</f>
        <v>86.4</v>
      </c>
      <c r="F12" s="1">
        <f>$C$5*各种公式!$C$13+D12+E12</f>
        <v>300.62639999999999</v>
      </c>
      <c r="H12">
        <v>8</v>
      </c>
      <c r="I12" s="138">
        <f t="shared" si="2"/>
        <v>61329.28024367999</v>
      </c>
      <c r="J12" s="138">
        <f t="shared" si="0"/>
        <v>9972.7199999999975</v>
      </c>
      <c r="K12" s="138">
        <f t="shared" si="1"/>
        <v>4432.32</v>
      </c>
      <c r="L12">
        <f>'3、总属性战斗节奏拟合'!J12</f>
        <v>5000</v>
      </c>
      <c r="M12">
        <f>'3、总属性战斗节奏拟合'!K12</f>
        <v>5000</v>
      </c>
      <c r="N12">
        <f>'3、总属性战斗节奏拟合'!L12</f>
        <v>5000</v>
      </c>
      <c r="O12" s="31">
        <f>'3、总属性战斗节奏拟合'!N12/各种公式!$J$4</f>
        <v>0.1</v>
      </c>
      <c r="P12">
        <f>'3、总属性战斗节奏拟合'!M12</f>
        <v>5000</v>
      </c>
      <c r="Q12" s="31">
        <f>'3、总属性战斗节奏拟合'!O12/各种公式!$J$6*各种公式!$M$6</f>
        <v>0.03</v>
      </c>
      <c r="R12" s="31">
        <f>'3、总属性战斗节奏拟合'!P12/各种公式!$J$6*各种公式!$M$6</f>
        <v>0.03</v>
      </c>
      <c r="S12" s="31">
        <f>'3、总属性战斗节奏拟合'!Q12/各种公式!$J$8*各种公式!$M$8</f>
        <v>1.0000000000000002E-2</v>
      </c>
      <c r="T12" s="31">
        <f>'3、总属性战斗节奏拟合'!R12/各种公式!$J$9*各种公式!$M$9</f>
        <v>2.0000000000000004E-2</v>
      </c>
      <c r="U12" s="31">
        <f>'3、总属性战斗节奏拟合'!S12/各种公式!$J$10*各种公式!$M$10</f>
        <v>0.03</v>
      </c>
      <c r="V12">
        <f>'3、总属性战斗节奏拟合'!D12</f>
        <v>2138.9940000000001</v>
      </c>
      <c r="W12">
        <f>'3、总属性战斗节奏拟合'!E12</f>
        <v>347.49</v>
      </c>
      <c r="X12">
        <f>'3、总属性战斗节奏拟合'!F12</f>
        <v>154.44000000000003</v>
      </c>
      <c r="Y12">
        <f>'3、总属性战斗节奏拟合'!G12</f>
        <v>193.05</v>
      </c>
      <c r="Z12">
        <f>(((L12/$L$104*各种公式!$M$3)+S12+Q12+U12)*V12)</f>
        <v>201.06543600000001</v>
      </c>
      <c r="AA12">
        <f>(((N12/$N$104*各种公式!$M$3)*Y12*(1+R12)+Y12*R12))+W12*T12-X12*U12</f>
        <v>12.880296000000003</v>
      </c>
      <c r="AB12">
        <f>Z12-AA12*'3、总属性战斗节奏拟合'!H12</f>
        <v>58.351756319999964</v>
      </c>
      <c r="AC12" s="145">
        <f>(V12/(1-L12/(L12+116666))-V12)*各种公式!$C$13</f>
        <v>3.6668678106731933</v>
      </c>
      <c r="AD12" s="145">
        <f t="shared" si="3"/>
        <v>115.83</v>
      </c>
      <c r="AE12" s="145">
        <f>Y12*N12/各种公式!$J$5*各种公式!$M$5</f>
        <v>5.7915000000000001</v>
      </c>
      <c r="AF12" s="130">
        <f t="shared" si="4"/>
        <v>5.7915000000000001</v>
      </c>
      <c r="AG12" s="130">
        <f t="shared" si="5"/>
        <v>21.389940000000006</v>
      </c>
      <c r="AH12" s="130">
        <f t="shared" si="6"/>
        <v>6.9498000000000015</v>
      </c>
      <c r="AI12" s="130">
        <f t="shared" si="7"/>
        <v>4.6332000000000004</v>
      </c>
    </row>
    <row r="13" spans="2:35" x14ac:dyDescent="0.15">
      <c r="B13" s="1">
        <v>9</v>
      </c>
      <c r="C13" s="1">
        <f>'3、总属性战斗节奏拟合'!D13*'2、属性成长'!$Q14</f>
        <v>1321.26</v>
      </c>
      <c r="D13" s="1">
        <f>'3、总属性战斗节奏拟合'!E13*'2、属性成长'!$Q14</f>
        <v>205.20000000000002</v>
      </c>
      <c r="E13" s="1">
        <f>'3、总属性战斗节奏拟合'!F13*'2、属性成长'!$Q14</f>
        <v>91.2</v>
      </c>
      <c r="F13" s="1">
        <f>$C$5*各种公式!$C$13+D13+E13</f>
        <v>316.22640000000001</v>
      </c>
      <c r="H13">
        <v>9</v>
      </c>
      <c r="I13" s="138">
        <f t="shared" si="2"/>
        <v>67694.683268459674</v>
      </c>
      <c r="J13" s="138">
        <f t="shared" si="0"/>
        <v>10526.76</v>
      </c>
      <c r="K13" s="138">
        <f t="shared" si="1"/>
        <v>4678.5599999999995</v>
      </c>
      <c r="L13">
        <f>'3、总属性战斗节奏拟合'!J13</f>
        <v>5625</v>
      </c>
      <c r="M13">
        <f>'3、总属性战斗节奏拟合'!K13</f>
        <v>5625</v>
      </c>
      <c r="N13">
        <f>'3、总属性战斗节奏拟合'!L13</f>
        <v>5625</v>
      </c>
      <c r="O13" s="31">
        <f>'3、总属性战斗节奏拟合'!N13/各种公式!$J$4</f>
        <v>0.1125</v>
      </c>
      <c r="P13">
        <f>'3、总属性战斗节奏拟合'!M13</f>
        <v>5625</v>
      </c>
      <c r="Q13" s="31">
        <f>'3、总属性战斗节奏拟合'!O13/各种公式!$J$6*各种公式!$M$6</f>
        <v>3.3750000000000002E-2</v>
      </c>
      <c r="R13" s="31">
        <f>'3、总属性战斗节奏拟合'!P13/各种公式!$J$6*各种公式!$M$6</f>
        <v>3.3750000000000002E-2</v>
      </c>
      <c r="S13" s="31">
        <f>'3、总属性战斗节奏拟合'!Q13/各种公式!$J$8*各种公式!$M$8</f>
        <v>1.1250000000000001E-2</v>
      </c>
      <c r="T13" s="31">
        <f>'3、总属性战斗节奏拟合'!R13/各种公式!$J$9*各种公式!$M$9</f>
        <v>2.2500000000000003E-2</v>
      </c>
      <c r="U13" s="31">
        <f>'3、总属性战斗节奏拟合'!S13/各种公式!$J$10*各种公式!$M$10</f>
        <v>3.3750000000000002E-2</v>
      </c>
      <c r="V13">
        <f>'3、总属性战斗节奏拟合'!D13</f>
        <v>2810.0112472826086</v>
      </c>
      <c r="W13">
        <f>'3、总属性战斗节奏拟合'!E13</f>
        <v>436.41244565217391</v>
      </c>
      <c r="X13">
        <f>'3、总属性战斗节奏拟合'!F13</f>
        <v>193.96108695652174</v>
      </c>
      <c r="Y13">
        <f>'3、总属性战斗节奏拟合'!G13</f>
        <v>242.45135869565217</v>
      </c>
      <c r="Z13">
        <f>(((L13/$L$104*各种公式!$M$3)+S13+Q13+U13)*V13)</f>
        <v>297.15868940013587</v>
      </c>
      <c r="AA13">
        <f>(((N13/$N$104*各种公式!$M$3)*Y13*(1+R13)+Y13*R13))+W13*T13-X13*U13</f>
        <v>18.222947183763587</v>
      </c>
      <c r="AB13">
        <f>Z13-AA13*'3、总属性战斗节奏拟合'!H13</f>
        <v>85.95473154031589</v>
      </c>
      <c r="AC13" s="145">
        <f>(V13/(1-L13/(L13+116666))-V13)*各种公式!$C$13</f>
        <v>5.4193383731214455</v>
      </c>
      <c r="AD13" s="145">
        <f t="shared" si="3"/>
        <v>148.50145720108696</v>
      </c>
      <c r="AE13" s="145">
        <f>Y13*N13/各种公式!$J$5*各种公式!$M$5</f>
        <v>8.1827333559782609</v>
      </c>
      <c r="AF13" s="130">
        <f t="shared" si="4"/>
        <v>8.1827333559782609</v>
      </c>
      <c r="AG13" s="130">
        <f t="shared" si="5"/>
        <v>31.612626531929351</v>
      </c>
      <c r="AH13" s="130">
        <f t="shared" si="6"/>
        <v>9.8192800271739138</v>
      </c>
      <c r="AI13" s="130">
        <f t="shared" si="7"/>
        <v>6.5461866847826089</v>
      </c>
    </row>
    <row r="14" spans="2:35" x14ac:dyDescent="0.15">
      <c r="B14" s="1">
        <v>10</v>
      </c>
      <c r="C14" s="1">
        <f>'3、总属性战斗节奏拟合'!D14*'2、属性成长'!$Q15</f>
        <v>1452</v>
      </c>
      <c r="D14" s="1">
        <f>'3、总属性战斗节奏拟合'!E14*'2、属性成长'!$Q15</f>
        <v>216.00000000000003</v>
      </c>
      <c r="E14" s="1">
        <f>'3、总属性战斗节奏拟合'!F14*'2、属性成长'!$Q15</f>
        <v>96.000000000000014</v>
      </c>
      <c r="F14" s="1">
        <f>$C$5*各种公式!$C$13+D14+E14</f>
        <v>331.82640000000004</v>
      </c>
      <c r="H14">
        <v>10</v>
      </c>
      <c r="I14" s="138">
        <f t="shared" si="2"/>
        <v>74366.304487092377</v>
      </c>
      <c r="J14" s="138">
        <f t="shared" si="0"/>
        <v>11080.800000000001</v>
      </c>
      <c r="K14" s="138">
        <f t="shared" si="1"/>
        <v>4924.8</v>
      </c>
      <c r="L14">
        <f>'3、总属性战斗节奏拟合'!J14</f>
        <v>6250</v>
      </c>
      <c r="M14">
        <f>'3、总属性战斗节奏拟合'!K14</f>
        <v>6250</v>
      </c>
      <c r="N14">
        <f>'3、总属性战斗节奏拟合'!L14</f>
        <v>6250</v>
      </c>
      <c r="O14" s="31">
        <f>'3、总属性战斗节奏拟合'!N14/各种公式!$J$4</f>
        <v>0.125</v>
      </c>
      <c r="P14">
        <f>'3、总属性战斗节奏拟合'!M14</f>
        <v>6250</v>
      </c>
      <c r="Q14" s="31">
        <f>'3、总属性战斗节奏拟合'!O14/各种公式!$J$6*各种公式!$M$6</f>
        <v>3.7499999999999999E-2</v>
      </c>
      <c r="R14" s="31">
        <f>'3、总属性战斗节奏拟合'!P14/各种公式!$J$6*各种公式!$M$6</f>
        <v>3.7499999999999999E-2</v>
      </c>
      <c r="S14" s="31">
        <f>'3、总属性战斗节奏拟合'!Q14/各种公式!$J$8*各种公式!$M$8</f>
        <v>1.2500000000000001E-2</v>
      </c>
      <c r="T14" s="31">
        <f>'3、总属性战斗节奏拟合'!R14/各种公式!$J$9*各种公式!$M$9</f>
        <v>2.5000000000000001E-2</v>
      </c>
      <c r="U14" s="31">
        <f>'3、总属性战斗节奏拟合'!S14/各种公式!$J$10*各种公式!$M$10</f>
        <v>3.7499999999999999E-2</v>
      </c>
      <c r="V14">
        <f>'3、总属性战斗节奏拟合'!D14</f>
        <v>3580.6793478260875</v>
      </c>
      <c r="W14">
        <f>'3、总属性战斗节奏拟合'!E14</f>
        <v>532.66304347826099</v>
      </c>
      <c r="X14">
        <f>'3、总属性战斗节奏拟合'!F14</f>
        <v>236.73913043478265</v>
      </c>
      <c r="Y14">
        <f>'3、总属性战斗节奏拟合'!G14</f>
        <v>295.92391304347831</v>
      </c>
      <c r="Z14">
        <f>(((L14/$L$104*各种公式!$M$3)+S14+Q14+U14)*V14)</f>
        <v>420.72982336956522</v>
      </c>
      <c r="AA14">
        <f>(((N14/$N$104*各种公式!$M$3)*Y14*(1+R14)+Y14*R14))+W14*T14-X14*U14</f>
        <v>24.746637228260873</v>
      </c>
      <c r="AB14">
        <f>Z14-AA14*'3、总属性战斗节奏拟合'!H14</f>
        <v>121.29551290760867</v>
      </c>
      <c r="AC14" s="145">
        <f>(V14/(1-L14/(L14+116666))-V14)*各种公式!$C$13</f>
        <v>7.6729281620739673</v>
      </c>
      <c r="AD14" s="145">
        <f t="shared" si="3"/>
        <v>184.95244565217394</v>
      </c>
      <c r="AE14" s="145">
        <f>Y14*N14/各种公式!$J$5*各种公式!$M$5</f>
        <v>11.097146739130435</v>
      </c>
      <c r="AF14" s="130">
        <f t="shared" si="4"/>
        <v>11.097146739130435</v>
      </c>
      <c r="AG14" s="130">
        <f t="shared" si="5"/>
        <v>44.758491847826093</v>
      </c>
      <c r="AH14" s="130">
        <f t="shared" si="6"/>
        <v>13.316576086956525</v>
      </c>
      <c r="AI14" s="130">
        <f t="shared" si="7"/>
        <v>8.8777173913043494</v>
      </c>
    </row>
    <row r="15" spans="2:35" x14ac:dyDescent="0.15">
      <c r="B15" s="1">
        <v>11</v>
      </c>
      <c r="C15" s="1">
        <f>'3、总属性战斗节奏拟合'!D15*'2、属性成长'!$Q16</f>
        <v>1588.8599999999994</v>
      </c>
      <c r="D15" s="1">
        <f>'3、总属性战斗节奏拟合'!E15*'2、属性成长'!$Q16</f>
        <v>226.79999999999995</v>
      </c>
      <c r="E15" s="1">
        <f>'3、总属性战斗节奏拟合'!F15*'2、属性成长'!$Q16</f>
        <v>100.79999999999997</v>
      </c>
      <c r="F15" s="1">
        <f>$C$5*各种公式!$C$13+D15+E15</f>
        <v>347.42639999999994</v>
      </c>
      <c r="H15">
        <v>11</v>
      </c>
      <c r="I15" s="138">
        <f t="shared" si="2"/>
        <v>81342.982152175478</v>
      </c>
      <c r="J15" s="138">
        <f t="shared" si="0"/>
        <v>11634.839999999997</v>
      </c>
      <c r="K15" s="138">
        <f t="shared" si="1"/>
        <v>5171.0399999999981</v>
      </c>
      <c r="L15">
        <f>'3、总属性战斗节奏拟合'!J15</f>
        <v>6875</v>
      </c>
      <c r="M15">
        <f>'3、总属性战斗节奏拟合'!K15</f>
        <v>6875</v>
      </c>
      <c r="N15">
        <f>'3、总属性战斗节奏拟合'!L15</f>
        <v>6875</v>
      </c>
      <c r="O15" s="31">
        <f>'3、总属性战斗节奏拟合'!N15/各种公式!$J$4</f>
        <v>0.13750000000000001</v>
      </c>
      <c r="P15">
        <f>'3、总属性战斗节奏拟合'!M15</f>
        <v>6875</v>
      </c>
      <c r="Q15" s="31">
        <f>'3、总属性战斗节奏拟合'!O15/各种公式!$J$6*各种公式!$M$6</f>
        <v>4.1250000000000002E-2</v>
      </c>
      <c r="R15" s="31">
        <f>'3、总属性战斗节奏拟合'!P15/各种公式!$J$6*各种公式!$M$6</f>
        <v>4.1250000000000002E-2</v>
      </c>
      <c r="S15" s="31">
        <f>'3、总属性战斗节奏拟合'!Q15/各种公式!$J$8*各种公式!$M$8</f>
        <v>1.3750000000000002E-2</v>
      </c>
      <c r="T15" s="31">
        <f>'3、总属性战斗节奏拟合'!R15/各种公式!$J$9*各种公式!$M$9</f>
        <v>2.7500000000000004E-2</v>
      </c>
      <c r="U15" s="31">
        <f>'3、总属性战斗节奏拟合'!S15/各种公式!$J$10*各种公式!$M$10</f>
        <v>4.1250000000000002E-2</v>
      </c>
      <c r="V15">
        <f>'3、总属性战斗节奏拟合'!D15</f>
        <v>4457.2272309782602</v>
      </c>
      <c r="W15">
        <f>'3、总属性战斗节奏拟合'!E15</f>
        <v>636.24179347826089</v>
      </c>
      <c r="X15">
        <f>'3、总属性战斗节奏拟合'!F15</f>
        <v>282.77413043478259</v>
      </c>
      <c r="Y15">
        <f>'3、总属性战斗节奏拟合'!G15</f>
        <v>353.46766304347824</v>
      </c>
      <c r="Z15">
        <f>(((L15/$L$104*各种公式!$M$3)+S15+Q15+U15)*V15)</f>
        <v>576.0966196039401</v>
      </c>
      <c r="AA15">
        <f>(((N15/$N$104*各种公式!$M$3)*Y15*(1+R15)+Y15*R15))+W15*T15-X15*U15</f>
        <v>32.558348277513595</v>
      </c>
      <c r="AB15">
        <f>Z15-AA15*'3、总属性战斗节奏拟合'!H15</f>
        <v>165.53584782449366</v>
      </c>
      <c r="AC15" s="145">
        <f>(V15/(1-L15/(L15+116666))-V15)*各种公式!$C$13</f>
        <v>10.506381366627975</v>
      </c>
      <c r="AD15" s="145">
        <f t="shared" si="3"/>
        <v>225.33563519021737</v>
      </c>
      <c r="AE15" s="145">
        <f>Y15*N15/各种公式!$J$5*各种公式!$M$5</f>
        <v>14.580541100543478</v>
      </c>
      <c r="AF15" s="130">
        <f t="shared" si="4"/>
        <v>14.580541100543478</v>
      </c>
      <c r="AG15" s="130">
        <f t="shared" si="5"/>
        <v>61.286874425951083</v>
      </c>
      <c r="AH15" s="130">
        <f t="shared" si="6"/>
        <v>17.496649320652178</v>
      </c>
      <c r="AI15" s="130">
        <f t="shared" si="7"/>
        <v>11.664432880434783</v>
      </c>
    </row>
    <row r="16" spans="2:35" x14ac:dyDescent="0.15">
      <c r="B16" s="1">
        <v>12</v>
      </c>
      <c r="C16" s="1">
        <f>'3、总属性战斗节奏拟合'!D16*'2、属性成长'!$Q17</f>
        <v>1731.84</v>
      </c>
      <c r="D16" s="1">
        <f>'3、总属性战斗节奏拟合'!E16*'2、属性成长'!$Q17</f>
        <v>237.60000000000002</v>
      </c>
      <c r="E16" s="1">
        <f>'3、总属性战斗节奏拟合'!F16*'2、属性成长'!$Q17</f>
        <v>105.60000000000001</v>
      </c>
      <c r="F16" s="1">
        <f>$C$5*各种公式!$C$13+D16+E16</f>
        <v>363.02640000000002</v>
      </c>
      <c r="H16">
        <v>12</v>
      </c>
      <c r="I16" s="138">
        <f t="shared" si="2"/>
        <v>88623.487211102605</v>
      </c>
      <c r="J16" s="138">
        <f t="shared" si="0"/>
        <v>12188.880000000001</v>
      </c>
      <c r="K16" s="138">
        <f t="shared" si="1"/>
        <v>5417.28</v>
      </c>
      <c r="L16">
        <f>'3、总属性战斗节奏拟合'!J16</f>
        <v>7500</v>
      </c>
      <c r="M16">
        <f>'3、总属性战斗节奏拟合'!K16</f>
        <v>7500</v>
      </c>
      <c r="N16">
        <f>'3、总属性战斗节奏拟合'!L16</f>
        <v>7500</v>
      </c>
      <c r="O16" s="31">
        <f>'3、总属性战斗节奏拟合'!N16/各种公式!$J$4</f>
        <v>0.15</v>
      </c>
      <c r="P16">
        <f>'3、总属性战斗节奏拟合'!M16</f>
        <v>7500</v>
      </c>
      <c r="Q16" s="31">
        <f>'3、总属性战斗节奏拟合'!O16/各种公式!$J$6*各种公式!$M$6</f>
        <v>4.4999999999999998E-2</v>
      </c>
      <c r="R16" s="31">
        <f>'3、总属性战斗节奏拟合'!P16/各种公式!$J$6*各种公式!$M$6</f>
        <v>4.4999999999999998E-2</v>
      </c>
      <c r="S16" s="31">
        <f>'3、总属性战斗节奏拟合'!Q16/各种公式!$J$8*各种公式!$M$8</f>
        <v>1.4999999999999999E-2</v>
      </c>
      <c r="T16" s="31">
        <f>'3、总属性战斗节奏拟合'!R16/各种公式!$J$9*各种公式!$M$9</f>
        <v>0.03</v>
      </c>
      <c r="U16" s="31">
        <f>'3、总属性战斗节奏拟合'!S16/各种公式!$J$10*各种公式!$M$10</f>
        <v>4.4999999999999998E-2</v>
      </c>
      <c r="V16">
        <f>'3、总属性战斗节奏拟合'!D16</f>
        <v>5445.8838260869561</v>
      </c>
      <c r="W16">
        <f>'3、总属性战斗节奏拟合'!E16</f>
        <v>747.14869565217396</v>
      </c>
      <c r="X16">
        <f>'3、总属性战斗节奏拟合'!F16</f>
        <v>332.06608695652176</v>
      </c>
      <c r="Y16">
        <f>'3、总属性战斗节奏拟合'!G16</f>
        <v>415.08260869565214</v>
      </c>
      <c r="Z16">
        <f>(((L16/$L$104*各种公式!$M$3)+S16+Q16+U16)*V16)</f>
        <v>767.86961947826092</v>
      </c>
      <c r="AA16">
        <f>(((N16/$N$104*各种公式!$M$3)*Y16*(1+R16)+Y16*R16))+W16*T16-X16*U16</f>
        <v>41.765612086956516</v>
      </c>
      <c r="AB16">
        <f>Z16-AA16*'3、总属性战斗节奏拟合'!H16</f>
        <v>219.90478889739143</v>
      </c>
      <c r="AC16" s="145">
        <f>(V16/(1-L16/(L16+116666))-V16)*各种公式!$C$13</f>
        <v>14.003781288688115</v>
      </c>
      <c r="AD16" s="145">
        <f t="shared" si="3"/>
        <v>269.80369565217393</v>
      </c>
      <c r="AE16" s="145">
        <f>Y16*N16/各种公式!$J$5*各种公式!$M$5</f>
        <v>18.678717391304346</v>
      </c>
      <c r="AF16" s="130">
        <f t="shared" si="4"/>
        <v>18.678717391304346</v>
      </c>
      <c r="AG16" s="130">
        <f t="shared" si="5"/>
        <v>81.688257391304333</v>
      </c>
      <c r="AH16" s="130">
        <f t="shared" si="6"/>
        <v>22.414460869565218</v>
      </c>
      <c r="AI16" s="130">
        <f t="shared" si="7"/>
        <v>14.942973913043479</v>
      </c>
    </row>
    <row r="17" spans="2:35" x14ac:dyDescent="0.15">
      <c r="B17" s="1">
        <v>13</v>
      </c>
      <c r="C17" s="1">
        <f>'3、总属性战斗节奏拟合'!D17*'2、属性成长'!$Q18</f>
        <v>1880.9399999999998</v>
      </c>
      <c r="D17" s="1">
        <f>'3、总属性战斗节奏拟合'!E17*'2、属性成长'!$Q18</f>
        <v>248.4</v>
      </c>
      <c r="E17" s="1">
        <f>'3、总属性战斗节奏拟合'!F17*'2、属性成长'!$Q18</f>
        <v>110.4</v>
      </c>
      <c r="F17" s="1">
        <f>$C$5*各种公式!$C$13+D17+E17</f>
        <v>378.62639999999999</v>
      </c>
      <c r="H17">
        <v>13</v>
      </c>
      <c r="I17" s="138">
        <f t="shared" si="2"/>
        <v>96206.524707572564</v>
      </c>
      <c r="J17" s="138">
        <f t="shared" si="0"/>
        <v>12742.92</v>
      </c>
      <c r="K17" s="138">
        <f t="shared" si="1"/>
        <v>5663.5199999999995</v>
      </c>
      <c r="L17">
        <f>'3、总属性战斗节奏拟合'!J17</f>
        <v>8125</v>
      </c>
      <c r="M17">
        <f>'3、总属性战斗节奏拟合'!K17</f>
        <v>8125</v>
      </c>
      <c r="N17">
        <f>'3、总属性战斗节奏拟合'!L17</f>
        <v>8125</v>
      </c>
      <c r="O17" s="31">
        <f>'3、总属性战斗节奏拟合'!N17/各种公式!$J$4</f>
        <v>0.16250000000000001</v>
      </c>
      <c r="P17">
        <f>'3、总属性战斗节奏拟合'!M17</f>
        <v>8125</v>
      </c>
      <c r="Q17" s="31">
        <f>'3、总属性战斗节奏拟合'!O17/各种公式!$J$6*各种公式!$M$6</f>
        <v>4.8750000000000002E-2</v>
      </c>
      <c r="R17" s="31">
        <f>'3、总属性战斗节奏拟合'!P17/各种公式!$J$6*各种公式!$M$6</f>
        <v>4.8750000000000002E-2</v>
      </c>
      <c r="S17" s="31">
        <f>'3、总属性战斗节奏拟合'!Q17/各种公式!$J$8*各种公式!$M$8</f>
        <v>1.6250000000000001E-2</v>
      </c>
      <c r="T17" s="31">
        <f>'3、总属性战斗节奏拟合'!R17/各种公式!$J$9*各种公式!$M$9</f>
        <v>3.2500000000000001E-2</v>
      </c>
      <c r="U17" s="31">
        <f>'3、总属性战斗节奏拟合'!S17/各种公式!$J$10*各种公式!$M$10</f>
        <v>4.8750000000000002E-2</v>
      </c>
      <c r="V17">
        <f>'3、总属性战斗节奏拟合'!D17</f>
        <v>6552.878062499999</v>
      </c>
      <c r="W17">
        <f>'3、总属性战斗节奏拟合'!E17</f>
        <v>865.38374999999996</v>
      </c>
      <c r="X17">
        <f>'3、总属性战斗节奏拟合'!F17</f>
        <v>384.61500000000001</v>
      </c>
      <c r="Y17">
        <f>'3、总属性战斗节奏拟合'!G17</f>
        <v>480.76874999999995</v>
      </c>
      <c r="Z17">
        <f>(((L17/$L$104*各种公式!$M$3)+S17+Q17+U17)*V17)</f>
        <v>1000.9521240468748</v>
      </c>
      <c r="AA17">
        <f>(((N17/$N$104*各种公式!$M$3)*Y17*(1+R17)+Y17*R17))+W17*T17-X17*U17</f>
        <v>52.476510023437484</v>
      </c>
      <c r="AB17">
        <f>Z17-AA17*'3、总属性战斗节奏拟合'!H17</f>
        <v>285.69729242742198</v>
      </c>
      <c r="AC17" s="145">
        <f>(V17/(1-L17/(L17+116666))-V17)*各种公式!$C$13</f>
        <v>18.254550342966251</v>
      </c>
      <c r="AD17" s="145">
        <f t="shared" si="3"/>
        <v>318.50929687499996</v>
      </c>
      <c r="AE17" s="145">
        <f>Y17*N17/各种公式!$J$5*各种公式!$M$5</f>
        <v>23.437476562499995</v>
      </c>
      <c r="AF17" s="130">
        <f t="shared" si="4"/>
        <v>23.437476562499999</v>
      </c>
      <c r="AG17" s="130">
        <f t="shared" si="5"/>
        <v>106.48426851562499</v>
      </c>
      <c r="AH17" s="130">
        <f t="shared" si="6"/>
        <v>28.124971875</v>
      </c>
      <c r="AI17" s="130">
        <f t="shared" si="7"/>
        <v>18.749981250000001</v>
      </c>
    </row>
    <row r="18" spans="2:35" x14ac:dyDescent="0.15">
      <c r="B18" s="1">
        <v>14</v>
      </c>
      <c r="C18" s="1">
        <f>'3、总属性战斗节奏拟合'!D18*'2、属性成长'!$Q19</f>
        <v>2036.1600000000003</v>
      </c>
      <c r="D18" s="1">
        <f>'3、总属性战斗节奏拟合'!E18*'2、属性成长'!$Q19</f>
        <v>259.20000000000005</v>
      </c>
      <c r="E18" s="1">
        <f>'3、总属性战斗节奏拟合'!F18*'2、属性成长'!$Q19</f>
        <v>115.20000000000002</v>
      </c>
      <c r="F18" s="1">
        <f>$C$5*各种公式!$C$13+D18+E18</f>
        <v>394.22640000000001</v>
      </c>
      <c r="H18">
        <v>14</v>
      </c>
      <c r="I18" s="138">
        <f t="shared" si="2"/>
        <v>104090.73518309872</v>
      </c>
      <c r="J18" s="138">
        <f t="shared" si="0"/>
        <v>13296.960000000001</v>
      </c>
      <c r="K18" s="138">
        <f t="shared" si="1"/>
        <v>5909.76</v>
      </c>
      <c r="L18">
        <f>'3、总属性战斗节奏拟合'!J18</f>
        <v>8750</v>
      </c>
      <c r="M18">
        <f>'3、总属性战斗节奏拟合'!K18</f>
        <v>8750</v>
      </c>
      <c r="N18">
        <f>'3、总属性战斗节奏拟合'!L18</f>
        <v>8750</v>
      </c>
      <c r="O18" s="31">
        <f>'3、总属性战斗节奏拟合'!N18/各种公式!$J$4</f>
        <v>0.17499999999999999</v>
      </c>
      <c r="P18">
        <f>'3、总属性战斗节奏拟合'!M18</f>
        <v>8750</v>
      </c>
      <c r="Q18" s="31">
        <f>'3、总属性战斗节奏拟合'!O18/各种公式!$J$6*各种公式!$M$6</f>
        <v>5.2499999999999998E-2</v>
      </c>
      <c r="R18" s="31">
        <f>'3、总属性战斗节奏拟合'!P18/各种公式!$J$6*各种公式!$M$6</f>
        <v>5.2499999999999998E-2</v>
      </c>
      <c r="S18" s="31">
        <f>'3、总属性战斗节奏拟合'!Q18/各种公式!$J$8*各种公式!$M$8</f>
        <v>1.7499999999999998E-2</v>
      </c>
      <c r="T18" s="31">
        <f>'3、总属性战斗节奏拟合'!R18/各种公式!$J$9*各种公式!$M$9</f>
        <v>3.4999999999999996E-2</v>
      </c>
      <c r="U18" s="31">
        <f>'3、总属性战斗节奏拟合'!S18/各种公式!$J$10*各种公式!$M$10</f>
        <v>5.2499999999999998E-2</v>
      </c>
      <c r="V18">
        <f>'3、总属性战斗节奏拟合'!D18</f>
        <v>7784.4388695652187</v>
      </c>
      <c r="W18">
        <f>'3、总属性战斗节奏拟合'!E18</f>
        <v>990.94695652173925</v>
      </c>
      <c r="X18">
        <f>'3、总属性战斗节奏拟合'!F18</f>
        <v>440.42086956521746</v>
      </c>
      <c r="Y18">
        <f>'3、总属性战斗节奏拟合'!G18</f>
        <v>550.52608695652179</v>
      </c>
      <c r="Z18">
        <f>(((L18/$L$104*各种公式!$M$3)+S18+Q18+U18)*V18)</f>
        <v>1280.5401940434783</v>
      </c>
      <c r="AA18">
        <f>(((N18/$N$104*各种公式!$M$3)*Y18*(1+R18)+Y18*R18))+W18*T18-X18*U18</f>
        <v>64.799673065217391</v>
      </c>
      <c r="AB18">
        <f>Z18-AA18*'3、总属性战斗节奏拟合'!H18</f>
        <v>364.2728169013044</v>
      </c>
      <c r="AC18" s="145">
        <f>(V18/(1-L18/(L18+116666))-V18)*各种公式!$C$13</f>
        <v>23.353450056981711</v>
      </c>
      <c r="AD18" s="145">
        <f t="shared" si="3"/>
        <v>371.60510869565223</v>
      </c>
      <c r="AE18" s="145">
        <f>Y18*N18/各种公式!$J$5*各种公式!$M$5</f>
        <v>28.902619565217393</v>
      </c>
      <c r="AF18" s="130">
        <f t="shared" si="4"/>
        <v>28.902619565217393</v>
      </c>
      <c r="AG18" s="130">
        <f t="shared" si="5"/>
        <v>136.22768021739131</v>
      </c>
      <c r="AH18" s="130">
        <f t="shared" si="6"/>
        <v>34.683143478260867</v>
      </c>
      <c r="AI18" s="130">
        <f t="shared" si="7"/>
        <v>23.122095652173915</v>
      </c>
    </row>
    <row r="19" spans="2:35" x14ac:dyDescent="0.15">
      <c r="B19" s="1">
        <v>15</v>
      </c>
      <c r="C19" s="1">
        <f>'3、总属性战斗节奏拟合'!D19*'2、属性成长'!$Q20</f>
        <v>2197.5</v>
      </c>
      <c r="D19" s="1">
        <f>'3、总属性战斗节奏拟合'!E19*'2、属性成长'!$Q20</f>
        <v>270</v>
      </c>
      <c r="E19" s="1">
        <f>'3、总属性战斗节奏拟合'!F19*'2、属性成长'!$Q20</f>
        <v>120.00000000000001</v>
      </c>
      <c r="F19" s="1">
        <f>$C$5*各种公式!$C$13+D19+E19</f>
        <v>409.82639999999998</v>
      </c>
      <c r="H19">
        <v>15</v>
      </c>
      <c r="I19" s="138">
        <f t="shared" si="2"/>
        <v>112274.69607851775</v>
      </c>
      <c r="J19" s="138">
        <f t="shared" si="0"/>
        <v>13851</v>
      </c>
      <c r="K19" s="138">
        <f t="shared" si="1"/>
        <v>6156</v>
      </c>
      <c r="L19">
        <f>'3、总属性战斗节奏拟合'!J19</f>
        <v>9375</v>
      </c>
      <c r="M19">
        <f>'3、总属性战斗节奏拟合'!K19</f>
        <v>9375</v>
      </c>
      <c r="N19">
        <f>'3、总属性战斗节奏拟合'!L19</f>
        <v>9375</v>
      </c>
      <c r="O19" s="31">
        <f>'3、总属性战斗节奏拟合'!N19/各种公式!$J$4</f>
        <v>0.1875</v>
      </c>
      <c r="P19">
        <f>'3、总属性战斗节奏拟合'!M19</f>
        <v>9375</v>
      </c>
      <c r="Q19" s="31">
        <f>'3、总属性战斗节奏拟合'!O19/各种公式!$J$6*各种公式!$M$6</f>
        <v>5.6249999999999994E-2</v>
      </c>
      <c r="R19" s="31">
        <f>'3、总属性战斗节奏拟合'!P19/各种公式!$J$6*各种公式!$M$6</f>
        <v>5.6249999999999994E-2</v>
      </c>
      <c r="S19" s="31">
        <f>'3、总属性战斗节奏拟合'!Q19/各种公式!$J$8*各种公式!$M$8</f>
        <v>1.8750000000000003E-2</v>
      </c>
      <c r="T19" s="31">
        <f>'3、总属性战斗节奏拟合'!R19/各种公式!$J$9*各种公式!$M$9</f>
        <v>3.7500000000000006E-2</v>
      </c>
      <c r="U19" s="31">
        <f>'3、总属性战斗节奏拟合'!S19/各种公式!$J$10*各种公式!$M$10</f>
        <v>5.6249999999999994E-2</v>
      </c>
      <c r="V19">
        <f>'3、总属性战斗节奏拟合'!D19</f>
        <v>9146.7951766304341</v>
      </c>
      <c r="W19">
        <f>'3、总属性战斗节奏拟合'!E19</f>
        <v>1123.8383152173913</v>
      </c>
      <c r="X19">
        <f>'3、总属性战斗节奏拟合'!F19</f>
        <v>499.48369565217394</v>
      </c>
      <c r="Y19">
        <f>'3、总属性战斗节奏拟合'!G19</f>
        <v>624.35461956521738</v>
      </c>
      <c r="Z19">
        <f>(((L19/$L$104*各种公式!$M$3)+S19+Q19+U19)*V19)</f>
        <v>1612.1226498811138</v>
      </c>
      <c r="AA19">
        <f>(((N19/$N$104*各种公式!$M$3)*Y19*(1+R19)+Y19*R19))+W19*T19-X19*U19</f>
        <v>78.844281801970112</v>
      </c>
      <c r="AB19">
        <f>Z19-AA19*'3、总属性战斗节奏拟合'!H19</f>
        <v>457.05392148225155</v>
      </c>
      <c r="AC19" s="145">
        <f>(V19/(1-L19/(L19+116666))-V19)*各种公式!$C$13</f>
        <v>29.400581071061097</v>
      </c>
      <c r="AD19" s="145">
        <f t="shared" si="3"/>
        <v>429.24380095108694</v>
      </c>
      <c r="AE19" s="145">
        <f>Y19*N19/各种公式!$J$5*各种公式!$M$5</f>
        <v>35.119947350543477</v>
      </c>
      <c r="AF19" s="130">
        <f t="shared" si="4"/>
        <v>35.119947350543477</v>
      </c>
      <c r="AG19" s="130">
        <f t="shared" si="5"/>
        <v>171.50240956182066</v>
      </c>
      <c r="AH19" s="130">
        <f t="shared" si="6"/>
        <v>42.143936820652179</v>
      </c>
      <c r="AI19" s="130">
        <f t="shared" si="7"/>
        <v>28.095957880434781</v>
      </c>
    </row>
    <row r="20" spans="2:35" x14ac:dyDescent="0.15">
      <c r="B20" s="1">
        <v>16</v>
      </c>
      <c r="C20" s="1">
        <f>'3、总属性战斗节奏拟合'!D20*'2、属性成长'!$Q21</f>
        <v>2364.9600000000005</v>
      </c>
      <c r="D20" s="1">
        <f>'3、总属性战斗节奏拟合'!E20*'2、属性成长'!$Q21</f>
        <v>280.8</v>
      </c>
      <c r="E20" s="1">
        <f>'3、总属性战斗节奏拟合'!F20*'2、属性成长'!$Q21</f>
        <v>124.80000000000001</v>
      </c>
      <c r="F20" s="1">
        <f>$C$5*各种公式!$C$13+D20+E20</f>
        <v>425.4264</v>
      </c>
      <c r="H20">
        <v>16</v>
      </c>
      <c r="I20" s="138">
        <f t="shared" si="2"/>
        <v>120756.92313549915</v>
      </c>
      <c r="J20" s="138">
        <f t="shared" si="0"/>
        <v>14405.039999999999</v>
      </c>
      <c r="K20" s="138">
        <f t="shared" si="1"/>
        <v>6402.24</v>
      </c>
      <c r="L20">
        <f>'3、总属性战斗节奏拟合'!J20</f>
        <v>10000</v>
      </c>
      <c r="M20">
        <f>'3、总属性战斗节奏拟合'!K20</f>
        <v>10000</v>
      </c>
      <c r="N20">
        <f>'3、总属性战斗节奏拟合'!L20</f>
        <v>10000</v>
      </c>
      <c r="O20" s="31">
        <f>'3、总属性战斗节奏拟合'!N20/各种公式!$J$4</f>
        <v>0.2</v>
      </c>
      <c r="P20">
        <f>'3、总属性战斗节奏拟合'!M20</f>
        <v>10000</v>
      </c>
      <c r="Q20" s="31">
        <f>'3、总属性战斗节奏拟合'!O20/各种公式!$J$6*各种公式!$M$6</f>
        <v>0.06</v>
      </c>
      <c r="R20" s="31">
        <f>'3、总属性战斗节奏拟合'!P20/各种公式!$J$6*各种公式!$M$6</f>
        <v>0.06</v>
      </c>
      <c r="S20" s="31">
        <f>'3、总属性战斗节奏拟合'!Q20/各种公式!$J$8*各种公式!$M$8</f>
        <v>2.0000000000000004E-2</v>
      </c>
      <c r="T20" s="31">
        <f>'3、总属性战斗节奏拟合'!R20/各种公式!$J$9*各种公式!$M$9</f>
        <v>4.0000000000000008E-2</v>
      </c>
      <c r="U20" s="31">
        <f>'3、总属性战斗节奏拟合'!S20/各种公式!$J$10*各种公式!$M$10</f>
        <v>0.06</v>
      </c>
      <c r="V20">
        <f>'3、总属性战斗节奏拟合'!D20</f>
        <v>10646.17591304348</v>
      </c>
      <c r="W20">
        <f>'3、总属性战斗节奏拟合'!E20</f>
        <v>1264.0578260869565</v>
      </c>
      <c r="X20">
        <f>'3、总属性战斗节奏拟合'!F20</f>
        <v>561.80347826086961</v>
      </c>
      <c r="Y20">
        <f>'3、总属性战斗节奏拟合'!G20</f>
        <v>702.25434782608704</v>
      </c>
      <c r="Z20">
        <f>(((L20/$L$104*各种公式!$M$3)+S20+Q20+U20)*V20)</f>
        <v>2001.4810716521743</v>
      </c>
      <c r="AA20">
        <f>(((N20/$N$104*各种公式!$M$3)*Y20*(1+R20)+Y20*R20))+W20*T20-X20*U20</f>
        <v>94.720066434782623</v>
      </c>
      <c r="AB20">
        <f>Z20-AA20*'3、总属性战斗节奏拟合'!H20</f>
        <v>565.52486450086963</v>
      </c>
      <c r="AC20" s="145">
        <f>(V20/(1-L20/(L20+116666))-V20)*各种公式!$C$13</f>
        <v>36.501383138338426</v>
      </c>
      <c r="AD20" s="145">
        <f t="shared" si="3"/>
        <v>491.57804347826089</v>
      </c>
      <c r="AE20" s="145">
        <f>Y20*N20/各种公式!$J$5*各种公式!$M$5</f>
        <v>42.135260869565222</v>
      </c>
      <c r="AF20" s="130">
        <f t="shared" si="4"/>
        <v>42.135260869565222</v>
      </c>
      <c r="AG20" s="130">
        <f t="shared" si="5"/>
        <v>212.92351826086966</v>
      </c>
      <c r="AH20" s="130">
        <f t="shared" si="6"/>
        <v>50.562313043478269</v>
      </c>
      <c r="AI20" s="130">
        <f t="shared" si="7"/>
        <v>33.708208695652175</v>
      </c>
    </row>
    <row r="21" spans="2:35" x14ac:dyDescent="0.15">
      <c r="B21" s="1">
        <v>17</v>
      </c>
      <c r="C21" s="1">
        <f>'3、总属性战斗节奏拟合'!D21*'2、属性成长'!$Q22</f>
        <v>2538.54</v>
      </c>
      <c r="D21" s="1">
        <f>'3、总属性战斗节奏拟合'!E21*'2、属性成长'!$Q22</f>
        <v>291.60000000000002</v>
      </c>
      <c r="E21" s="1">
        <f>'3、总属性战斗节奏拟合'!F21*'2、属性成长'!$Q22</f>
        <v>129.60000000000002</v>
      </c>
      <c r="F21" s="1">
        <f>$C$5*各种公式!$C$13+D21+E21</f>
        <v>441.02640000000002</v>
      </c>
      <c r="H21">
        <v>17</v>
      </c>
      <c r="I21" s="138">
        <f t="shared" si="2"/>
        <v>129535.87179805394</v>
      </c>
      <c r="J21" s="138">
        <f t="shared" si="0"/>
        <v>14959.08</v>
      </c>
      <c r="K21" s="138">
        <f t="shared" si="1"/>
        <v>6648.4800000000005</v>
      </c>
      <c r="L21">
        <f>'3、总属性战斗节奏拟合'!J21</f>
        <v>10625</v>
      </c>
      <c r="M21">
        <f>'3、总属性战斗节奏拟合'!K21</f>
        <v>10625</v>
      </c>
      <c r="N21">
        <f>'3、总属性战斗节奏拟合'!L21</f>
        <v>10625</v>
      </c>
      <c r="O21" s="31">
        <f>'3、总属性战斗节奏拟合'!N21/各种公式!$J$4</f>
        <v>0.21249999999999999</v>
      </c>
      <c r="P21">
        <f>'3、总属性战斗节奏拟合'!M21</f>
        <v>10625</v>
      </c>
      <c r="Q21" s="31">
        <f>'3、总属性战斗节奏拟合'!O21/各种公式!$J$6*各种公式!$M$6</f>
        <v>6.3750000000000001E-2</v>
      </c>
      <c r="R21" s="31">
        <f>'3、总属性战斗节奏拟合'!P21/各种公式!$J$6*各种公式!$M$6</f>
        <v>6.3750000000000001E-2</v>
      </c>
      <c r="S21" s="31">
        <f>'3、总属性战斗节奏拟合'!Q21/各种公式!$J$8*各种公式!$M$8</f>
        <v>2.1250000000000002E-2</v>
      </c>
      <c r="T21" s="31">
        <f>'3、总属性战斗节奏拟合'!R21/各种公式!$J$9*各种公式!$M$9</f>
        <v>4.2500000000000003E-2</v>
      </c>
      <c r="U21" s="31">
        <f>'3、总属性战斗节奏拟合'!S21/各种公式!$J$10*各种公式!$M$10</f>
        <v>6.3750000000000001E-2</v>
      </c>
      <c r="V21">
        <f>'3、总属性战斗节奏拟合'!D21</f>
        <v>12288.810008152173</v>
      </c>
      <c r="W21">
        <f>'3、总属性战斗节奏拟合'!E21</f>
        <v>1411.6054891304348</v>
      </c>
      <c r="X21">
        <f>'3、总属性战斗节奏拟合'!F21</f>
        <v>627.38021739130443</v>
      </c>
      <c r="Y21">
        <f>'3、总属性战斗节奏拟合'!G21</f>
        <v>784.22527173913045</v>
      </c>
      <c r="Z21">
        <f>(((L21/$L$104*各种公式!$M$3)+S21+Q21+U21)*V21)</f>
        <v>2454.6897991283968</v>
      </c>
      <c r="AA21">
        <f>(((N21/$N$104*各种公式!$M$3)*Y21*(1+R21)+Y21*R21))+W21*T21-X21*U21</f>
        <v>112.53730677615491</v>
      </c>
      <c r="AB21">
        <f>Z21-AA21*'3、总属性战斗节奏拟合'!H21</f>
        <v>691.23020194604942</v>
      </c>
      <c r="AC21" s="145">
        <f>(V21/(1-L21/(L21+116666))-V21)*各种公式!$C$13</f>
        <v>44.766635124755048</v>
      </c>
      <c r="AD21" s="145">
        <f t="shared" si="3"/>
        <v>558.76050611413041</v>
      </c>
      <c r="AE21" s="145">
        <f>Y21*N21/各种公式!$J$5*各种公式!$M$5</f>
        <v>49.994361073369561</v>
      </c>
      <c r="AF21" s="130">
        <f t="shared" si="4"/>
        <v>49.994361073369568</v>
      </c>
      <c r="AG21" s="130">
        <f t="shared" si="5"/>
        <v>261.13721267323371</v>
      </c>
      <c r="AH21" s="130">
        <f t="shared" si="6"/>
        <v>59.993233288043484</v>
      </c>
      <c r="AI21" s="130">
        <f t="shared" si="7"/>
        <v>39.995488858695659</v>
      </c>
    </row>
    <row r="22" spans="2:35" x14ac:dyDescent="0.15">
      <c r="B22" s="1">
        <v>18</v>
      </c>
      <c r="C22" s="1">
        <f>'3、总属性战斗节奏拟合'!D22*'2、属性成长'!$Q23</f>
        <v>2718.2400000000007</v>
      </c>
      <c r="D22" s="1">
        <f>'3、总属性战斗节奏拟合'!E22*'2、属性成长'!$Q23</f>
        <v>302.40000000000009</v>
      </c>
      <c r="E22" s="1">
        <f>'3、总属性战斗节奏拟合'!F22*'2、属性成长'!$Q23</f>
        <v>134.40000000000006</v>
      </c>
      <c r="F22" s="1">
        <f>$C$5*各种公式!$C$13+D22+E22</f>
        <v>456.6264000000001</v>
      </c>
      <c r="H22">
        <v>18</v>
      </c>
      <c r="I22" s="138">
        <f t="shared" si="2"/>
        <v>138609.93861404416</v>
      </c>
      <c r="J22" s="138">
        <f t="shared" si="0"/>
        <v>15513.120000000004</v>
      </c>
      <c r="K22" s="138">
        <f t="shared" si="1"/>
        <v>6894.720000000003</v>
      </c>
      <c r="L22">
        <f>'3、总属性战斗节奏拟合'!J22</f>
        <v>11250</v>
      </c>
      <c r="M22">
        <f>'3、总属性战斗节奏拟合'!K22</f>
        <v>11250</v>
      </c>
      <c r="N22">
        <f>'3、总属性战斗节奏拟合'!L22</f>
        <v>11250</v>
      </c>
      <c r="O22" s="31">
        <f>'3、总属性战斗节奏拟合'!N22/各种公式!$J$4</f>
        <v>0.22500000000000001</v>
      </c>
      <c r="P22">
        <f>'3、总属性战斗节奏拟合'!M22</f>
        <v>11250</v>
      </c>
      <c r="Q22" s="31">
        <f>'3、总属性战斗节奏拟合'!O22/各种公式!$J$6*各种公式!$M$6</f>
        <v>6.7500000000000004E-2</v>
      </c>
      <c r="R22" s="31">
        <f>'3、总属性战斗节奏拟合'!P22/各种公式!$J$6*各种公式!$M$6</f>
        <v>6.7500000000000004E-2</v>
      </c>
      <c r="S22" s="31">
        <f>'3、总属性战斗节奏拟合'!Q22/各种公式!$J$8*各种公式!$M$8</f>
        <v>2.2500000000000003E-2</v>
      </c>
      <c r="T22" s="31">
        <f>'3、总属性战斗节奏拟合'!R22/各种公式!$J$9*各种公式!$M$9</f>
        <v>4.5000000000000005E-2</v>
      </c>
      <c r="U22" s="31">
        <f>'3、总属性战斗节奏拟合'!S22/各种公式!$J$10*各种公式!$M$10</f>
        <v>6.7500000000000004E-2</v>
      </c>
      <c r="V22">
        <f>'3、总属性战斗节奏拟合'!D22</f>
        <v>14080.926391304352</v>
      </c>
      <c r="W22">
        <f>'3、总属性战斗节奏拟合'!E22</f>
        <v>1566.4813043478266</v>
      </c>
      <c r="X22">
        <f>'3、总属性战斗节奏拟合'!F22</f>
        <v>696.21391304347856</v>
      </c>
      <c r="Y22">
        <f>'3、总属性战斗节奏拟合'!G22</f>
        <v>870.26739130434817</v>
      </c>
      <c r="Z22">
        <f>(((L22/$L$104*各种公式!$M$3)+S22+Q22+U22)*V22)</f>
        <v>2978.1159317608708</v>
      </c>
      <c r="AA22">
        <f>(((N22/$N$104*各种公式!$M$3)*Y22*(1+R22)+Y22*R22))+W22*T22-X22*U22</f>
        <v>132.40683225000004</v>
      </c>
      <c r="AB22">
        <f>Z22-AA22*'3、总属性战斗节奏拟合'!H22</f>
        <v>835.77338595587025</v>
      </c>
      <c r="AC22" s="145">
        <f>(V22/(1-L22/(L22+116666))-V22)*各种公式!$C$13</f>
        <v>54.312455009059704</v>
      </c>
      <c r="AD22" s="145">
        <f t="shared" si="3"/>
        <v>630.94385869565235</v>
      </c>
      <c r="AE22" s="145">
        <f>Y22*N22/各种公式!$J$5*各种公式!$M$5</f>
        <v>58.743048913043502</v>
      </c>
      <c r="AF22" s="130">
        <f t="shared" si="4"/>
        <v>58.743048913043502</v>
      </c>
      <c r="AG22" s="130">
        <f t="shared" si="5"/>
        <v>316.82084380434799</v>
      </c>
      <c r="AH22" s="130">
        <f t="shared" si="6"/>
        <v>70.491658695652205</v>
      </c>
      <c r="AI22" s="130">
        <f t="shared" si="7"/>
        <v>46.994439130434806</v>
      </c>
    </row>
    <row r="23" spans="2:35" x14ac:dyDescent="0.15">
      <c r="B23" s="1">
        <v>19</v>
      </c>
      <c r="C23" s="1">
        <f>'3、总属性战斗节奏拟合'!D23*'2、属性成长'!$Q24</f>
        <v>2904.06</v>
      </c>
      <c r="D23" s="1">
        <f>'3、总属性战斗节奏拟合'!E23*'2、属性成长'!$Q24</f>
        <v>313.2000000000001</v>
      </c>
      <c r="E23" s="1">
        <f>'3、总属性战斗节奏拟合'!F23*'2、属性成长'!$Q24</f>
        <v>139.20000000000005</v>
      </c>
      <c r="F23" s="1">
        <f>$C$5*各种公式!$C$13+D23+E23</f>
        <v>472.22640000000013</v>
      </c>
      <c r="H23">
        <v>19</v>
      </c>
      <c r="I23" s="138">
        <f t="shared" si="2"/>
        <v>147977.46263669149</v>
      </c>
      <c r="J23" s="138">
        <f t="shared" si="0"/>
        <v>16067.160000000003</v>
      </c>
      <c r="K23" s="138">
        <f t="shared" si="1"/>
        <v>7140.9600000000019</v>
      </c>
      <c r="L23">
        <f>'3、总属性战斗节奏拟合'!J23</f>
        <v>11875</v>
      </c>
      <c r="M23">
        <f>'3、总属性战斗节奏拟合'!K23</f>
        <v>11875</v>
      </c>
      <c r="N23">
        <f>'3、总属性战斗节奏拟合'!L23</f>
        <v>11875</v>
      </c>
      <c r="O23" s="31">
        <f>'3、总属性战斗节奏拟合'!N23/各种公式!$J$4</f>
        <v>0.23749999999999999</v>
      </c>
      <c r="P23">
        <f>'3、总属性战斗节奏拟合'!M23</f>
        <v>11875</v>
      </c>
      <c r="Q23" s="31">
        <f>'3、总属性战斗节奏拟合'!O23/各种公式!$J$6*各种公式!$M$6</f>
        <v>7.1249999999999994E-2</v>
      </c>
      <c r="R23" s="31">
        <f>'3、总属性战斗节奏拟合'!P23/各种公式!$J$6*各种公式!$M$6</f>
        <v>7.1249999999999994E-2</v>
      </c>
      <c r="S23" s="31">
        <f>'3、总属性战斗节奏拟合'!Q23/各种公式!$J$8*各种公式!$M$8</f>
        <v>2.375E-2</v>
      </c>
      <c r="T23" s="31">
        <f>'3、总属性战斗节奏拟合'!R23/各种公式!$J$9*各种公式!$M$9</f>
        <v>4.7500000000000001E-2</v>
      </c>
      <c r="U23" s="31">
        <f>'3、总属性战斗节奏拟合'!S23/各种公式!$J$10*各种公式!$M$10</f>
        <v>7.1249999999999994E-2</v>
      </c>
      <c r="V23">
        <f>'3、总属性战斗节奏拟合'!D23</f>
        <v>16028.753991847825</v>
      </c>
      <c r="W23">
        <f>'3、总属性战斗节奏拟合'!E23</f>
        <v>1728.6852717391307</v>
      </c>
      <c r="X23">
        <f>'3、总属性战斗节奏拟合'!F23</f>
        <v>768.30456521739143</v>
      </c>
      <c r="Y23">
        <f>'3、总属性战斗节奏拟合'!G23</f>
        <v>960.38070652173917</v>
      </c>
      <c r="Z23">
        <f>(((L23/$L$104*各种公式!$M$3)+S23+Q23+U23)*V23)</f>
        <v>3578.419328680026</v>
      </c>
      <c r="AA23">
        <f>(((N23/$N$104*各种公式!$M$3)*Y23*(1+R23)+Y23*R23))+W23*T23-X23*U23</f>
        <v>154.44002189164399</v>
      </c>
      <c r="AB23">
        <f>Z23-AA23*'3、总属性战斗节奏拟合'!H23</f>
        <v>1000.815363308488</v>
      </c>
      <c r="AC23" s="145">
        <f>(V23/(1-L23/(L23+116666))-V23)*各种公式!$C$13</f>
        <v>65.260299882808326</v>
      </c>
      <c r="AD23" s="145">
        <f t="shared" si="3"/>
        <v>708.28077105978264</v>
      </c>
      <c r="AE23" s="145">
        <f>Y23*N23/各种公式!$J$5*各种公式!$M$5</f>
        <v>68.427125339673907</v>
      </c>
      <c r="AF23" s="130">
        <f t="shared" si="4"/>
        <v>68.427125339673907</v>
      </c>
      <c r="AG23" s="130">
        <f t="shared" si="5"/>
        <v>380.68290730638586</v>
      </c>
      <c r="AH23" s="130">
        <f t="shared" si="6"/>
        <v>82.112550407608708</v>
      </c>
      <c r="AI23" s="130">
        <f t="shared" si="7"/>
        <v>54.741700271739134</v>
      </c>
    </row>
    <row r="24" spans="2:35" x14ac:dyDescent="0.15">
      <c r="B24" s="1">
        <v>20</v>
      </c>
      <c r="C24" s="1">
        <f>'3、总属性战斗节奏拟合'!D24*'2、属性成长'!$Q25</f>
        <v>3096.0000000000005</v>
      </c>
      <c r="D24" s="1">
        <f>'3、总属性战斗节奏拟合'!E24*'2、属性成长'!$Q25</f>
        <v>324.00000000000006</v>
      </c>
      <c r="E24" s="1">
        <f>'3、总属性战斗节奏拟合'!F24*'2、属性成长'!$Q25</f>
        <v>144.00000000000003</v>
      </c>
      <c r="F24" s="1">
        <f>$C$5*各种公式!$C$13+D24+E24</f>
        <v>487.82640000000004</v>
      </c>
      <c r="H24">
        <v>20</v>
      </c>
      <c r="I24" s="138">
        <f t="shared" si="2"/>
        <v>157636.72682608696</v>
      </c>
      <c r="J24" s="138">
        <f t="shared" si="0"/>
        <v>16621.2</v>
      </c>
      <c r="K24" s="138">
        <f t="shared" si="1"/>
        <v>7387.2000000000007</v>
      </c>
      <c r="L24">
        <f>'3、总属性战斗节奏拟合'!J24</f>
        <v>12500</v>
      </c>
      <c r="M24">
        <f>'3、总属性战斗节奏拟合'!K24</f>
        <v>12500</v>
      </c>
      <c r="N24">
        <f>'3、总属性战斗节奏拟合'!L24</f>
        <v>12500</v>
      </c>
      <c r="O24" s="31">
        <f>'3、总属性战斗节奏拟合'!N24/各种公式!$J$4</f>
        <v>0.25</v>
      </c>
      <c r="P24">
        <f>'3、总属性战斗节奏拟合'!M24</f>
        <v>12500</v>
      </c>
      <c r="Q24" s="31">
        <f>'3、总属性战斗节奏拟合'!O24/各种公式!$J$6*各种公式!$M$6</f>
        <v>7.4999999999999997E-2</v>
      </c>
      <c r="R24" s="31">
        <f>'3、总属性战斗节奏拟合'!P24/各种公式!$J$6*各种公式!$M$6</f>
        <v>7.4999999999999997E-2</v>
      </c>
      <c r="S24" s="31">
        <f>'3、总属性战斗节奏拟合'!Q24/各种公式!$J$8*各种公式!$M$8</f>
        <v>2.5000000000000001E-2</v>
      </c>
      <c r="T24" s="31">
        <f>'3、总属性战斗节奏拟合'!R24/各种公式!$J$9*各种公式!$M$9</f>
        <v>0.05</v>
      </c>
      <c r="U24" s="31">
        <f>'3、总属性战斗节奏拟合'!S24/各种公式!$J$10*各种公式!$M$10</f>
        <v>7.4999999999999997E-2</v>
      </c>
      <c r="V24">
        <f>'3、总属性战斗节奏拟合'!D24</f>
        <v>18138.521739130436</v>
      </c>
      <c r="W24">
        <f>'3、总属性战斗节奏拟合'!E24</f>
        <v>1898.217391304348</v>
      </c>
      <c r="X24">
        <f>'3、总属性战斗节奏拟合'!F24</f>
        <v>843.65217391304361</v>
      </c>
      <c r="Y24">
        <f>'3、总属性战斗节奏拟合'!G24</f>
        <v>1054.5652173913045</v>
      </c>
      <c r="Z24">
        <f>(((L24/$L$104*各种公式!$M$3)+S24+Q24+U24)*V24)</f>
        <v>4262.5526086956525</v>
      </c>
      <c r="AA24">
        <f>(((N24/$N$104*各种公式!$M$3)*Y24*(1+R24)+Y24*R24))+W24*T24-X24*U24</f>
        <v>178.74880434782608</v>
      </c>
      <c r="AB24">
        <f>Z24-AA24*'3、总属性战斗节奏拟合'!H24</f>
        <v>1188.0731739130438</v>
      </c>
      <c r="AC24" s="145">
        <f>(V24/(1-L24/(L24+116666))-V24)*各种公式!$C$13</f>
        <v>77.736965950364393</v>
      </c>
      <c r="AD24" s="145">
        <f t="shared" si="3"/>
        <v>790.92391304347836</v>
      </c>
      <c r="AE24" s="145">
        <f>Y24*N24/各种公式!$J$5*各种公式!$M$5</f>
        <v>79.092391304347828</v>
      </c>
      <c r="AF24" s="130">
        <f t="shared" si="4"/>
        <v>79.092391304347828</v>
      </c>
      <c r="AG24" s="130">
        <f t="shared" si="5"/>
        <v>453.46304347826094</v>
      </c>
      <c r="AH24" s="130">
        <f t="shared" si="6"/>
        <v>94.910869565217411</v>
      </c>
      <c r="AI24" s="130">
        <f t="shared" si="7"/>
        <v>63.273913043478267</v>
      </c>
    </row>
    <row r="25" spans="2:35" x14ac:dyDescent="0.15">
      <c r="B25" s="1">
        <v>21</v>
      </c>
      <c r="C25" s="1">
        <f>'3、总属性战斗节奏拟合'!D25*'2、属性成长'!$Q26</f>
        <v>3294.0600000000009</v>
      </c>
      <c r="D25" s="1">
        <f>'3、总属性战斗节奏拟合'!E25*'2、属性成长'!$Q26</f>
        <v>334.80000000000007</v>
      </c>
      <c r="E25" s="1">
        <f>'3、总属性战斗节奏拟合'!F25*'2、属性成长'!$Q26</f>
        <v>148.80000000000004</v>
      </c>
      <c r="F25" s="1">
        <f>$C$5*各种公式!$C$13+D25+E25</f>
        <v>503.42640000000006</v>
      </c>
      <c r="H25">
        <v>21</v>
      </c>
      <c r="I25" s="138">
        <f t="shared" si="2"/>
        <v>167585.95945069948</v>
      </c>
      <c r="J25" s="138">
        <f t="shared" si="0"/>
        <v>17175.240000000002</v>
      </c>
      <c r="K25" s="138">
        <f t="shared" si="1"/>
        <v>7633.4400000000014</v>
      </c>
      <c r="L25">
        <f>'3、总属性战斗节奏拟合'!J25</f>
        <v>13125</v>
      </c>
      <c r="M25">
        <f>'3、总属性战斗节奏拟合'!K25</f>
        <v>13125</v>
      </c>
      <c r="N25">
        <f>'3、总属性战斗节奏拟合'!L25</f>
        <v>13125</v>
      </c>
      <c r="O25" s="31">
        <f>'3、总属性战斗节奏拟合'!N25/各种公式!$J$4</f>
        <v>0.26250000000000001</v>
      </c>
      <c r="P25">
        <f>'3、总属性战斗节奏拟合'!M25</f>
        <v>13125</v>
      </c>
      <c r="Q25" s="31">
        <f>'3、总属性战斗节奏拟合'!O25/各种公式!$J$6*各种公式!$M$6</f>
        <v>7.8750000000000001E-2</v>
      </c>
      <c r="R25" s="31">
        <f>'3、总属性战斗节奏拟合'!P25/各种公式!$J$6*各种公式!$M$6</f>
        <v>7.8750000000000001E-2</v>
      </c>
      <c r="S25" s="31">
        <f>'3、总属性战斗节奏拟合'!Q25/各种公式!$J$8*各种公式!$M$8</f>
        <v>2.6250000000000002E-2</v>
      </c>
      <c r="T25" s="31">
        <f>'3、总属性战斗节奏拟合'!R25/各种公式!$J$9*各种公式!$M$9</f>
        <v>5.2500000000000005E-2</v>
      </c>
      <c r="U25" s="31">
        <f>'3、总属性战斗节奏拟合'!S25/各种公式!$J$10*各种公式!$M$10</f>
        <v>7.8750000000000001E-2</v>
      </c>
      <c r="V25">
        <f>'3、总属性战斗节奏拟合'!D25</f>
        <v>20416.458562500007</v>
      </c>
      <c r="W25">
        <f>'3、总属性战斗节奏拟合'!E25</f>
        <v>2075.0776630434789</v>
      </c>
      <c r="X25">
        <f>'3、总属性战斗节奏拟合'!F25</f>
        <v>922.25673913043511</v>
      </c>
      <c r="Y25">
        <f>'3、总属性战斗节奏拟合'!G25</f>
        <v>1152.8209239130438</v>
      </c>
      <c r="Z25">
        <f>(((L25/$L$104*各种公式!$M$3)+S25+Q25+U25)*V25)</f>
        <v>5037.7611502968757</v>
      </c>
      <c r="AA25">
        <f>(((N25/$N$104*各种公式!$M$3)*Y25*(1+R25)+Y25*R25))+W25*T25-X25*U25</f>
        <v>205.44565787669842</v>
      </c>
      <c r="AB25">
        <f>Z25-AA25*'3、总属性战斗节奏拟合'!H25</f>
        <v>1399.3185493005467</v>
      </c>
      <c r="AC25" s="145">
        <f>(V25/(1-L25/(L25+116666))-V25)*各种公式!$C$13</f>
        <v>91.874588528898755</v>
      </c>
      <c r="AD25" s="145">
        <f t="shared" si="3"/>
        <v>879.02595448369584</v>
      </c>
      <c r="AE25" s="145">
        <f>Y25*N25/各种公式!$J$5*各种公式!$M$5</f>
        <v>90.78464775815219</v>
      </c>
      <c r="AF25" s="130">
        <f t="shared" si="4"/>
        <v>90.784647758152204</v>
      </c>
      <c r="AG25" s="130">
        <f t="shared" si="5"/>
        <v>535.93203726562524</v>
      </c>
      <c r="AH25" s="130">
        <f t="shared" si="6"/>
        <v>108.94157730978264</v>
      </c>
      <c r="AI25" s="130">
        <f t="shared" si="7"/>
        <v>72.627718206521763</v>
      </c>
    </row>
    <row r="26" spans="2:35" x14ac:dyDescent="0.15">
      <c r="B26" s="1">
        <v>22</v>
      </c>
      <c r="C26" s="1">
        <f>'3、总属性战斗节奏拟合'!D26*'2、属性成长'!$Q27</f>
        <v>3498.2400000000007</v>
      </c>
      <c r="D26" s="1">
        <f>'3、总属性战斗节奏拟合'!E26*'2、属性成长'!$Q27</f>
        <v>345.60000000000008</v>
      </c>
      <c r="E26" s="1">
        <f>'3、总属性战斗节奏拟合'!F26*'2、属性成长'!$Q27</f>
        <v>153.60000000000002</v>
      </c>
      <c r="F26" s="1">
        <f>$C$5*各种公式!$C$13+D26+E26</f>
        <v>519.02640000000008</v>
      </c>
      <c r="H26">
        <v>22</v>
      </c>
      <c r="I26" s="138">
        <f t="shared" si="2"/>
        <v>177823.33548888523</v>
      </c>
      <c r="J26" s="138">
        <f t="shared" si="0"/>
        <v>17729.280000000002</v>
      </c>
      <c r="K26" s="138">
        <f t="shared" si="1"/>
        <v>7879.68</v>
      </c>
      <c r="L26">
        <f>'3、总属性战斗节奏拟合'!J26</f>
        <v>13750</v>
      </c>
      <c r="M26">
        <f>'3、总属性战斗节奏拟合'!K26</f>
        <v>13750</v>
      </c>
      <c r="N26">
        <f>'3、总属性战斗节奏拟合'!L26</f>
        <v>13750</v>
      </c>
      <c r="O26" s="31">
        <f>'3、总属性战斗节奏拟合'!N26/各种公式!$J$4</f>
        <v>0.27500000000000002</v>
      </c>
      <c r="P26">
        <f>'3、总属性战斗节奏拟合'!M26</f>
        <v>13750</v>
      </c>
      <c r="Q26" s="31">
        <f>'3、总属性战斗节奏拟合'!O26/各种公式!$J$6*各种公式!$M$6</f>
        <v>8.2500000000000004E-2</v>
      </c>
      <c r="R26" s="31">
        <f>'3、总属性战斗节奏拟合'!P26/各种公式!$J$6*各种公式!$M$6</f>
        <v>8.2500000000000004E-2</v>
      </c>
      <c r="S26" s="31">
        <f>'3、总属性战斗节奏拟合'!Q26/各种公式!$J$8*各种公式!$M$8</f>
        <v>2.7500000000000004E-2</v>
      </c>
      <c r="T26" s="31">
        <f>'3、总属性战斗节奏拟合'!R26/各种公式!$J$9*各种公式!$M$9</f>
        <v>5.5000000000000007E-2</v>
      </c>
      <c r="U26" s="31">
        <f>'3、总属性战斗节奏拟合'!S26/各种公式!$J$10*各种公式!$M$10</f>
        <v>8.2500000000000004E-2</v>
      </c>
      <c r="V26">
        <f>'3、总属性战斗节奏拟合'!D26</f>
        <v>22868.793391304349</v>
      </c>
      <c r="W26">
        <f>'3、总属性战斗节奏拟合'!E26</f>
        <v>2259.266086956522</v>
      </c>
      <c r="X26">
        <f>'3、总属性战斗节奏拟合'!F26</f>
        <v>1004.1182608695653</v>
      </c>
      <c r="Y26">
        <f>'3、总属性战斗节奏拟合'!G26</f>
        <v>1255.1478260869567</v>
      </c>
      <c r="Z26">
        <f>(((L26/$L$104*各种公式!$M$3)+S26+Q26+U26)*V26)</f>
        <v>5911.5830916521745</v>
      </c>
      <c r="AA26">
        <f>(((N26/$N$104*各种公式!$M$3)*Y26*(1+R26)+Y26*R26))+W26*T26-X26*U26</f>
        <v>234.6436103478261</v>
      </c>
      <c r="AB26">
        <f>Z26-AA26*'3、总属性战斗节奏拟合'!H26</f>
        <v>1636.3765111147832</v>
      </c>
      <c r="AC26" s="145">
        <f>(V26/(1-L26/(L26+116666))-V26)*各种公式!$C$13</f>
        <v>107.81064204838927</v>
      </c>
      <c r="AD26" s="145">
        <f t="shared" si="3"/>
        <v>972.73956521739149</v>
      </c>
      <c r="AE26" s="145">
        <f>Y26*N26/各种公式!$J$5*各种公式!$M$5</f>
        <v>103.54969565217394</v>
      </c>
      <c r="AF26" s="130">
        <f t="shared" si="4"/>
        <v>103.54969565217394</v>
      </c>
      <c r="AG26" s="130">
        <f t="shared" si="5"/>
        <v>628.89181826086963</v>
      </c>
      <c r="AH26" s="130">
        <f t="shared" si="6"/>
        <v>124.25963478260873</v>
      </c>
      <c r="AI26" s="130">
        <f t="shared" si="7"/>
        <v>82.839756521739147</v>
      </c>
    </row>
    <row r="27" spans="2:35" x14ac:dyDescent="0.15">
      <c r="B27" s="1">
        <v>23</v>
      </c>
      <c r="C27" s="1">
        <f>'3、总属性战斗节奏拟合'!D27*'2、属性成长'!$Q28</f>
        <v>3708.5400000000013</v>
      </c>
      <c r="D27" s="1">
        <f>'3、总属性战斗节奏拟合'!E27*'2、属性成长'!$Q28</f>
        <v>356.40000000000015</v>
      </c>
      <c r="E27" s="1">
        <f>'3、总属性战斗节奏拟合'!F27*'2、属性成长'!$Q28</f>
        <v>158.40000000000006</v>
      </c>
      <c r="F27" s="1">
        <f>$C$5*各种公式!$C$13+D27+E27</f>
        <v>534.62640000000022</v>
      </c>
      <c r="H27">
        <v>23</v>
      </c>
      <c r="I27" s="138">
        <f t="shared" si="2"/>
        <v>188311.53354048342</v>
      </c>
      <c r="J27" s="138">
        <f t="shared" si="0"/>
        <v>18283.320000000007</v>
      </c>
      <c r="K27" s="138">
        <f t="shared" si="1"/>
        <v>8125.9200000000028</v>
      </c>
      <c r="L27">
        <f>'3、总属性战斗节奏拟合'!J27</f>
        <v>14375</v>
      </c>
      <c r="M27">
        <f>'3、总属性战斗节奏拟合'!K27</f>
        <v>14375</v>
      </c>
      <c r="N27">
        <f>'3、总属性战斗节奏拟合'!L27</f>
        <v>14375</v>
      </c>
      <c r="O27" s="31">
        <f>'3、总属性战斗节奏拟合'!N27/各种公式!$J$4</f>
        <v>0.28749999999999998</v>
      </c>
      <c r="P27">
        <f>'3、总属性战斗节奏拟合'!M27</f>
        <v>14375</v>
      </c>
      <c r="Q27" s="31">
        <f>'3、总属性战斗节奏拟合'!O27/各种公式!$J$6*各种公式!$M$6</f>
        <v>8.6249999999999993E-2</v>
      </c>
      <c r="R27" s="31">
        <f>'3、总属性战斗节奏拟合'!P27/各种公式!$J$6*各种公式!$M$6</f>
        <v>8.6249999999999993E-2</v>
      </c>
      <c r="S27" s="31">
        <f>'3、总属性战斗节奏拟合'!Q27/各种公式!$J$8*各种公式!$M$8</f>
        <v>2.8749999999999998E-2</v>
      </c>
      <c r="T27" s="31">
        <f>'3、总属性战斗节奏拟合'!R27/各种公式!$J$9*各种公式!$M$9</f>
        <v>5.7499999999999996E-2</v>
      </c>
      <c r="U27" s="31">
        <f>'3、总属性战斗节奏拟合'!S27/各种公式!$J$10*各种公式!$M$10</f>
        <v>8.6249999999999993E-2</v>
      </c>
      <c r="V27">
        <f>'3、总属性战斗节奏拟合'!D27</f>
        <v>25977.209001045157</v>
      </c>
      <c r="W27">
        <f>'3、总属性战斗节奏拟合'!E27</f>
        <v>2496.4749707357864</v>
      </c>
      <c r="X27">
        <f>'3、总属性战斗节奏拟合'!F27</f>
        <v>1109.5444314381273</v>
      </c>
      <c r="Y27">
        <f>'3、总属性战斗节奏拟合'!G27</f>
        <v>1386.9305392976592</v>
      </c>
      <c r="Z27">
        <f>(((L27/$L$104*各种公式!$M$3)+S27+Q27+U27)*V27)</f>
        <v>7020.3407325324533</v>
      </c>
      <c r="AA27">
        <f>(((N27/$N$104*各种公式!$M$3)*Y27*(1+R27)+Y27*R27))+W27*T27-X27*U27</f>
        <v>271.42404020372601</v>
      </c>
      <c r="AB27">
        <f>Z27-AA27*'3、总属性战斗节奏拟合'!H27</f>
        <v>1936.5684595166649</v>
      </c>
      <c r="AC27" s="145">
        <f>(V27/(1-L27/(L27+116666))-V27)*各种公式!$C$13</f>
        <v>128.03126168378935</v>
      </c>
      <c r="AD27" s="145">
        <f t="shared" si="3"/>
        <v>1092.2077996969065</v>
      </c>
      <c r="AE27" s="145">
        <f>Y27*N27/各种公式!$J$5*各种公式!$M$5</f>
        <v>119.6227590144231</v>
      </c>
      <c r="AF27" s="130">
        <f t="shared" si="4"/>
        <v>119.6227590144231</v>
      </c>
      <c r="AG27" s="130">
        <f t="shared" si="5"/>
        <v>746.84475878004821</v>
      </c>
      <c r="AH27" s="130">
        <f t="shared" si="6"/>
        <v>143.5473108173077</v>
      </c>
      <c r="AI27" s="130">
        <f t="shared" si="7"/>
        <v>95.698207211538474</v>
      </c>
    </row>
    <row r="28" spans="2:35" x14ac:dyDescent="0.15">
      <c r="B28" s="1">
        <v>24</v>
      </c>
      <c r="C28" s="1">
        <f>'3、总属性战斗节奏拟合'!D28*'2、属性成长'!$Q29</f>
        <v>3924.9600000000014</v>
      </c>
      <c r="D28" s="1">
        <f>'3、总属性战斗节奏拟合'!E28*'2、属性成长'!$Q29</f>
        <v>367.2000000000001</v>
      </c>
      <c r="E28" s="1">
        <f>'3、总属性战斗节奏拟合'!F28*'2、属性成长'!$Q29</f>
        <v>163.20000000000005</v>
      </c>
      <c r="F28" s="1">
        <f>$C$5*各种公式!$C$13+D28+E28</f>
        <v>550.22640000000013</v>
      </c>
      <c r="H28">
        <v>24</v>
      </c>
      <c r="I28" s="138">
        <f t="shared" si="2"/>
        <v>199076.94354989222</v>
      </c>
      <c r="J28" s="138">
        <f t="shared" si="0"/>
        <v>18837.360000000004</v>
      </c>
      <c r="K28" s="138">
        <f t="shared" si="1"/>
        <v>8372.1600000000017</v>
      </c>
      <c r="L28">
        <f>'3、总属性战斗节奏拟合'!J28</f>
        <v>15000</v>
      </c>
      <c r="M28">
        <f>'3、总属性战斗节奏拟合'!K28</f>
        <v>15000</v>
      </c>
      <c r="N28">
        <f>'3、总属性战斗节奏拟合'!L28</f>
        <v>15000</v>
      </c>
      <c r="O28" s="31">
        <f>'3、总属性战斗节奏拟合'!N28/各种公式!$J$4</f>
        <v>0.3</v>
      </c>
      <c r="P28">
        <f>'3、总属性战斗节奏拟合'!M28</f>
        <v>15000</v>
      </c>
      <c r="Q28" s="31">
        <f>'3、总属性战斗节奏拟合'!O28/各种公式!$J$6*各种公式!$M$6</f>
        <v>0.09</v>
      </c>
      <c r="R28" s="31">
        <f>'3、总属性战斗节奏拟合'!P28/各种公式!$J$6*各种公式!$M$6</f>
        <v>0.09</v>
      </c>
      <c r="S28" s="31">
        <f>'3、总属性战斗节奏拟合'!Q28/各种公式!$J$8*各种公式!$M$8</f>
        <v>0.03</v>
      </c>
      <c r="T28" s="31">
        <f>'3、总属性战斗节奏拟合'!R28/各种公式!$J$9*各种公式!$M$9</f>
        <v>0.06</v>
      </c>
      <c r="U28" s="31">
        <f>'3、总属性战斗节奏拟合'!S28/各种公式!$J$10*各种公式!$M$10</f>
        <v>0.09</v>
      </c>
      <c r="V28">
        <f>'3、总属性战斗节奏拟合'!D28</f>
        <v>29327.9727826087</v>
      </c>
      <c r="W28">
        <f>'3、总属性战斗节奏拟合'!E28</f>
        <v>2743.781237458194</v>
      </c>
      <c r="X28">
        <f>'3、总属性战斗节奏拟合'!F28</f>
        <v>1219.4583277591973</v>
      </c>
      <c r="Y28">
        <f>'3、总属性战斗节奏拟合'!G28</f>
        <v>1524.3229096989967</v>
      </c>
      <c r="Z28">
        <f>(((L28/$L$104*各种公式!$M$3)+S28+Q28+U28)*V28)</f>
        <v>8270.4883246956542</v>
      </c>
      <c r="AA28">
        <f>(((N28/$N$104*各种公式!$M$3)*Y28*(1+R28)+Y28*R28))+W28*T28-X28*U28</f>
        <v>311.69354857525082</v>
      </c>
      <c r="AB28">
        <f>Z28-AA28*'3、总属性战斗节奏拟合'!H28</f>
        <v>2273.5044501078282</v>
      </c>
      <c r="AC28" s="145">
        <f>(V28/(1-L28/(L28+116666))-V28)*各种公式!$C$13</f>
        <v>150.83043619876568</v>
      </c>
      <c r="AD28" s="145">
        <f t="shared" si="3"/>
        <v>1219.4583277591973</v>
      </c>
      <c r="AE28" s="145">
        <f>Y28*N28/各种公式!$J$5*各种公式!$M$5</f>
        <v>137.18906187290969</v>
      </c>
      <c r="AF28" s="130">
        <f t="shared" si="4"/>
        <v>137.18906187290969</v>
      </c>
      <c r="AG28" s="130">
        <f t="shared" si="5"/>
        <v>879.83918347826102</v>
      </c>
      <c r="AH28" s="130">
        <f t="shared" si="6"/>
        <v>164.62687424749163</v>
      </c>
      <c r="AI28" s="130">
        <f t="shared" si="7"/>
        <v>109.75124949832775</v>
      </c>
    </row>
    <row r="29" spans="2:35" x14ac:dyDescent="0.15">
      <c r="B29" s="1">
        <v>25</v>
      </c>
      <c r="C29" s="1">
        <f>'3、总属性战斗节奏拟合'!D29*'2、属性成长'!$Q30</f>
        <v>4147.5000000000009</v>
      </c>
      <c r="D29" s="1">
        <f>'3、总属性战斗节奏拟合'!E29*'2、属性成长'!$Q30</f>
        <v>378.00000000000017</v>
      </c>
      <c r="E29" s="1">
        <f>'3、总属性战斗节奏拟合'!F29*'2、属性成长'!$Q30</f>
        <v>168.00000000000006</v>
      </c>
      <c r="F29" s="1">
        <f>$C$5*各种公式!$C$13+D29+E29</f>
        <v>565.82640000000015</v>
      </c>
      <c r="H29">
        <v>25</v>
      </c>
      <c r="I29" s="138">
        <f t="shared" si="2"/>
        <v>210116.94081743428</v>
      </c>
      <c r="J29" s="138">
        <f t="shared" si="0"/>
        <v>19391.400000000009</v>
      </c>
      <c r="K29" s="138">
        <f t="shared" si="1"/>
        <v>8618.4000000000033</v>
      </c>
      <c r="L29">
        <f>'3、总属性战斗节奏拟合'!J29</f>
        <v>15625</v>
      </c>
      <c r="M29">
        <f>'3、总属性战斗节奏拟合'!K29</f>
        <v>15625</v>
      </c>
      <c r="N29">
        <f>'3、总属性战斗节奏拟合'!L29</f>
        <v>15625</v>
      </c>
      <c r="O29" s="31">
        <f>'3、总属性战斗节奏拟合'!N29/各种公式!$J$4</f>
        <v>0.3125</v>
      </c>
      <c r="P29">
        <f>'3、总属性战斗节奏拟合'!M29</f>
        <v>15625</v>
      </c>
      <c r="Q29" s="31">
        <f>'3、总属性战斗节奏拟合'!O29/各种公式!$J$6*各种公式!$M$6</f>
        <v>9.375E-2</v>
      </c>
      <c r="R29" s="31">
        <f>'3、总属性战斗节奏拟合'!P29/各种公式!$J$6*各种公式!$M$6</f>
        <v>9.375E-2</v>
      </c>
      <c r="S29" s="31">
        <f>'3、总属性战斗节奏拟合'!Q29/各种公式!$J$8*各种公式!$M$8</f>
        <v>3.125E-2</v>
      </c>
      <c r="T29" s="31">
        <f>'3、总属性战斗节奏拟合'!R29/各种公式!$J$9*各种公式!$M$9</f>
        <v>6.25E-2</v>
      </c>
      <c r="U29" s="31">
        <f>'3、总属性战斗节奏拟合'!S29/各种公式!$J$10*各种公式!$M$10</f>
        <v>9.375E-2</v>
      </c>
      <c r="V29">
        <f>'3、总属性战斗节奏拟合'!D29</f>
        <v>32929.667511496664</v>
      </c>
      <c r="W29">
        <f>'3、总属性战斗节奏拟合'!E29</f>
        <v>3001.1848871237471</v>
      </c>
      <c r="X29">
        <f>'3、总属性战斗节奏拟合'!F29</f>
        <v>1333.8599498327765</v>
      </c>
      <c r="Y29">
        <f>'3、总属性战斗节奏拟合'!G29</f>
        <v>1667.3249372909704</v>
      </c>
      <c r="Z29">
        <f>(((L29/$L$104*各种公式!$M$3)+S29+Q29+U29)*V29)</f>
        <v>9673.0898315021459</v>
      </c>
      <c r="AA29">
        <f>(((N29/$N$104*各种公式!$M$3)*Y29*(1+R29)+Y29*R29))+W29*T29-X29*U29</f>
        <v>355.60914678158986</v>
      </c>
      <c r="AB29">
        <f>Z29-AA29*'3、总属性战斗节奏拟合'!H29</f>
        <v>2649.8091825657466</v>
      </c>
      <c r="AC29" s="145">
        <f>(V29/(1-L29/(L29+116666))-V29)*各种公式!$C$13</f>
        <v>176.40994115411013</v>
      </c>
      <c r="AD29" s="145">
        <f t="shared" si="3"/>
        <v>1354.7015115489135</v>
      </c>
      <c r="AE29" s="145">
        <f>Y29*N29/各种公式!$J$5*各种公式!$M$5</f>
        <v>156.31171287102848</v>
      </c>
      <c r="AF29" s="130">
        <f t="shared" si="4"/>
        <v>156.31171287102848</v>
      </c>
      <c r="AG29" s="130">
        <f t="shared" si="5"/>
        <v>1029.0521097342707</v>
      </c>
      <c r="AH29" s="130">
        <f t="shared" si="6"/>
        <v>187.57405544523419</v>
      </c>
      <c r="AI29" s="130">
        <f t="shared" si="7"/>
        <v>125.04937029682279</v>
      </c>
    </row>
    <row r="30" spans="2:35" x14ac:dyDescent="0.15">
      <c r="B30" s="1">
        <v>26</v>
      </c>
      <c r="C30" s="1">
        <f>'3、总属性战斗节奏拟合'!D30*'2、属性成长'!$Q31</f>
        <v>4376.1600000000008</v>
      </c>
      <c r="D30" s="1">
        <f>'3、总属性战斗节奏拟合'!E30*'2、属性成长'!$Q31</f>
        <v>388.80000000000013</v>
      </c>
      <c r="E30" s="1">
        <f>'3、总属性战斗节奏拟合'!F30*'2、属性成长'!$Q31</f>
        <v>172.80000000000007</v>
      </c>
      <c r="F30" s="1">
        <f>$C$5*各种公式!$C$13+D30+E30</f>
        <v>581.42640000000017</v>
      </c>
      <c r="H30">
        <v>26</v>
      </c>
      <c r="I30" s="138">
        <f t="shared" si="2"/>
        <v>221389.90491364009</v>
      </c>
      <c r="J30" s="138">
        <f t="shared" si="0"/>
        <v>19945.440000000006</v>
      </c>
      <c r="K30" s="138">
        <f t="shared" si="1"/>
        <v>8864.6400000000031</v>
      </c>
      <c r="L30">
        <f>'3、总属性战斗节奏拟合'!J30</f>
        <v>16250</v>
      </c>
      <c r="M30">
        <f>'3、总属性战斗节奏拟合'!K30</f>
        <v>16250</v>
      </c>
      <c r="N30">
        <f>'3、总属性战斗节奏拟合'!L30</f>
        <v>16250</v>
      </c>
      <c r="O30" s="31">
        <f>'3、总属性战斗节奏拟合'!N30/各种公式!$J$4</f>
        <v>0.32500000000000001</v>
      </c>
      <c r="P30">
        <f>'3、总属性战斗节奏拟合'!M30</f>
        <v>16250</v>
      </c>
      <c r="Q30" s="31">
        <f>'3、总属性战斗节奏拟合'!O30/各种公式!$J$6*各种公式!$M$6</f>
        <v>9.7500000000000003E-2</v>
      </c>
      <c r="R30" s="31">
        <f>'3、总属性战斗节奏拟合'!P30/各种公式!$J$6*各种公式!$M$6</f>
        <v>9.7500000000000003E-2</v>
      </c>
      <c r="S30" s="31">
        <f>'3、总属性战斗节奏拟合'!Q30/各种公式!$J$8*各种公式!$M$8</f>
        <v>3.2500000000000001E-2</v>
      </c>
      <c r="T30" s="31">
        <f>'3、总属性战斗节奏拟合'!R30/各种公式!$J$9*各种公式!$M$9</f>
        <v>6.5000000000000002E-2</v>
      </c>
      <c r="U30" s="31">
        <f>'3、总属性战斗节奏拟合'!S30/各种公式!$J$10*各种公式!$M$10</f>
        <v>9.7500000000000003E-2</v>
      </c>
      <c r="V30">
        <f>'3、总属性战斗节奏拟合'!D30</f>
        <v>37257.666363210708</v>
      </c>
      <c r="W30">
        <f>'3、总属性战斗节奏拟合'!E30</f>
        <v>3310.1579197324422</v>
      </c>
      <c r="X30">
        <f>'3、总属性战斗节奏拟合'!F30</f>
        <v>1471.1812976588633</v>
      </c>
      <c r="Y30">
        <f>'3、总属性战斗节奏拟合'!G30</f>
        <v>1838.9766220735789</v>
      </c>
      <c r="Z30">
        <f>(((L30/$L$104*各种公式!$M$3)+S30+Q30+U30)*V30)</f>
        <v>11382.217073960872</v>
      </c>
      <c r="AA30">
        <f>(((N30/$N$104*各种公式!$M$3)*Y30*(1+R30)+Y30*R30))+W30*T30-X30*U30</f>
        <v>408.44590264565227</v>
      </c>
      <c r="AB30">
        <f>Z30-AA30*'3、总属性战斗节奏拟合'!H30</f>
        <v>3107.1030863599572</v>
      </c>
      <c r="AC30" s="145">
        <f>(V30/(1-L30/(L30+116666))-V30)*各种公式!$C$13</f>
        <v>207.5796130499628</v>
      </c>
      <c r="AD30" s="145">
        <f t="shared" si="3"/>
        <v>1517.1557132107025</v>
      </c>
      <c r="AE30" s="145">
        <f>Y30*N30/各种公式!$J$5*各种公式!$M$5</f>
        <v>179.30022065217395</v>
      </c>
      <c r="AF30" s="130">
        <f t="shared" si="4"/>
        <v>179.30022065217395</v>
      </c>
      <c r="AG30" s="130">
        <f t="shared" si="5"/>
        <v>1210.8741568043481</v>
      </c>
      <c r="AH30" s="130">
        <f t="shared" si="6"/>
        <v>215.16026478260875</v>
      </c>
      <c r="AI30" s="130">
        <f t="shared" si="7"/>
        <v>143.44017652173918</v>
      </c>
    </row>
    <row r="31" spans="2:35" x14ac:dyDescent="0.15">
      <c r="B31" s="1">
        <v>27</v>
      </c>
      <c r="C31" s="1">
        <f>'3、总属性战斗节奏拟合'!D31*'2、属性成长'!$Q32</f>
        <v>4610.9400000000014</v>
      </c>
      <c r="D31" s="1">
        <f>'3、总属性战斗节奏拟合'!E31*'2、属性成长'!$Q32</f>
        <v>399.60000000000008</v>
      </c>
      <c r="E31" s="1">
        <f>'3、总属性战斗节奏拟合'!F31*'2、属性成长'!$Q32</f>
        <v>177.60000000000005</v>
      </c>
      <c r="F31" s="1">
        <f>$C$5*各种公式!$C$13+D31+E31</f>
        <v>597.02640000000008</v>
      </c>
      <c r="H31">
        <v>27</v>
      </c>
      <c r="I31" s="138">
        <f t="shared" si="2"/>
        <v>232924.97228763651</v>
      </c>
      <c r="J31" s="138">
        <f t="shared" si="0"/>
        <v>20499.480000000003</v>
      </c>
      <c r="K31" s="138">
        <f t="shared" si="1"/>
        <v>9110.8800000000028</v>
      </c>
      <c r="L31">
        <f>'3、总属性战斗节奏拟合'!J31</f>
        <v>16875</v>
      </c>
      <c r="M31">
        <f>'3、总属性战斗节奏拟合'!K31</f>
        <v>16875</v>
      </c>
      <c r="N31">
        <f>'3、总属性战斗节奏拟合'!L31</f>
        <v>16875</v>
      </c>
      <c r="O31" s="31">
        <f>'3、总属性战斗节奏拟合'!N31/各种公式!$J$4</f>
        <v>0.33750000000000002</v>
      </c>
      <c r="P31">
        <f>'3、总属性战斗节奏拟合'!M31</f>
        <v>16875</v>
      </c>
      <c r="Q31" s="31">
        <f>'3、总属性战斗节奏拟合'!O31/各种公式!$J$6*各种公式!$M$6</f>
        <v>0.10125000000000001</v>
      </c>
      <c r="R31" s="31">
        <f>'3、总属性战斗节奏拟合'!P31/各种公式!$J$6*各种公式!$M$6</f>
        <v>0.10125000000000001</v>
      </c>
      <c r="S31" s="31">
        <f>'3、总属性战斗节奏拟合'!Q31/各种公式!$J$8*各种公式!$M$8</f>
        <v>3.3750000000000002E-2</v>
      </c>
      <c r="T31" s="31">
        <f>'3、总属性战斗节奏拟合'!R31/各种公式!$J$9*各种公式!$M$9</f>
        <v>6.7500000000000004E-2</v>
      </c>
      <c r="U31" s="31">
        <f>'3、总属性战斗节奏拟合'!S31/各种公式!$J$10*各种公式!$M$10</f>
        <v>0.10125000000000001</v>
      </c>
      <c r="V31">
        <f>'3、总属性战斗节奏拟合'!D31</f>
        <v>41903.848113252519</v>
      </c>
      <c r="W31">
        <f>'3、总属性战斗节奏拟合'!E31</f>
        <v>3631.5323352842815</v>
      </c>
      <c r="X31">
        <f>'3、总属性战斗节奏拟合'!F31</f>
        <v>1614.0143712374586</v>
      </c>
      <c r="Y31">
        <f>'3、总属性战斗节奏拟合'!G31</f>
        <v>2017.5179640468232</v>
      </c>
      <c r="Z31">
        <f>(((L31/$L$104*各种公式!$M$3)+S31+Q31+U31)*V31)</f>
        <v>13293.995813929363</v>
      </c>
      <c r="AA31">
        <f>(((N31/$N$104*各种公式!$M$3)*Y31*(1+R31)+Y31*R31))+W31*T31-X31*U31</f>
        <v>465.94829569406886</v>
      </c>
      <c r="AB31">
        <f>Z31-AA31*'3、总属性战斗节奏拟合'!H31</f>
        <v>3616.249712363553</v>
      </c>
      <c r="AC31" s="145">
        <f>(V31/(1-L31/(L31+116666))-V31)*各种公式!$C$13</f>
        <v>242.44507805569273</v>
      </c>
      <c r="AD31" s="145">
        <f t="shared" si="3"/>
        <v>1689.6712948892146</v>
      </c>
      <c r="AE31" s="145">
        <f>Y31*N31/各种公式!$J$5*各种公式!$M$5</f>
        <v>204.27369385974086</v>
      </c>
      <c r="AF31" s="130">
        <f t="shared" si="4"/>
        <v>204.27369385974086</v>
      </c>
      <c r="AG31" s="130">
        <f t="shared" si="5"/>
        <v>1414.2548738222727</v>
      </c>
      <c r="AH31" s="130">
        <f t="shared" si="6"/>
        <v>245.12843263168901</v>
      </c>
      <c r="AI31" s="130">
        <f t="shared" si="7"/>
        <v>163.41895508779268</v>
      </c>
    </row>
    <row r="32" spans="2:35" x14ac:dyDescent="0.15">
      <c r="B32" s="1">
        <v>28</v>
      </c>
      <c r="C32" s="1">
        <f>'3、总属性战斗节奏拟合'!D32*'2、属性成长'!$Q33</f>
        <v>4851.840000000002</v>
      </c>
      <c r="D32" s="1">
        <f>'3、总属性战斗节奏拟合'!E32*'2、属性成长'!$Q33</f>
        <v>410.40000000000015</v>
      </c>
      <c r="E32" s="1">
        <f>'3、总属性战斗节奏拟合'!F32*'2、属性成长'!$Q33</f>
        <v>182.40000000000006</v>
      </c>
      <c r="F32" s="1">
        <f>$C$5*各种公式!$C$13+D32+E32</f>
        <v>612.62640000000022</v>
      </c>
      <c r="H32">
        <v>28</v>
      </c>
      <c r="I32" s="138">
        <f t="shared" si="2"/>
        <v>244718.74472388739</v>
      </c>
      <c r="J32" s="138">
        <f t="shared" si="0"/>
        <v>21053.520000000008</v>
      </c>
      <c r="K32" s="138">
        <f t="shared" si="1"/>
        <v>9357.1200000000026</v>
      </c>
      <c r="L32">
        <f>'3、总属性战斗节奏拟合'!J32</f>
        <v>17500</v>
      </c>
      <c r="M32">
        <f>'3、总属性战斗节奏拟合'!K32</f>
        <v>17500</v>
      </c>
      <c r="N32">
        <f>'3、总属性战斗节奏拟合'!L32</f>
        <v>17500</v>
      </c>
      <c r="O32" s="31">
        <f>'3、总属性战斗节奏拟合'!N32/各种公式!$J$4</f>
        <v>0.35</v>
      </c>
      <c r="P32">
        <f>'3、总属性战斗节奏拟合'!M32</f>
        <v>17500</v>
      </c>
      <c r="Q32" s="31">
        <f>'3、总属性战斗节奏拟合'!O32/各种公式!$J$6*各种公式!$M$6</f>
        <v>0.105</v>
      </c>
      <c r="R32" s="31">
        <f>'3、总属性战斗节奏拟合'!P32/各种公式!$J$6*各种公式!$M$6</f>
        <v>0.105</v>
      </c>
      <c r="S32" s="31">
        <f>'3、总属性战斗节奏拟合'!Q32/各种公式!$J$8*各种公式!$M$8</f>
        <v>3.4999999999999996E-2</v>
      </c>
      <c r="T32" s="31">
        <f>'3、总属性战斗节奏拟合'!R32/各种公式!$J$9*各种公式!$M$9</f>
        <v>6.9999999999999993E-2</v>
      </c>
      <c r="U32" s="31">
        <f>'3、总属性战斗节奏拟合'!S32/各种公式!$J$10*各种公式!$M$10</f>
        <v>0.105</v>
      </c>
      <c r="V32">
        <f>'3、总属性战斗节奏拟合'!D32</f>
        <v>46878.753937123758</v>
      </c>
      <c r="W32">
        <f>'3、总属性战斗节奏拟合'!E32</f>
        <v>3965.3081337792655</v>
      </c>
      <c r="X32">
        <f>'3、总属性战斗节奏拟合'!F32</f>
        <v>1762.3591705685624</v>
      </c>
      <c r="Y32">
        <f>'3、总属性战斗节奏拟合'!G32</f>
        <v>2202.9489632107029</v>
      </c>
      <c r="Z32">
        <f>(((L32/$L$104*各种公式!$M$3)+S32+Q32+U32)*V32)</f>
        <v>15423.110045313715</v>
      </c>
      <c r="AA32">
        <f>(((N32/$N$104*各种公式!$M$3)*Y32*(1+R32)+Y32*R32))+W32*T32-X32*U32</f>
        <v>528.31122035719079</v>
      </c>
      <c r="AB32">
        <f>Z32-AA32*'3、总属性战斗节奏拟合'!H32</f>
        <v>4180.6472761126952</v>
      </c>
      <c r="AC32" s="145">
        <f>(V32/(1-L32/(L32+116666))-V32)*各种公式!$C$13</f>
        <v>281.27413090349057</v>
      </c>
      <c r="AD32" s="145">
        <f t="shared" si="3"/>
        <v>1872.5066187290975</v>
      </c>
      <c r="AE32" s="145">
        <f>Y32*N32/各种公式!$J$5*各种公式!$M$5</f>
        <v>231.30964113712378</v>
      </c>
      <c r="AF32" s="130">
        <f t="shared" si="4"/>
        <v>231.3096411371238</v>
      </c>
      <c r="AG32" s="130">
        <f t="shared" si="5"/>
        <v>1640.7563877993314</v>
      </c>
      <c r="AH32" s="130">
        <f t="shared" si="6"/>
        <v>277.57156936454857</v>
      </c>
      <c r="AI32" s="130">
        <f t="shared" si="7"/>
        <v>185.04771290969904</v>
      </c>
    </row>
    <row r="33" spans="2:35" x14ac:dyDescent="0.15">
      <c r="B33" s="1">
        <v>29</v>
      </c>
      <c r="C33" s="1">
        <f>'3、总属性战斗节奏拟合'!D33*'2、属性成长'!$Q34</f>
        <v>5098.8600000000015</v>
      </c>
      <c r="D33" s="1">
        <f>'3、总属性战斗节奏拟合'!E33*'2、属性成长'!$Q34</f>
        <v>421.2000000000001</v>
      </c>
      <c r="E33" s="1">
        <f>'3、总属性战斗节奏拟合'!F33*'2、属性成长'!$Q34</f>
        <v>187.20000000000007</v>
      </c>
      <c r="F33" s="1">
        <f>$C$5*各种公式!$C$13+D33+E33</f>
        <v>628.22640000000013</v>
      </c>
      <c r="H33">
        <v>29</v>
      </c>
      <c r="I33" s="138">
        <f t="shared" si="2"/>
        <v>256767.74642320591</v>
      </c>
      <c r="J33" s="138">
        <f t="shared" si="0"/>
        <v>21607.560000000005</v>
      </c>
      <c r="K33" s="138">
        <f t="shared" si="1"/>
        <v>9603.3600000000024</v>
      </c>
      <c r="L33">
        <f>'3、总属性战斗节奏拟合'!J33</f>
        <v>18125</v>
      </c>
      <c r="M33">
        <f>'3、总属性战斗节奏拟合'!K33</f>
        <v>18125</v>
      </c>
      <c r="N33">
        <f>'3、总属性战斗节奏拟合'!L33</f>
        <v>18125</v>
      </c>
      <c r="O33" s="31">
        <f>'3、总属性战斗节奏拟合'!N33/各种公式!$J$4</f>
        <v>0.36249999999999999</v>
      </c>
      <c r="P33">
        <f>'3、总属性战斗节奏拟合'!M33</f>
        <v>18125</v>
      </c>
      <c r="Q33" s="31">
        <f>'3、总属性战斗节奏拟合'!O33/各种公式!$J$6*各种公式!$M$6</f>
        <v>0.10875</v>
      </c>
      <c r="R33" s="31">
        <f>'3、总属性战斗节奏拟合'!P33/各种公式!$J$6*各种公式!$M$6</f>
        <v>0.10875</v>
      </c>
      <c r="S33" s="31">
        <f>'3、总属性战斗节奏拟合'!Q33/各种公式!$J$8*各种公式!$M$8</f>
        <v>3.6249999999999998E-2</v>
      </c>
      <c r="T33" s="31">
        <f>'3、总属性战斗节奏拟合'!R33/各种公式!$J$9*各种公式!$M$9</f>
        <v>7.2499999999999995E-2</v>
      </c>
      <c r="U33" s="31">
        <f>'3、总属性战斗节奏拟合'!S33/各种公式!$J$10*各种公式!$M$10</f>
        <v>0.10875</v>
      </c>
      <c r="V33">
        <f>'3、总属性战斗节奏拟合'!D33</f>
        <v>52192.925010326107</v>
      </c>
      <c r="W33">
        <f>'3、总属性战斗节奏拟合'!E33</f>
        <v>4311.4853152173928</v>
      </c>
      <c r="X33">
        <f>'3、总属性战斗节奏拟合'!F33</f>
        <v>1916.2156956521749</v>
      </c>
      <c r="Y33">
        <f>'3、总属性战斗节奏拟合'!G33</f>
        <v>2395.2696195652184</v>
      </c>
      <c r="Z33">
        <f>(((L33/$L$104*各种公式!$M$3)+S33+Q33+U33)*V33)</f>
        <v>17784.73919726862</v>
      </c>
      <c r="AA33">
        <f>(((N33/$N$104*各种公式!$M$3)*Y33*(1+R33)+Y33*R33))+W33*T33-X33*U33</f>
        <v>595.73050116908985</v>
      </c>
      <c r="AB33">
        <f>Z33-AA33*'3、总属性战斗节奏拟合'!H33</f>
        <v>4803.7715767941536</v>
      </c>
      <c r="AC33" s="145">
        <f>(V33/(1-L33/(L33+116666))-V33)*各种公式!$C$13</f>
        <v>324.34360167046458</v>
      </c>
      <c r="AD33" s="145">
        <f t="shared" si="3"/>
        <v>2065.9200468750009</v>
      </c>
      <c r="AE33" s="145">
        <f>Y33*N33/各种公式!$J$5*各种公式!$M$5</f>
        <v>260.48557112771749</v>
      </c>
      <c r="AF33" s="130">
        <f t="shared" si="4"/>
        <v>260.48557112771749</v>
      </c>
      <c r="AG33" s="130">
        <f t="shared" si="5"/>
        <v>1891.9935316243213</v>
      </c>
      <c r="AH33" s="130">
        <f t="shared" si="6"/>
        <v>312.58268535326096</v>
      </c>
      <c r="AI33" s="130">
        <f t="shared" si="7"/>
        <v>208.38845690217403</v>
      </c>
    </row>
    <row r="34" spans="2:35" x14ac:dyDescent="0.15">
      <c r="B34" s="1">
        <v>30</v>
      </c>
      <c r="C34" s="1">
        <f>'3、总属性战斗节奏拟合'!D34*'2、属性成长'!$Q35</f>
        <v>5418.9000000000015</v>
      </c>
      <c r="D34" s="1">
        <f>'3、总属性战斗节奏拟合'!E34*'2、属性成长'!$Q35</f>
        <v>437.4000000000002</v>
      </c>
      <c r="E34" s="1">
        <f>'3、总属性战斗节奏拟合'!F34*'2、属性成长'!$Q35</f>
        <v>194.40000000000006</v>
      </c>
      <c r="F34" s="1">
        <f>$C$5*各种公式!$C$13+D34+E34</f>
        <v>651.62640000000022</v>
      </c>
      <c r="H34">
        <v>30</v>
      </c>
      <c r="I34" s="138">
        <f t="shared" si="2"/>
        <v>272431.78170420078</v>
      </c>
      <c r="J34" s="138">
        <f t="shared" si="0"/>
        <v>22438.62000000001</v>
      </c>
      <c r="K34" s="138">
        <f t="shared" si="1"/>
        <v>9972.720000000003</v>
      </c>
      <c r="L34">
        <f>'3、总属性战斗节奏拟合'!J34</f>
        <v>18750</v>
      </c>
      <c r="M34">
        <f>'3、总属性战斗节奏拟合'!K34</f>
        <v>18750</v>
      </c>
      <c r="N34">
        <f>'3、总属性战斗节奏拟合'!L34</f>
        <v>18750</v>
      </c>
      <c r="O34" s="31">
        <f>'3、总属性战斗节奏拟合'!N34/各种公式!$J$4</f>
        <v>0.375</v>
      </c>
      <c r="P34">
        <f>'3、总属性战斗节奏拟合'!M34</f>
        <v>18750</v>
      </c>
      <c r="Q34" s="31">
        <f>'3、总属性战斗节奏拟合'!O34/各种公式!$J$6*各种公式!$M$6</f>
        <v>0.11249999999999999</v>
      </c>
      <c r="R34" s="31">
        <f>'3、总属性战斗节奏拟合'!P34/各种公式!$J$6*各种公式!$M$6</f>
        <v>0.11249999999999999</v>
      </c>
      <c r="S34" s="31">
        <f>'3、总属性战斗节奏拟合'!Q34/各种公式!$J$8*各种公式!$M$8</f>
        <v>3.7500000000000006E-2</v>
      </c>
      <c r="T34" s="31">
        <f>'3、总属性战斗节奏拟合'!R34/各种公式!$J$9*各种公式!$M$9</f>
        <v>7.5000000000000011E-2</v>
      </c>
      <c r="U34" s="31">
        <f>'3、总属性战斗节奏拟合'!S34/各种公式!$J$10*各种公式!$M$10</f>
        <v>0.11249999999999999</v>
      </c>
      <c r="V34">
        <f>'3、总属性战斗节奏拟合'!D34</f>
        <v>58580.113789715739</v>
      </c>
      <c r="W34">
        <f>'3、总属性战斗节奏拟合'!E34</f>
        <v>4728.4396780936477</v>
      </c>
      <c r="X34">
        <f>'3、总属性战斗节奏拟合'!F34</f>
        <v>2101.5287458193989</v>
      </c>
      <c r="Y34">
        <f>'3、总属性战斗节奏拟合'!G34</f>
        <v>2626.9109322742484</v>
      </c>
      <c r="Z34">
        <f>(((L34/$L$104*各种公式!$M$3)+S34+Q34+U34)*V34)</f>
        <v>20649.490110874798</v>
      </c>
      <c r="AA34">
        <f>(((N34/$N$104*各种公式!$M$3)*Y34*(1+R34)+Y34*R34))+W34*T34-X34*U34</f>
        <v>676.75792892715344</v>
      </c>
      <c r="AB34">
        <f>Z34-AA34*'3、总属性战斗节奏拟合'!H34</f>
        <v>5557.7882957992751</v>
      </c>
      <c r="AC34" s="145">
        <f>(V34/(1-L34/(L34+116666))-V34)*各种公式!$C$13</f>
        <v>376.58859772587397</v>
      </c>
      <c r="AD34" s="145">
        <f t="shared" si="3"/>
        <v>2298.5470657399674</v>
      </c>
      <c r="AE34" s="145">
        <f>Y34*N34/各种公式!$J$5*各种公式!$M$5</f>
        <v>295.52747988085292</v>
      </c>
      <c r="AF34" s="130">
        <f t="shared" si="4"/>
        <v>295.52747988085292</v>
      </c>
      <c r="AG34" s="130">
        <f t="shared" si="5"/>
        <v>2196.7542671143406</v>
      </c>
      <c r="AH34" s="130">
        <f t="shared" si="6"/>
        <v>354.63297585702361</v>
      </c>
      <c r="AI34" s="130">
        <f t="shared" si="7"/>
        <v>236.42198390468235</v>
      </c>
    </row>
    <row r="35" spans="2:35" x14ac:dyDescent="0.15">
      <c r="B35" s="1">
        <v>31</v>
      </c>
      <c r="C35" s="1">
        <f>'3、总属性战斗节奏拟合'!D35*'2、属性成长'!$Q36</f>
        <v>5748.1200000000017</v>
      </c>
      <c r="D35" s="1">
        <f>'3、总属性战斗节奏拟合'!E35*'2、属性成长'!$Q36</f>
        <v>453.60000000000008</v>
      </c>
      <c r="E35" s="1">
        <f>'3、总属性战斗节奏拟合'!F35*'2、属性成长'!$Q36</f>
        <v>201.60000000000002</v>
      </c>
      <c r="F35" s="1">
        <f>$C$5*各种公式!$C$13+D35+E35</f>
        <v>675.02640000000008</v>
      </c>
      <c r="H35">
        <v>31</v>
      </c>
      <c r="I35" s="138">
        <f t="shared" si="2"/>
        <v>288485.87196386803</v>
      </c>
      <c r="J35" s="138">
        <f t="shared" si="0"/>
        <v>23269.680000000004</v>
      </c>
      <c r="K35" s="138">
        <f t="shared" si="1"/>
        <v>10342.08</v>
      </c>
      <c r="L35">
        <f>'3、总属性战斗节奏拟合'!J35</f>
        <v>19375</v>
      </c>
      <c r="M35">
        <f>'3、总属性战斗节奏拟合'!K35</f>
        <v>19375</v>
      </c>
      <c r="N35">
        <f>'3、总属性战斗节奏拟合'!L35</f>
        <v>19375</v>
      </c>
      <c r="O35" s="31">
        <f>'3、总属性战斗节奏拟合'!N35/各种公式!$J$4</f>
        <v>0.38750000000000001</v>
      </c>
      <c r="P35">
        <f>'3、总属性战斗节奏拟合'!M35</f>
        <v>19375</v>
      </c>
      <c r="Q35" s="31">
        <f>'3、总属性战斗节奏拟合'!O35/各种公式!$J$6*各种公式!$M$6</f>
        <v>0.11624999999999999</v>
      </c>
      <c r="R35" s="31">
        <f>'3、总属性战斗节奏拟合'!P35/各种公式!$J$6*各种公式!$M$6</f>
        <v>0.11624999999999999</v>
      </c>
      <c r="S35" s="31">
        <f>'3、总属性战斗节奏拟合'!Q35/各种公式!$J$8*各种公式!$M$8</f>
        <v>3.8750000000000007E-2</v>
      </c>
      <c r="T35" s="31">
        <f>'3、总属性战斗节奏拟合'!R35/各种公式!$J$9*各种公式!$M$9</f>
        <v>7.7500000000000013E-2</v>
      </c>
      <c r="U35" s="31">
        <f>'3、总属性战斗节奏拟合'!S35/各种公式!$J$10*各种公式!$M$10</f>
        <v>0.11624999999999999</v>
      </c>
      <c r="V35">
        <f>'3、总属性战斗节奏拟合'!D35</f>
        <v>65439.306328846171</v>
      </c>
      <c r="W35">
        <f>'3、总属性战斗节奏拟合'!E35</f>
        <v>5163.9961153846161</v>
      </c>
      <c r="X35">
        <f>'3、总属性战斗节奏拟合'!F35</f>
        <v>2295.1093846153849</v>
      </c>
      <c r="Y35">
        <f>'3、总属性战斗节奏拟合'!G35</f>
        <v>2868.8867307692312</v>
      </c>
      <c r="Z35">
        <f>(((L35/$L$104*各种公式!$M$3)+S35+Q35+U35)*V35)</f>
        <v>23836.267330282215</v>
      </c>
      <c r="AA35">
        <f>(((N35/$N$104*各种公式!$M$3)*Y35*(1+R35)+Y35*R35))+W35*T35-X35*U35</f>
        <v>764.73403306225975</v>
      </c>
      <c r="AB35">
        <f>Z35-AA35*'3、总属性战斗节奏拟合'!H35</f>
        <v>6392.6840361320683</v>
      </c>
      <c r="AC35" s="145">
        <f>(V35/(1-L35/(L35+116666))-V35)*各种公式!$C$13</f>
        <v>434.70644750703536</v>
      </c>
      <c r="AD35" s="145">
        <f t="shared" si="3"/>
        <v>2546.1369735576927</v>
      </c>
      <c r="AE35" s="145">
        <f>Y35*N35/各种公式!$J$5*各种公式!$M$5</f>
        <v>333.50808245192314</v>
      </c>
      <c r="AF35" s="130">
        <f t="shared" si="4"/>
        <v>333.50808245192309</v>
      </c>
      <c r="AG35" s="130">
        <f t="shared" si="5"/>
        <v>2535.7731202427894</v>
      </c>
      <c r="AH35" s="130">
        <f t="shared" si="6"/>
        <v>400.2096989423078</v>
      </c>
      <c r="AI35" s="130">
        <f t="shared" si="7"/>
        <v>266.80646596153849</v>
      </c>
    </row>
    <row r="36" spans="2:35" x14ac:dyDescent="0.15">
      <c r="B36" s="1">
        <v>32</v>
      </c>
      <c r="C36" s="1">
        <f>'3、总属性战斗节奏拟合'!D36*'2、属性成长'!$Q37</f>
        <v>6086.5200000000023</v>
      </c>
      <c r="D36" s="1">
        <f>'3、总属性战斗节奏拟合'!E36*'2、属性成长'!$Q37</f>
        <v>469.80000000000024</v>
      </c>
      <c r="E36" s="1">
        <f>'3、总属性战斗节奏拟合'!F36*'2、属性成长'!$Q37</f>
        <v>208.80000000000013</v>
      </c>
      <c r="F36" s="1">
        <f>$C$5*各种公式!$C$13+D36+E36</f>
        <v>698.42640000000029</v>
      </c>
      <c r="H36">
        <v>32</v>
      </c>
      <c r="I36" s="138">
        <f t="shared" si="2"/>
        <v>304922.24811464932</v>
      </c>
      <c r="J36" s="138">
        <f t="shared" si="0"/>
        <v>24100.740000000013</v>
      </c>
      <c r="K36" s="138">
        <f t="shared" si="1"/>
        <v>10711.440000000006</v>
      </c>
      <c r="L36">
        <f>'3、总属性战斗节奏拟合'!J36</f>
        <v>20000</v>
      </c>
      <c r="M36">
        <f>'3、总属性战斗节奏拟合'!K36</f>
        <v>20000</v>
      </c>
      <c r="N36">
        <f>'3、总属性战斗节奏拟合'!L36</f>
        <v>20000</v>
      </c>
      <c r="O36" s="31">
        <f>'3、总属性战斗节奏拟合'!N36/各种公式!$J$4</f>
        <v>0.4</v>
      </c>
      <c r="P36">
        <f>'3、总属性战斗节奏拟合'!M36</f>
        <v>20000</v>
      </c>
      <c r="Q36" s="31">
        <f>'3、总属性战斗节奏拟合'!O36/各种公式!$J$6*各种公式!$M$6</f>
        <v>0.12</v>
      </c>
      <c r="R36" s="31">
        <f>'3、总属性战斗节奏拟合'!P36/各种公式!$J$6*各种公式!$M$6</f>
        <v>0.12</v>
      </c>
      <c r="S36" s="31">
        <f>'3、总属性战斗节奏拟合'!Q36/各种公式!$J$8*各种公式!$M$8</f>
        <v>4.0000000000000008E-2</v>
      </c>
      <c r="T36" s="31">
        <f>'3、总属性战斗节奏拟合'!R36/各种公式!$J$9*各种公式!$M$9</f>
        <v>8.0000000000000016E-2</v>
      </c>
      <c r="U36" s="31">
        <f>'3、总属性战斗节奏拟合'!S36/各种公式!$J$10*各种公式!$M$10</f>
        <v>0.12</v>
      </c>
      <c r="V36">
        <f>'3、总属性战斗节奏拟合'!D36</f>
        <v>72812.7775214047</v>
      </c>
      <c r="W36">
        <f>'3、总属性战斗节奏拟合'!E36</f>
        <v>5620.1972357859549</v>
      </c>
      <c r="X36">
        <f>'3、总属性战斗节奏拟合'!F36</f>
        <v>2497.8654381270912</v>
      </c>
      <c r="Y36">
        <f>'3、总属性战斗节奏拟合'!G36</f>
        <v>3122.3317976588637</v>
      </c>
      <c r="Z36">
        <f>(((L36/$L$104*各种公式!$M$3)+S36+Q36+U36)*V36)</f>
        <v>27377.604348048168</v>
      </c>
      <c r="AA36">
        <f>(((N36/$N$104*各种公式!$M$3)*Y36*(1+R36)+Y36*R36))+W36*T36-X36*U36</f>
        <v>860.26485689097035</v>
      </c>
      <c r="AB36">
        <f>Z36-AA36*'3、总属性战斗节奏拟合'!H36</f>
        <v>7316.2278853507378</v>
      </c>
      <c r="AC36" s="145">
        <f>(V36/(1-L36/(L36+116666))-V36)*各种公式!$C$13</f>
        <v>499.29047037803451</v>
      </c>
      <c r="AD36" s="145">
        <f t="shared" si="3"/>
        <v>2810.0986178929775</v>
      </c>
      <c r="AE36" s="145">
        <f>Y36*N36/各种公式!$J$5*各种公式!$M$5</f>
        <v>374.67981571906358</v>
      </c>
      <c r="AF36" s="130">
        <f t="shared" si="4"/>
        <v>374.67981571906364</v>
      </c>
      <c r="AG36" s="130">
        <f t="shared" si="5"/>
        <v>2912.5111008561885</v>
      </c>
      <c r="AH36" s="130">
        <f t="shared" si="6"/>
        <v>449.61577886287648</v>
      </c>
      <c r="AI36" s="130">
        <f t="shared" si="7"/>
        <v>299.74385257525091</v>
      </c>
    </row>
    <row r="37" spans="2:35" x14ac:dyDescent="0.15">
      <c r="B37" s="1">
        <v>33</v>
      </c>
      <c r="C37" s="1">
        <f>'3、总属性战斗节奏拟合'!D37*'2、属性成长'!$Q38</f>
        <v>6434.1000000000022</v>
      </c>
      <c r="D37" s="1">
        <f>'3、总属性战斗节奏拟合'!E37*'2、属性成长'!$Q38</f>
        <v>486.00000000000017</v>
      </c>
      <c r="E37" s="1">
        <f>'3、总属性战斗节奏拟合'!F37*'2、属性成长'!$Q38</f>
        <v>216.00000000000009</v>
      </c>
      <c r="F37" s="1">
        <f>$C$5*各种公式!$C$13+D37+E37</f>
        <v>721.82640000000026</v>
      </c>
      <c r="H37">
        <v>33</v>
      </c>
      <c r="I37" s="138">
        <f t="shared" si="2"/>
        <v>321737.88910271024</v>
      </c>
      <c r="J37" s="138">
        <f t="shared" ref="J37:J68" si="8">D37*$U$1</f>
        <v>24931.800000000007</v>
      </c>
      <c r="K37" s="138">
        <f t="shared" ref="K37:K68" si="9">E37*$U$1</f>
        <v>11080.800000000003</v>
      </c>
      <c r="L37">
        <f>'3、总属性战斗节奏拟合'!J37</f>
        <v>20625</v>
      </c>
      <c r="M37">
        <f>'3、总属性战斗节奏拟合'!K37</f>
        <v>20625</v>
      </c>
      <c r="N37">
        <f>'3、总属性战斗节奏拟合'!L37</f>
        <v>20625</v>
      </c>
      <c r="O37" s="31">
        <f>'3、总属性战斗节奏拟合'!N37/各种公式!$J$4</f>
        <v>0.41249999999999998</v>
      </c>
      <c r="P37">
        <f>'3、总属性战斗节奏拟合'!M37</f>
        <v>20625</v>
      </c>
      <c r="Q37" s="31">
        <f>'3、总属性战斗节奏拟合'!O37/各种公式!$J$6*各种公式!$M$6</f>
        <v>0.12374999999999999</v>
      </c>
      <c r="R37" s="31">
        <f>'3、总属性战斗节奏拟合'!P37/各种公式!$J$6*各种公式!$M$6</f>
        <v>0.12374999999999999</v>
      </c>
      <c r="S37" s="31">
        <f>'3、总属性战斗节奏拟合'!Q37/各种公式!$J$8*各种公式!$M$8</f>
        <v>4.1250000000000002E-2</v>
      </c>
      <c r="T37" s="31">
        <f>'3、总属性战斗节奏拟合'!R37/各种公式!$J$9*各种公式!$M$9</f>
        <v>8.2500000000000004E-2</v>
      </c>
      <c r="U37" s="31">
        <f>'3、总属性战斗节奏拟合'!S37/各种公式!$J$10*各种公式!$M$10</f>
        <v>0.12374999999999999</v>
      </c>
      <c r="V37">
        <f>'3、总属性战斗节奏拟合'!D37</f>
        <v>80692.898434991686</v>
      </c>
      <c r="W37">
        <f>'3、总属性战斗节奏拟合'!E37</f>
        <v>6095.1413001672272</v>
      </c>
      <c r="X37">
        <f>'3、总属性战斗节奏拟合'!F37</f>
        <v>2708.9516889632123</v>
      </c>
      <c r="Y37">
        <f>'3、总属性战斗节奏拟合'!G37</f>
        <v>3386.1896112040149</v>
      </c>
      <c r="Z37">
        <f>(((L37/$L$104*各种公式!$M$3)+S37+Q37+U37)*V37)</f>
        <v>31288.671368168027</v>
      </c>
      <c r="AA37">
        <f>(((N37/$N$104*各种公式!$M$3)*Y37*(1+R37)+Y37*R37))+W37*T37-X37*U37</f>
        <v>963.37517712455622</v>
      </c>
      <c r="AB37">
        <f>Z37-AA37*'3、总属性战斗节奏拟合'!H37</f>
        <v>8331.4408972898491</v>
      </c>
      <c r="AC37" s="145">
        <f>(V37/(1-L37/(L37+116666))-V37)*各种公式!$C$13</f>
        <v>570.61732817503105</v>
      </c>
      <c r="AD37" s="145">
        <f t="shared" si="3"/>
        <v>3089.8980202236635</v>
      </c>
      <c r="AE37" s="145">
        <f>Y37*N37/各种公式!$J$5*各种公式!$M$5</f>
        <v>419.04096438649685</v>
      </c>
      <c r="AF37" s="130">
        <f t="shared" si="4"/>
        <v>419.0409643864968</v>
      </c>
      <c r="AG37" s="130">
        <f t="shared" si="5"/>
        <v>3328.582060443407</v>
      </c>
      <c r="AH37" s="130">
        <f t="shared" si="6"/>
        <v>502.84915726379626</v>
      </c>
      <c r="AI37" s="130">
        <f t="shared" si="7"/>
        <v>335.23277150919751</v>
      </c>
    </row>
    <row r="38" spans="2:35" x14ac:dyDescent="0.15">
      <c r="B38" s="1">
        <v>34</v>
      </c>
      <c r="C38" s="1">
        <f>'3、总属性战斗节奏拟合'!D38*'2、属性成长'!$Q39</f>
        <v>6790.86</v>
      </c>
      <c r="D38" s="1">
        <f>'3、总属性战斗节奏拟合'!E38*'2、属性成长'!$Q39</f>
        <v>502.20000000000005</v>
      </c>
      <c r="E38" s="1">
        <f>'3、总属性战斗节奏拟合'!F38*'2、属性成长'!$Q39</f>
        <v>223.20000000000002</v>
      </c>
      <c r="F38" s="1">
        <f>$C$5*各种公式!$C$13+D38+E38</f>
        <v>745.22640000000013</v>
      </c>
      <c r="H38">
        <v>34</v>
      </c>
      <c r="I38" s="138">
        <f t="shared" si="2"/>
        <v>338927.42981737189</v>
      </c>
      <c r="J38" s="138">
        <f t="shared" si="8"/>
        <v>25762.86</v>
      </c>
      <c r="K38" s="138">
        <f t="shared" si="9"/>
        <v>11450.16</v>
      </c>
      <c r="L38">
        <f>'3、总属性战斗节奏拟合'!J38</f>
        <v>21250</v>
      </c>
      <c r="M38">
        <f>'3、总属性战斗节奏拟合'!K38</f>
        <v>21250</v>
      </c>
      <c r="N38">
        <f>'3、总属性战斗节奏拟合'!L38</f>
        <v>21250</v>
      </c>
      <c r="O38" s="31">
        <f>'3、总属性战斗节奏拟合'!N38/各种公式!$J$4</f>
        <v>0.42499999999999999</v>
      </c>
      <c r="P38">
        <f>'3、总属性战斗节奏拟合'!M38</f>
        <v>21250</v>
      </c>
      <c r="Q38" s="31">
        <f>'3、总属性战斗节奏拟合'!O38/各种公式!$J$6*各种公式!$M$6</f>
        <v>0.1275</v>
      </c>
      <c r="R38" s="31">
        <f>'3、总属性战斗节奏拟合'!P38/各种公式!$J$6*各种公式!$M$6</f>
        <v>0.1275</v>
      </c>
      <c r="S38" s="31">
        <f>'3、总属性战斗节奏拟合'!Q38/各种公式!$J$8*各种公式!$M$8</f>
        <v>4.2500000000000003E-2</v>
      </c>
      <c r="T38" s="31">
        <f>'3、总属性战斗节奏拟合'!R38/各种公式!$J$9*各种公式!$M$9</f>
        <v>8.5000000000000006E-2</v>
      </c>
      <c r="U38" s="31">
        <f>'3、总属性战斗节奏拟合'!S38/各种公式!$J$10*各种公式!$M$10</f>
        <v>0.1275</v>
      </c>
      <c r="V38">
        <f>'3、总属性战斗节奏拟合'!D38</f>
        <v>89095.600571989969</v>
      </c>
      <c r="W38">
        <f>'3、总属性战斗节奏拟合'!E38</f>
        <v>6588.8283085284293</v>
      </c>
      <c r="X38">
        <f>'3、总属性战斗节奏拟合'!F38</f>
        <v>2928.3681371237462</v>
      </c>
      <c r="Y38">
        <f>'3、总属性战斗节奏拟合'!G38</f>
        <v>3660.4601714046826</v>
      </c>
      <c r="Z38">
        <f>(((L38/$L$104*各种公式!$M$3)+S38+Q38+U38)*V38)</f>
        <v>35593.692428509996</v>
      </c>
      <c r="AA38">
        <f>(((N38/$N$104*各种公式!$M$3)*Y38*(1+R38)+Y38*R38))+W38*T38-X38*U38</f>
        <v>1074.3633626081314</v>
      </c>
      <c r="AB38">
        <f>Z38-AA38*'3、总属性战斗节奏拟合'!H38</f>
        <v>9443.6881826280769</v>
      </c>
      <c r="AC38" s="145">
        <f>(V38/(1-L38/(L38+116666))-V38)*各种公式!$C$13</f>
        <v>649.12879918906492</v>
      </c>
      <c r="AD38" s="145">
        <f t="shared" si="3"/>
        <v>3385.9256585493317</v>
      </c>
      <c r="AE38" s="145">
        <f>Y38*N38/各种公式!$J$5*各种公式!$M$5</f>
        <v>466.70867185409702</v>
      </c>
      <c r="AF38" s="130">
        <f t="shared" si="4"/>
        <v>466.70867185409702</v>
      </c>
      <c r="AG38" s="130">
        <f t="shared" si="5"/>
        <v>3786.5630243095738</v>
      </c>
      <c r="AH38" s="130">
        <f t="shared" si="6"/>
        <v>560.05040622491651</v>
      </c>
      <c r="AI38" s="130">
        <f t="shared" si="7"/>
        <v>373.36693748327764</v>
      </c>
    </row>
    <row r="39" spans="2:35" x14ac:dyDescent="0.15">
      <c r="B39" s="1">
        <v>35</v>
      </c>
      <c r="C39" s="1">
        <f>'3、总属性战斗节奏拟合'!D39*'2、属性成长'!$Q40</f>
        <v>7156.800000000002</v>
      </c>
      <c r="D39" s="1">
        <f>'3、总属性战斗节奏拟合'!E39*'2、属性成长'!$Q40</f>
        <v>518.4000000000002</v>
      </c>
      <c r="E39" s="1">
        <f>'3、总属性战斗节奏拟合'!F39*'2、属性成长'!$Q40</f>
        <v>230.40000000000006</v>
      </c>
      <c r="F39" s="1">
        <f>$C$5*各种公式!$C$13+D39+E39</f>
        <v>768.62640000000033</v>
      </c>
      <c r="H39">
        <v>35</v>
      </c>
      <c r="I39" s="138">
        <f t="shared" si="2"/>
        <v>356485.39997194981</v>
      </c>
      <c r="J39" s="138">
        <f t="shared" si="8"/>
        <v>26593.920000000009</v>
      </c>
      <c r="K39" s="138">
        <f t="shared" si="9"/>
        <v>11819.520000000002</v>
      </c>
      <c r="L39">
        <f>'3、总属性战斗节奏拟合'!J39</f>
        <v>21875</v>
      </c>
      <c r="M39">
        <f>'3、总属性战斗节奏拟合'!K39</f>
        <v>21875</v>
      </c>
      <c r="N39">
        <f>'3、总属性战斗节奏拟合'!L39</f>
        <v>21875</v>
      </c>
      <c r="O39" s="31">
        <f>'3、总属性战斗节奏拟合'!N39/各种公式!$J$4</f>
        <v>0.4375</v>
      </c>
      <c r="P39">
        <f>'3、总属性战斗节奏拟合'!M39</f>
        <v>21875</v>
      </c>
      <c r="Q39" s="31">
        <f>'3、总属性战斗节奏拟合'!O39/各种公式!$J$6*各种公式!$M$6</f>
        <v>0.13125000000000001</v>
      </c>
      <c r="R39" s="31">
        <f>'3、总属性战斗节奏拟合'!P39/各种公式!$J$6*各种公式!$M$6</f>
        <v>0.13125000000000001</v>
      </c>
      <c r="S39" s="31">
        <f>'3、总属性战斗节奏拟合'!Q39/各种公式!$J$8*各种公式!$M$8</f>
        <v>4.3750000000000004E-2</v>
      </c>
      <c r="T39" s="31">
        <f>'3、总属性战斗节奏拟合'!R39/各种公式!$J$9*各种公式!$M$9</f>
        <v>8.7500000000000008E-2</v>
      </c>
      <c r="U39" s="31">
        <f>'3、总属性战斗节奏拟合'!S39/各种公式!$J$10*各种公式!$M$10</f>
        <v>0.13125000000000001</v>
      </c>
      <c r="V39">
        <f>'3、总属性战斗节奏拟合'!D39</f>
        <v>98036.81543478262</v>
      </c>
      <c r="W39">
        <f>'3、总属性战斗节奏拟合'!E39</f>
        <v>7101.2582608695666</v>
      </c>
      <c r="X39">
        <f>'3、总属性战斗节奏拟合'!F39</f>
        <v>3156.1147826086963</v>
      </c>
      <c r="Y39">
        <f>'3、总属性战斗节奏拟合'!G39</f>
        <v>3945.1434782608699</v>
      </c>
      <c r="Z39">
        <f>(((L39/$L$104*各种公式!$M$3)+S39+Q39+U39)*V39)</f>
        <v>40317.640347554356</v>
      </c>
      <c r="AA39">
        <f>(((N39/$N$104*各种公式!$M$3)*Y39*(1+R39)+Y39*R39))+W39*T39-X39*U39</f>
        <v>1193.529187907609</v>
      </c>
      <c r="AB39">
        <f>Z39-AA39*'3、总属性战斗节奏拟合'!H39</f>
        <v>10658.44002805027</v>
      </c>
      <c r="AC39" s="145">
        <f>(V39/(1-L39/(L39+116666))-V39)*各种公式!$C$13</f>
        <v>735.28031736268315</v>
      </c>
      <c r="AD39" s="145">
        <f t="shared" si="3"/>
        <v>3698.5720108695655</v>
      </c>
      <c r="AE39" s="145">
        <f>Y39*N39/各种公式!$J$5*各种公式!$M$5</f>
        <v>517.80008152173912</v>
      </c>
      <c r="AF39" s="130">
        <f t="shared" si="4"/>
        <v>517.80008152173923</v>
      </c>
      <c r="AG39" s="130">
        <f t="shared" si="5"/>
        <v>4289.1106752717396</v>
      </c>
      <c r="AH39" s="130">
        <f t="shared" si="6"/>
        <v>621.3600978260871</v>
      </c>
      <c r="AI39" s="130">
        <f t="shared" si="7"/>
        <v>414.24006521739142</v>
      </c>
    </row>
    <row r="40" spans="2:35" x14ac:dyDescent="0.15">
      <c r="B40" s="1">
        <v>36</v>
      </c>
      <c r="C40" s="1">
        <f>'3、总属性战斗节奏拟合'!D40*'2、属性成长'!$Q41</f>
        <v>7531.92</v>
      </c>
      <c r="D40" s="1">
        <f>'3、总属性战斗节奏拟合'!E40*'2、属性成长'!$Q41</f>
        <v>534.6</v>
      </c>
      <c r="E40" s="1">
        <f>'3、总属性战斗节奏拟合'!F40*'2、属性成长'!$Q41</f>
        <v>237.60000000000005</v>
      </c>
      <c r="F40" s="1">
        <f>$C$5*各种公式!$C$13+D40+E40</f>
        <v>792.02640000000008</v>
      </c>
      <c r="H40">
        <v>36</v>
      </c>
      <c r="I40" s="138">
        <f t="shared" si="2"/>
        <v>374406.22768834064</v>
      </c>
      <c r="J40" s="138">
        <f t="shared" si="8"/>
        <v>27424.98</v>
      </c>
      <c r="K40" s="138">
        <f t="shared" si="9"/>
        <v>12188.880000000003</v>
      </c>
      <c r="L40">
        <f>'3、总属性战斗节奏拟合'!J40</f>
        <v>22500</v>
      </c>
      <c r="M40">
        <f>'3、总属性战斗节奏拟合'!K40</f>
        <v>22500</v>
      </c>
      <c r="N40">
        <f>'3、总属性战斗节奏拟合'!L40</f>
        <v>22500</v>
      </c>
      <c r="O40" s="31">
        <f>'3、总属性战斗节奏拟合'!N40/各种公式!$J$4</f>
        <v>0.45</v>
      </c>
      <c r="P40">
        <f>'3、总属性战斗节奏拟合'!M40</f>
        <v>22500</v>
      </c>
      <c r="Q40" s="31">
        <f>'3、总属性战斗节奏拟合'!O40/各种公式!$J$6*各种公式!$M$6</f>
        <v>0.13500000000000001</v>
      </c>
      <c r="R40" s="31">
        <f>'3、总属性战斗节奏拟合'!P40/各种公式!$J$6*各种公式!$M$6</f>
        <v>0.13500000000000001</v>
      </c>
      <c r="S40" s="31">
        <f>'3、总属性战斗节奏拟合'!Q40/各种公式!$J$8*各种公式!$M$8</f>
        <v>4.5000000000000005E-2</v>
      </c>
      <c r="T40" s="31">
        <f>'3、总属性战斗节奏拟合'!R40/各种公式!$J$9*各种公式!$M$9</f>
        <v>9.0000000000000011E-2</v>
      </c>
      <c r="U40" s="31">
        <f>'3、总属性战斗节奏拟合'!S40/各种公式!$J$10*各种公式!$M$10</f>
        <v>0.13500000000000001</v>
      </c>
      <c r="V40">
        <f>'3、总属性战斗节奏拟合'!D40</f>
        <v>107532.47452575252</v>
      </c>
      <c r="W40">
        <f>'3、总属性战斗节奏拟合'!E40</f>
        <v>7632.4311571906364</v>
      </c>
      <c r="X40">
        <f>'3、总属性战斗节奏拟合'!F40</f>
        <v>3392.191625418061</v>
      </c>
      <c r="Y40">
        <f>'3、总属性战斗节奏拟合'!G40</f>
        <v>4240.2395317725759</v>
      </c>
      <c r="Z40">
        <f>(((L40/$L$104*各种公式!$M$3)+S40+Q40+U40)*V40)</f>
        <v>45486.236724393319</v>
      </c>
      <c r="AA40">
        <f>(((N40/$N$104*各种公式!$M$3)*Y40*(1+R40)+Y40*R40))+W40*T40-X40*U40</f>
        <v>1321.1738333096994</v>
      </c>
      <c r="AB40">
        <f>Z40-AA40*'3、总属性战斗节奏拟合'!H40</f>
        <v>11981.26831165934</v>
      </c>
      <c r="AC40" s="145">
        <f>(V40/(1-L40/(L40+116666))-V40)*各种公式!$C$13</f>
        <v>829.5409722899326</v>
      </c>
      <c r="AD40" s="145">
        <f t="shared" si="3"/>
        <v>4028.2275551839471</v>
      </c>
      <c r="AE40" s="145">
        <f>Y40*N40/各种公式!$J$5*各种公式!$M$5</f>
        <v>572.43233678929766</v>
      </c>
      <c r="AF40" s="130">
        <f t="shared" si="4"/>
        <v>572.43233678929778</v>
      </c>
      <c r="AG40" s="130">
        <f t="shared" si="5"/>
        <v>4838.961353658864</v>
      </c>
      <c r="AH40" s="130">
        <f t="shared" si="6"/>
        <v>686.9188041471574</v>
      </c>
      <c r="AI40" s="130">
        <f t="shared" si="7"/>
        <v>457.94586943143827</v>
      </c>
    </row>
    <row r="41" spans="2:35" x14ac:dyDescent="0.15">
      <c r="B41" s="1">
        <v>37</v>
      </c>
      <c r="C41" s="1">
        <f>'3、总属性战斗节奏拟合'!D41*'2、属性成长'!$Q42</f>
        <v>7916.2200000000021</v>
      </c>
      <c r="D41" s="1">
        <f>'3、总属性战斗节奏拟合'!E41*'2、属性成长'!$Q42</f>
        <v>550.80000000000018</v>
      </c>
      <c r="E41" s="1">
        <f>'3、总属性战斗节奏拟合'!F41*'2、属性成长'!$Q42</f>
        <v>244.80000000000007</v>
      </c>
      <c r="F41" s="1">
        <f>$C$5*各种公式!$C$13+D41+E41</f>
        <v>815.42640000000029</v>
      </c>
      <c r="H41">
        <v>37</v>
      </c>
      <c r="I41" s="138">
        <f t="shared" si="2"/>
        <v>392684.24308161181</v>
      </c>
      <c r="J41" s="138">
        <f t="shared" si="8"/>
        <v>28256.040000000008</v>
      </c>
      <c r="K41" s="138">
        <f t="shared" si="9"/>
        <v>12558.240000000003</v>
      </c>
      <c r="L41">
        <f>'3、总属性战斗节奏拟合'!J41</f>
        <v>23125</v>
      </c>
      <c r="M41">
        <f>'3、总属性战斗节奏拟合'!K41</f>
        <v>23125</v>
      </c>
      <c r="N41">
        <f>'3、总属性战斗节奏拟合'!L41</f>
        <v>23125</v>
      </c>
      <c r="O41" s="31">
        <f>'3、总属性战斗节奏拟合'!N41/各种公式!$J$4</f>
        <v>0.46250000000000002</v>
      </c>
      <c r="P41">
        <f>'3、总属性战斗节奏拟合'!M41</f>
        <v>23125</v>
      </c>
      <c r="Q41" s="31">
        <f>'3、总属性战斗节奏拟合'!O41/各种公式!$J$6*各种公式!$M$6</f>
        <v>0.13875000000000001</v>
      </c>
      <c r="R41" s="31">
        <f>'3、总属性战斗节奏拟合'!P41/各种公式!$J$6*各种公式!$M$6</f>
        <v>0.13875000000000001</v>
      </c>
      <c r="S41" s="31">
        <f>'3、总属性战斗节奏拟合'!Q41/各种公式!$J$8*各种公式!$M$8</f>
        <v>4.6250000000000006E-2</v>
      </c>
      <c r="T41" s="31">
        <f>'3、总属性战斗节奏拟合'!R41/各种公式!$J$9*各种公式!$M$9</f>
        <v>9.2500000000000013E-2</v>
      </c>
      <c r="U41" s="31">
        <f>'3、总属性战斗节奏拟合'!S41/各种公式!$J$10*各种公式!$M$10</f>
        <v>0.13875000000000001</v>
      </c>
      <c r="V41">
        <f>'3、总属性战斗节奏拟合'!D41</f>
        <v>117598.50934728263</v>
      </c>
      <c r="W41">
        <f>'3、总属性战斗节奏拟合'!E41</f>
        <v>8182.3469974916397</v>
      </c>
      <c r="X41">
        <f>'3、总属性战斗节奏拟合'!F41</f>
        <v>3636.59866555184</v>
      </c>
      <c r="Y41">
        <f>'3、总属性战斗节奏拟合'!G41</f>
        <v>4545.7483319397998</v>
      </c>
      <c r="Z41">
        <f>(((L41/$L$104*各种公式!$M$3)+S41+Q41+U41)*V41)</f>
        <v>51125.95193873113</v>
      </c>
      <c r="AA41">
        <f>(((N41/$N$104*各种公式!$M$3)*Y41*(1+R41)+Y41*R41))+W41*T41-X41*U41</f>
        <v>1457.5998848219117</v>
      </c>
      <c r="AB41">
        <f>Z41-AA41*'3、总属性战斗节奏拟合'!H41</f>
        <v>13417.842918388276</v>
      </c>
      <c r="AC41" s="145">
        <f>(V41/(1-L41/(L41+116666))-V41)*各种公式!$C$13</f>
        <v>932.39350921636503</v>
      </c>
      <c r="AD41" s="145">
        <f t="shared" si="3"/>
        <v>4375.282769492057</v>
      </c>
      <c r="AE41" s="145">
        <f>Y41*N41/各种公式!$J$5*各种公式!$M$5</f>
        <v>630.7225810566473</v>
      </c>
      <c r="AF41" s="130">
        <f t="shared" si="4"/>
        <v>630.7225810566473</v>
      </c>
      <c r="AG41" s="130">
        <f t="shared" si="5"/>
        <v>5438.9310573118219</v>
      </c>
      <c r="AH41" s="130">
        <f t="shared" si="6"/>
        <v>756.86709726797676</v>
      </c>
      <c r="AI41" s="130">
        <f t="shared" si="7"/>
        <v>504.57806484531784</v>
      </c>
    </row>
    <row r="42" spans="2:35" x14ac:dyDescent="0.15">
      <c r="B42" s="1">
        <v>38</v>
      </c>
      <c r="C42" s="1">
        <f>'3、总属性战斗节奏拟合'!D42*'2、属性成长'!$Q43</f>
        <v>8309.7000000000007</v>
      </c>
      <c r="D42" s="1">
        <f>'3、总属性战斗节奏拟合'!E42*'2、属性成长'!$Q43</f>
        <v>567.00000000000011</v>
      </c>
      <c r="E42" s="1">
        <f>'3、总属性战斗节奏拟合'!F42*'2、属性成长'!$Q43</f>
        <v>252.00000000000006</v>
      </c>
      <c r="F42" s="1">
        <f>$C$5*各种公式!$C$13+D42+E42</f>
        <v>838.82640000000015</v>
      </c>
      <c r="H42">
        <v>38</v>
      </c>
      <c r="I42" s="138">
        <f t="shared" si="2"/>
        <v>411313.68184458802</v>
      </c>
      <c r="J42" s="138">
        <f t="shared" si="8"/>
        <v>29087.100000000006</v>
      </c>
      <c r="K42" s="138">
        <f t="shared" si="9"/>
        <v>12927.600000000002</v>
      </c>
      <c r="L42">
        <f>'3、总属性战斗节奏拟合'!J42</f>
        <v>23750</v>
      </c>
      <c r="M42">
        <f>'3、总属性战斗节奏拟合'!K42</f>
        <v>23750</v>
      </c>
      <c r="N42">
        <f>'3、总属性战斗节奏拟合'!L42</f>
        <v>23750</v>
      </c>
      <c r="O42" s="31">
        <f>'3、总属性战斗节奏拟合'!N42/各种公式!$J$4</f>
        <v>0.47499999999999998</v>
      </c>
      <c r="P42">
        <f>'3、总属性战斗节奏拟合'!M42</f>
        <v>23750</v>
      </c>
      <c r="Q42" s="31">
        <f>'3、总属性战斗节奏拟合'!O42/各种公式!$J$6*各种公式!$M$6</f>
        <v>0.14249999999999999</v>
      </c>
      <c r="R42" s="31">
        <f>'3、总属性战斗节奏拟合'!P42/各种公式!$J$6*各种公式!$M$6</f>
        <v>0.14249999999999999</v>
      </c>
      <c r="S42" s="31">
        <f>'3、总属性战斗节奏拟合'!Q42/各种公式!$J$8*各种公式!$M$8</f>
        <v>4.7500000000000001E-2</v>
      </c>
      <c r="T42" s="31">
        <f>'3、总属性战斗节奏拟合'!R42/各种公式!$J$9*各种公式!$M$9</f>
        <v>9.5000000000000001E-2</v>
      </c>
      <c r="U42" s="31">
        <f>'3、总属性战斗节奏拟合'!S42/各种公式!$J$10*各种公式!$M$10</f>
        <v>0.14249999999999999</v>
      </c>
      <c r="V42">
        <f>'3、总属性战斗节奏拟合'!D42</f>
        <v>128250.85140175585</v>
      </c>
      <c r="W42">
        <f>'3、总属性战斗节奏拟合'!E42</f>
        <v>8751.0057817725756</v>
      </c>
      <c r="X42">
        <f>'3、总属性战斗节奏拟合'!F42</f>
        <v>3889.3359030100337</v>
      </c>
      <c r="Y42">
        <f>'3、总属性战斗节奏拟合'!G42</f>
        <v>4861.6698787625419</v>
      </c>
      <c r="Z42">
        <f>(((L42/$L$104*各种公式!$M$3)+S42+Q42+U42)*V42)</f>
        <v>57264.005150883975</v>
      </c>
      <c r="AA42">
        <f>(((N42/$N$104*各种公式!$M$3)*Y42*(1+R42)+Y42*R42))+W42*T42-X42*U42</f>
        <v>1603.1113341725545</v>
      </c>
      <c r="AB42">
        <f>Z42-AA42*'3、总属性战斗节奏拟合'!H42</f>
        <v>14973.928155411988</v>
      </c>
      <c r="AC42" s="145">
        <f>(V42/(1-L42/(L42+116666))-V42)*各种公式!$C$13</f>
        <v>1044.3343290390342</v>
      </c>
      <c r="AD42" s="145">
        <f t="shared" si="3"/>
        <v>4740.1281317934781</v>
      </c>
      <c r="AE42" s="145">
        <f>Y42*N42/各种公式!$J$5*各种公式!$M$5</f>
        <v>692.78795772366232</v>
      </c>
      <c r="AF42" s="130">
        <f t="shared" si="4"/>
        <v>692.7879577236622</v>
      </c>
      <c r="AG42" s="130">
        <f t="shared" si="5"/>
        <v>6091.9154415834028</v>
      </c>
      <c r="AH42" s="130">
        <f t="shared" si="6"/>
        <v>831.34554926839473</v>
      </c>
      <c r="AI42" s="130">
        <f t="shared" si="7"/>
        <v>554.23036617892978</v>
      </c>
    </row>
    <row r="43" spans="2:35" x14ac:dyDescent="0.15">
      <c r="B43" s="1">
        <v>39</v>
      </c>
      <c r="C43" s="1">
        <f>'3、总属性战斗节奏拟合'!D43*'2、属性成长'!$Q44</f>
        <v>8712.3600000000024</v>
      </c>
      <c r="D43" s="1">
        <f>'3、总属性战斗节奏拟合'!E43*'2、属性成长'!$Q44</f>
        <v>583.20000000000005</v>
      </c>
      <c r="E43" s="1">
        <f>'3、总属性战斗节奏拟合'!F43*'2、属性成长'!$Q44</f>
        <v>259.20000000000005</v>
      </c>
      <c r="F43" s="1">
        <f>$C$5*各种公式!$C$13+D43+E43</f>
        <v>862.22640000000013</v>
      </c>
      <c r="H43">
        <v>39</v>
      </c>
      <c r="I43" s="138">
        <f t="shared" si="2"/>
        <v>430288.68883244053</v>
      </c>
      <c r="J43" s="138">
        <f t="shared" si="8"/>
        <v>29918.16</v>
      </c>
      <c r="K43" s="138">
        <f t="shared" si="9"/>
        <v>13296.960000000001</v>
      </c>
      <c r="L43">
        <f>'3、总属性战斗节奏拟合'!J43</f>
        <v>24375</v>
      </c>
      <c r="M43">
        <f>'3、总属性战斗节奏拟合'!K43</f>
        <v>24375</v>
      </c>
      <c r="N43">
        <f>'3、总属性战斗节奏拟合'!L43</f>
        <v>24375</v>
      </c>
      <c r="O43" s="31">
        <f>'3、总属性战斗节奏拟合'!N43/各种公式!$J$4</f>
        <v>0.48749999999999999</v>
      </c>
      <c r="P43">
        <f>'3、总属性战斗节奏拟合'!M43</f>
        <v>24375</v>
      </c>
      <c r="Q43" s="31">
        <f>'3、总属性战斗节奏拟合'!O43/各种公式!$J$6*各种公式!$M$6</f>
        <v>0.14624999999999999</v>
      </c>
      <c r="R43" s="31">
        <f>'3、总属性战斗节奏拟合'!P43/各种公式!$J$6*各种公式!$M$6</f>
        <v>0.14624999999999999</v>
      </c>
      <c r="S43" s="31">
        <f>'3、总属性战斗节奏拟合'!Q43/各种公式!$J$8*各种公式!$M$8</f>
        <v>4.8750000000000002E-2</v>
      </c>
      <c r="T43" s="31">
        <f>'3、总属性战斗节奏拟合'!R43/各种公式!$J$9*各种公式!$M$9</f>
        <v>9.7500000000000003E-2</v>
      </c>
      <c r="U43" s="31">
        <f>'3、总属性战斗节奏拟合'!S43/各种公式!$J$10*各种公式!$M$10</f>
        <v>0.14624999999999999</v>
      </c>
      <c r="V43">
        <f>'3、总属性战斗节奏拟合'!D43</f>
        <v>139505.43219155521</v>
      </c>
      <c r="W43">
        <f>'3、总属性战斗节奏拟合'!E43</f>
        <v>9338.4075100334449</v>
      </c>
      <c r="X43">
        <f>'3、总属性战斗节奏拟合'!F43</f>
        <v>4150.4033377926426</v>
      </c>
      <c r="Y43">
        <f>'3、总属性战斗节奏拟合'!G43</f>
        <v>5188.0041722408032</v>
      </c>
      <c r="Z43">
        <f>(((L43/$L$104*各种公式!$M$3)+S43+Q43+U43)*V43)</f>
        <v>63928.364301780173</v>
      </c>
      <c r="AA43">
        <f>(((N43/$N$104*各种公式!$M$3)*Y43*(1+R43)+Y43*R43))+W43*T43-X43*U43</f>
        <v>1758.0135788107339</v>
      </c>
      <c r="AB43">
        <f>Z43-AA43*'3、总属性战斗节奏拟合'!H43</f>
        <v>16655.379167559542</v>
      </c>
      <c r="AC43" s="145">
        <f>(V43/(1-L43/(L43+116666))-V43)*各种公式!$C$13</f>
        <v>1165.8734883065022</v>
      </c>
      <c r="AD43" s="145">
        <f t="shared" si="3"/>
        <v>5123.1541200877937</v>
      </c>
      <c r="AE43" s="145">
        <f>Y43*N43/各种公式!$J$5*各种公式!$M$5</f>
        <v>758.74561019021746</v>
      </c>
      <c r="AF43" s="130">
        <f t="shared" si="4"/>
        <v>758.74561019021746</v>
      </c>
      <c r="AG43" s="130">
        <f t="shared" si="5"/>
        <v>6800.8898193383166</v>
      </c>
      <c r="AH43" s="130">
        <f t="shared" si="6"/>
        <v>910.49473222826089</v>
      </c>
      <c r="AI43" s="130">
        <f t="shared" si="7"/>
        <v>606.99648815217392</v>
      </c>
    </row>
    <row r="44" spans="2:35" x14ac:dyDescent="0.15">
      <c r="B44" s="1">
        <v>40</v>
      </c>
      <c r="C44" s="1">
        <f>'3、总属性战斗节奏拟合'!D44*'2、属性成长'!$Q45</f>
        <v>9206.4000000000033</v>
      </c>
      <c r="D44" s="1">
        <f>'3、总属性战斗节奏拟合'!E44*'2、属性成长'!$Q45</f>
        <v>604.80000000000018</v>
      </c>
      <c r="E44" s="1">
        <f>'3、总属性战斗节奏拟合'!F44*'2、属性成长'!$Q45</f>
        <v>268.80000000000013</v>
      </c>
      <c r="F44" s="1">
        <f>$C$5*各种公式!$C$13+D44+E44</f>
        <v>893.42640000000029</v>
      </c>
      <c r="H44">
        <v>40</v>
      </c>
      <c r="I44" s="138">
        <f t="shared" si="2"/>
        <v>453653.80202247505</v>
      </c>
      <c r="J44" s="138">
        <f t="shared" si="8"/>
        <v>31026.240000000009</v>
      </c>
      <c r="K44" s="138">
        <f t="shared" si="9"/>
        <v>13789.440000000006</v>
      </c>
      <c r="L44">
        <f>'3、总属性战斗节奏拟合'!J44</f>
        <v>25000</v>
      </c>
      <c r="M44">
        <f>'3、总属性战斗节奏拟合'!K44</f>
        <v>25000</v>
      </c>
      <c r="N44">
        <f>'3、总属性战斗节奏拟合'!L44</f>
        <v>25000</v>
      </c>
      <c r="O44" s="31">
        <f>'3、总属性战斗节奏拟合'!N44/各种公式!$J$4</f>
        <v>0.5</v>
      </c>
      <c r="P44">
        <f>'3、总属性战斗节奏拟合'!M44</f>
        <v>25000</v>
      </c>
      <c r="Q44" s="31">
        <f>'3、总属性战斗节奏拟合'!O44/各种公式!$J$6*各种公式!$M$6</f>
        <v>0.15</v>
      </c>
      <c r="R44" s="31">
        <f>'3、总属性战斗节奏拟合'!P44/各种公式!$J$6*各种公式!$M$6</f>
        <v>0.15</v>
      </c>
      <c r="S44" s="31">
        <f>'3、总属性战斗节奏拟合'!Q44/各种公式!$J$8*各种公式!$M$8</f>
        <v>0.05</v>
      </c>
      <c r="T44" s="31">
        <f>'3、总属性战斗节奏拟合'!R44/各种公式!$J$9*各种公式!$M$9</f>
        <v>0.1</v>
      </c>
      <c r="U44" s="31">
        <f>'3、总属性战斗节奏拟合'!S44/各种公式!$J$10*各种公式!$M$10</f>
        <v>0.15</v>
      </c>
      <c r="V44">
        <f>'3、总属性战斗节奏拟合'!D44</f>
        <v>152741.95063545156</v>
      </c>
      <c r="W44">
        <f>'3、总属性战斗节奏拟合'!E44</f>
        <v>10034.14274247492</v>
      </c>
      <c r="X44">
        <f>'3、总属性战斗节奏拟合'!F44</f>
        <v>4459.6189966555203</v>
      </c>
      <c r="Y44">
        <f>'3、总属性战斗节奏拟合'!G44</f>
        <v>5574.5237458194006</v>
      </c>
      <c r="Z44">
        <f>(((L44/$L$104*各种公式!$M$3)+S44+Q44+U44)*V44)</f>
        <v>71788.716798662237</v>
      </c>
      <c r="AA44">
        <f>(((N44/$N$104*各种公式!$M$3)*Y44*(1+R44)+Y44*R44))+W44*T44-X44*U44</f>
        <v>1939.9342635451512</v>
      </c>
      <c r="AB44">
        <f>Z44-AA44*'3、总属性战斗节奏拟合'!H44</f>
        <v>18634.517977525094</v>
      </c>
      <c r="AC44" s="145">
        <f>(V44/(1-L44/(L44+116666))-V44)*各种公式!$C$13</f>
        <v>1309.2242010135915</v>
      </c>
      <c r="AD44" s="145">
        <f t="shared" si="3"/>
        <v>5574.5237458194006</v>
      </c>
      <c r="AE44" s="145">
        <f>Y44*N44/各种公式!$J$5*各种公式!$M$5</f>
        <v>836.17856187291011</v>
      </c>
      <c r="AF44" s="130">
        <f t="shared" si="4"/>
        <v>836.17856187291011</v>
      </c>
      <c r="AG44" s="130">
        <f t="shared" si="5"/>
        <v>7637.0975317725788</v>
      </c>
      <c r="AH44" s="130">
        <f t="shared" si="6"/>
        <v>1003.414274247492</v>
      </c>
      <c r="AI44" s="130">
        <f t="shared" si="7"/>
        <v>668.94284949832797</v>
      </c>
    </row>
    <row r="45" spans="2:35" x14ac:dyDescent="0.15">
      <c r="B45" s="1">
        <v>41</v>
      </c>
      <c r="C45" s="1">
        <f>'3、总属性战斗节奏拟合'!D45*'2、属性成长'!$Q46</f>
        <v>9712.6800000000039</v>
      </c>
      <c r="D45" s="1">
        <f>'3、总属性战斗节奏拟合'!E45*'2、属性成长'!$Q46</f>
        <v>626.4000000000002</v>
      </c>
      <c r="E45" s="1">
        <f>'3、总属性战斗节奏拟合'!F45*'2、属性成长'!$Q46</f>
        <v>278.40000000000009</v>
      </c>
      <c r="F45" s="1">
        <f>$C$5*各种公式!$C$13+D45+E45</f>
        <v>924.62640000000033</v>
      </c>
      <c r="H45">
        <v>41</v>
      </c>
      <c r="I45" s="138">
        <f t="shared" si="2"/>
        <v>477484.03763013281</v>
      </c>
      <c r="J45" s="138">
        <f t="shared" si="8"/>
        <v>32134.320000000007</v>
      </c>
      <c r="K45" s="138">
        <f t="shared" si="9"/>
        <v>14281.920000000004</v>
      </c>
      <c r="L45">
        <f>'3、总属性战斗节奏拟合'!J45</f>
        <v>25625</v>
      </c>
      <c r="M45">
        <f>'3、总属性战斗节奏拟合'!K45</f>
        <v>25625</v>
      </c>
      <c r="N45">
        <f>'3、总属性战斗节奏拟合'!L45</f>
        <v>25625</v>
      </c>
      <c r="O45" s="31">
        <f>'3、总属性战斗节奏拟合'!N45/各种公式!$J$4</f>
        <v>0.51249999999999996</v>
      </c>
      <c r="P45">
        <f>'3、总属性战斗节奏拟合'!M45</f>
        <v>25625</v>
      </c>
      <c r="Q45" s="31">
        <f>'3、总属性战斗节奏拟合'!O45/各种公式!$J$6*各种公式!$M$6</f>
        <v>0.15374999999999997</v>
      </c>
      <c r="R45" s="31">
        <f>'3、总属性战斗节奏拟合'!P45/各种公式!$J$6*各种公式!$M$6</f>
        <v>0.15374999999999997</v>
      </c>
      <c r="S45" s="31">
        <f>'3、总属性战斗节奏拟合'!Q45/各种公式!$J$8*各种公式!$M$8</f>
        <v>5.1249999999999997E-2</v>
      </c>
      <c r="T45" s="31">
        <f>'3、总属性战斗节奏拟合'!R45/各种公式!$J$9*各种公式!$M$9</f>
        <v>0.10249999999999999</v>
      </c>
      <c r="U45" s="31">
        <f>'3、总属性战斗节奏拟合'!S45/各种公式!$J$10*各种公式!$M$10</f>
        <v>0.15374999999999997</v>
      </c>
      <c r="V45">
        <f>'3、总属性战斗节奏拟合'!D45</f>
        <v>166760.21205660541</v>
      </c>
      <c r="W45">
        <f>'3、总属性战斗节奏拟合'!E45</f>
        <v>10754.868566889636</v>
      </c>
      <c r="X45">
        <f>'3、总属性战斗节奏拟合'!F45</f>
        <v>4779.9415852842822</v>
      </c>
      <c r="Y45">
        <f>'3、总属性战斗节奏拟合'!G45</f>
        <v>5974.9269816053529</v>
      </c>
      <c r="Z45">
        <f>(((L45/$L$104*各种公式!$M$3)+S45+Q45+U45)*V45)</f>
        <v>80336.732158269631</v>
      </c>
      <c r="AA45">
        <f>(((N45/$N$104*各种公式!$M$3)*Y45*(1+R45)+Y45*R45))+W45*T45-X45*U45</f>
        <v>2134.0123894088947</v>
      </c>
      <c r="AB45">
        <f>Z45-AA45*'3、总属性战斗节奏拟合'!H45</f>
        <v>20776.446369867379</v>
      </c>
      <c r="AC45" s="145">
        <f>(V45/(1-L45/(L45+116666))-V45)*各种公式!$C$13</f>
        <v>1465.1159494456008</v>
      </c>
      <c r="AD45" s="145">
        <f t="shared" si="3"/>
        <v>6049.6135688754193</v>
      </c>
      <c r="AE45" s="145">
        <f>Y45*N45/各种公式!$J$5*各种公式!$M$5</f>
        <v>918.645023421823</v>
      </c>
      <c r="AF45" s="130">
        <f t="shared" si="4"/>
        <v>918.64502342182288</v>
      </c>
      <c r="AG45" s="130">
        <f t="shared" si="5"/>
        <v>8546.4608679010271</v>
      </c>
      <c r="AH45" s="130">
        <f t="shared" si="6"/>
        <v>1102.3740281061876</v>
      </c>
      <c r="AI45" s="130">
        <f t="shared" si="7"/>
        <v>734.91601873745822</v>
      </c>
    </row>
    <row r="46" spans="2:35" x14ac:dyDescent="0.15">
      <c r="B46" s="1">
        <v>42</v>
      </c>
      <c r="C46" s="1">
        <f>'3、总属性战斗节奏拟合'!D46*'2、属性成长'!$Q47</f>
        <v>10231.200000000004</v>
      </c>
      <c r="D46" s="1">
        <f>'3、总属性战斗节奏拟合'!E46*'2、属性成长'!$Q47</f>
        <v>648.00000000000034</v>
      </c>
      <c r="E46" s="1">
        <f>'3、总属性战斗节奏拟合'!F46*'2、属性成长'!$Q47</f>
        <v>288.00000000000011</v>
      </c>
      <c r="F46" s="1">
        <f>$C$5*各种公式!$C$13+D46+E46</f>
        <v>955.82640000000049</v>
      </c>
      <c r="H46">
        <v>42</v>
      </c>
      <c r="I46" s="138">
        <f t="shared" si="2"/>
        <v>501771.5696497485</v>
      </c>
      <c r="J46" s="138">
        <f t="shared" si="8"/>
        <v>33242.400000000016</v>
      </c>
      <c r="K46" s="138">
        <f t="shared" si="9"/>
        <v>14774.400000000005</v>
      </c>
      <c r="L46">
        <f>'3、总属性战斗节奏拟合'!J46</f>
        <v>26250</v>
      </c>
      <c r="M46">
        <f>'3、总属性战斗节奏拟合'!K46</f>
        <v>26250</v>
      </c>
      <c r="N46">
        <f>'3、总属性战斗节奏拟合'!L46</f>
        <v>26250</v>
      </c>
      <c r="O46" s="31">
        <f>'3、总属性战斗节奏拟合'!N46/各种公式!$J$4</f>
        <v>0.52500000000000002</v>
      </c>
      <c r="P46">
        <f>'3、总属性战斗节奏拟合'!M46</f>
        <v>26250</v>
      </c>
      <c r="Q46" s="31">
        <f>'3、总属性战斗节奏拟合'!O46/各种公式!$J$6*各种公式!$M$6</f>
        <v>0.1575</v>
      </c>
      <c r="R46" s="31">
        <f>'3、总属性战斗节奏拟合'!P46/各种公式!$J$6*各种公式!$M$6</f>
        <v>0.1575</v>
      </c>
      <c r="S46" s="31">
        <f>'3、总属性战斗节奏拟合'!Q46/各种公式!$J$8*各种公式!$M$8</f>
        <v>5.2500000000000005E-2</v>
      </c>
      <c r="T46" s="31">
        <f>'3、总属性战斗节奏拟合'!R46/各种公式!$J$9*各种公式!$M$9</f>
        <v>0.10500000000000001</v>
      </c>
      <c r="U46" s="31">
        <f>'3、总属性战斗节奏拟合'!S46/各种公式!$J$10*各种公式!$M$10</f>
        <v>0.1575</v>
      </c>
      <c r="V46">
        <f>'3、总属性战斗节奏拟合'!D46</f>
        <v>181581.45845819404</v>
      </c>
      <c r="W46">
        <f>'3、总属性战斗节奏拟合'!E46</f>
        <v>11500.584983277597</v>
      </c>
      <c r="X46">
        <f>'3、总属性战斗节奏拟合'!F46</f>
        <v>5111.3711036789318</v>
      </c>
      <c r="Y46">
        <f>'3、总属性战斗节奏拟合'!G46</f>
        <v>6389.2138795986639</v>
      </c>
      <c r="Z46">
        <f>(((L46/$L$104*各种公式!$M$3)+S46+Q46+U46)*V46)</f>
        <v>89610.44974911875</v>
      </c>
      <c r="AA46">
        <f>(((N46/$N$104*各种公式!$M$3)*Y46*(1+R46)+Y46*R46))+W46*T46-X46*U46</f>
        <v>2340.6565587215728</v>
      </c>
      <c r="AB46">
        <f>Z46-AA46*'3、总属性战斗节奏拟合'!H46</f>
        <v>23088.990350251654</v>
      </c>
      <c r="AC46" s="145">
        <f>(V46/(1-L46/(L46+116666))-V46)*各种公式!$C$13</f>
        <v>1634.2424646521163</v>
      </c>
      <c r="AD46" s="145">
        <f t="shared" si="3"/>
        <v>6548.94422658863</v>
      </c>
      <c r="AE46" s="145">
        <f>Y46*N46/各种公式!$J$5*各种公式!$M$5</f>
        <v>1006.3011860367895</v>
      </c>
      <c r="AF46" s="130">
        <f t="shared" si="4"/>
        <v>1006.3011860367895</v>
      </c>
      <c r="AG46" s="130">
        <f t="shared" si="5"/>
        <v>9533.0265690551878</v>
      </c>
      <c r="AH46" s="130">
        <f t="shared" si="6"/>
        <v>1207.5614232441478</v>
      </c>
      <c r="AI46" s="130">
        <f t="shared" si="7"/>
        <v>805.04094882943173</v>
      </c>
    </row>
    <row r="47" spans="2:35" x14ac:dyDescent="0.15">
      <c r="B47" s="1">
        <v>43</v>
      </c>
      <c r="C47" s="1">
        <f>'3、总属性战斗节奏拟合'!D47*'2、属性成长'!$Q48</f>
        <v>10761.960000000003</v>
      </c>
      <c r="D47" s="1">
        <f>'3、总属性战斗节奏拟合'!E47*'2、属性成长'!$Q48</f>
        <v>669.60000000000014</v>
      </c>
      <c r="E47" s="1">
        <f>'3、总属性战斗节奏拟合'!F47*'2、属性成长'!$Q48</f>
        <v>297.60000000000014</v>
      </c>
      <c r="F47" s="1">
        <f>$C$5*各种公式!$C$13+D47+E47</f>
        <v>987.02640000000031</v>
      </c>
      <c r="H47">
        <v>43</v>
      </c>
      <c r="I47" s="138">
        <f t="shared" si="2"/>
        <v>526508.46147357661</v>
      </c>
      <c r="J47" s="138">
        <f t="shared" si="8"/>
        <v>34350.480000000003</v>
      </c>
      <c r="K47" s="138">
        <f t="shared" si="9"/>
        <v>15266.880000000006</v>
      </c>
      <c r="L47">
        <f>'3、总属性战斗节奏拟合'!J47</f>
        <v>26875</v>
      </c>
      <c r="M47">
        <f>'3、总属性战斗节奏拟合'!K47</f>
        <v>26875</v>
      </c>
      <c r="N47">
        <f>'3、总属性战斗节奏拟合'!L47</f>
        <v>26875</v>
      </c>
      <c r="O47" s="31">
        <f>'3、总属性战斗节奏拟合'!N47/各种公式!$J$4</f>
        <v>0.53749999999999998</v>
      </c>
      <c r="P47">
        <f>'3、总属性战斗节奏拟合'!M47</f>
        <v>26875</v>
      </c>
      <c r="Q47" s="31">
        <f>'3、总属性战斗节奏拟合'!O47/各种公式!$J$6*各种公式!$M$6</f>
        <v>0.16124999999999998</v>
      </c>
      <c r="R47" s="31">
        <f>'3、总属性战斗节奏拟合'!P47/各种公式!$J$6*各种公式!$M$6</f>
        <v>0.16124999999999998</v>
      </c>
      <c r="S47" s="31">
        <f>'3、总属性战斗节奏拟合'!Q47/各种公式!$J$8*各种公式!$M$8</f>
        <v>5.3749999999999999E-2</v>
      </c>
      <c r="T47" s="31">
        <f>'3、总属性战斗节奏拟合'!R47/各种公式!$J$9*各种公式!$M$9</f>
        <v>0.1075</v>
      </c>
      <c r="U47" s="31">
        <f>'3、总属性战斗节奏拟合'!S47/各种公式!$J$10*各种公式!$M$10</f>
        <v>0.16124999999999998</v>
      </c>
      <c r="V47">
        <f>'3、总属性战斗节奏拟合'!D47</f>
        <v>197226.93184339468</v>
      </c>
      <c r="W47">
        <f>'3、总属性战斗节奏拟合'!E47</f>
        <v>12271.291991638798</v>
      </c>
      <c r="X47">
        <f>'3、总属性战斗节奏拟合'!F47</f>
        <v>5453.9075518394666</v>
      </c>
      <c r="Y47">
        <f>'3、总属性战斗节奏拟合'!G47</f>
        <v>6817.3844397993325</v>
      </c>
      <c r="Z47">
        <f>(((L47/$L$104*各种公式!$M$3)+S47+Q47+U47)*V47)</f>
        <v>99648.907313875156</v>
      </c>
      <c r="AA47">
        <f>(((N47/$N$104*各种公式!$M$3)*Y47*(1+R47)+Y47*R47))+W47*T47-X47*U47</f>
        <v>2560.2772480971885</v>
      </c>
      <c r="AB47">
        <f>Z47-AA47*'3、总属性战斗节奏拟合'!H47</f>
        <v>25580.086526423489</v>
      </c>
      <c r="AC47" s="145">
        <f>(V47/(1-L47/(L47+116666))-V47)*各种公式!$C$13</f>
        <v>1817.3156852180523</v>
      </c>
      <c r="AD47" s="145">
        <f t="shared" si="3"/>
        <v>7073.0363562918083</v>
      </c>
      <c r="AE47" s="145">
        <f>Y47*N47/各种公式!$J$5*各种公式!$M$5</f>
        <v>1099.3032409176424</v>
      </c>
      <c r="AF47" s="130">
        <f t="shared" si="4"/>
        <v>1099.3032409176421</v>
      </c>
      <c r="AG47" s="130">
        <f t="shared" si="5"/>
        <v>10600.947586582464</v>
      </c>
      <c r="AH47" s="130">
        <f t="shared" si="6"/>
        <v>1319.1638891011708</v>
      </c>
      <c r="AI47" s="130">
        <f t="shared" si="7"/>
        <v>879.44259273411387</v>
      </c>
    </row>
    <row r="48" spans="2:35" x14ac:dyDescent="0.15">
      <c r="B48" s="1">
        <v>44</v>
      </c>
      <c r="C48" s="1">
        <f>'3、总属性战斗节奏拟合'!D48*'2、属性成长'!$Q49</f>
        <v>11304.960000000003</v>
      </c>
      <c r="D48" s="1">
        <f>'3、总属性战斗节奏拟合'!E48*'2、属性成长'!$Q49</f>
        <v>691.20000000000016</v>
      </c>
      <c r="E48" s="1">
        <f>'3、总属性战斗节奏拟合'!F48*'2、属性成长'!$Q49</f>
        <v>307.2000000000001</v>
      </c>
      <c r="F48" s="1">
        <f>$C$5*各种公式!$C$13+D48+E48</f>
        <v>1018.2264000000002</v>
      </c>
      <c r="H48">
        <v>44</v>
      </c>
      <c r="I48" s="138">
        <f t="shared" si="2"/>
        <v>551686.67067124194</v>
      </c>
      <c r="J48" s="138">
        <f t="shared" si="8"/>
        <v>35458.560000000005</v>
      </c>
      <c r="K48" s="138">
        <f t="shared" si="9"/>
        <v>15759.360000000004</v>
      </c>
      <c r="L48">
        <f>'3、总属性战斗节奏拟合'!J48</f>
        <v>27500</v>
      </c>
      <c r="M48">
        <f>'3、总属性战斗节奏拟合'!K48</f>
        <v>27500</v>
      </c>
      <c r="N48">
        <f>'3、总属性战斗节奏拟合'!L48</f>
        <v>27500</v>
      </c>
      <c r="O48" s="31">
        <f>'3、总属性战斗节奏拟合'!N48/各种公式!$J$4</f>
        <v>0.55000000000000004</v>
      </c>
      <c r="P48">
        <f>'3、总属性战斗节奏拟合'!M48</f>
        <v>27500</v>
      </c>
      <c r="Q48" s="31">
        <f>'3、总属性战斗节奏拟合'!O48/各种公式!$J$6*各种公式!$M$6</f>
        <v>0.16500000000000001</v>
      </c>
      <c r="R48" s="31">
        <f>'3、总属性战斗节奏拟合'!P48/各种公式!$J$6*各种公式!$M$6</f>
        <v>0.16500000000000001</v>
      </c>
      <c r="S48" s="31">
        <f>'3、总属性战斗节奏拟合'!Q48/各种公式!$J$8*各种公式!$M$8</f>
        <v>5.5000000000000007E-2</v>
      </c>
      <c r="T48" s="31">
        <f>'3、总属性战斗节奏拟合'!R48/各种公式!$J$9*各种公式!$M$9</f>
        <v>0.11000000000000001</v>
      </c>
      <c r="U48" s="31">
        <f>'3、总属性战斗节奏拟合'!S48/各种公式!$J$10*各种公式!$M$10</f>
        <v>0.16500000000000001</v>
      </c>
      <c r="V48">
        <f>'3、总属性战斗节奏拟合'!D48</f>
        <v>213717.87421538465</v>
      </c>
      <c r="W48">
        <f>'3、总属性战斗节奏拟合'!E48</f>
        <v>13066.989591973246</v>
      </c>
      <c r="X48">
        <f>'3、总属性战斗节奏拟合'!F48</f>
        <v>5807.5509297658873</v>
      </c>
      <c r="Y48">
        <f>'3、总属性战斗节奏拟合'!G48</f>
        <v>7259.4386622073589</v>
      </c>
      <c r="Z48">
        <f>(((L48/$L$104*各种公式!$M$3)+S48+Q48+U48)*V48)</f>
        <v>110492.14096935387</v>
      </c>
      <c r="AA48">
        <f>(((N48/$N$104*各种公式!$M$3)*Y48*(1+R48)+Y48*R48))+W48*T48-X48*U48</f>
        <v>2793.286808444147</v>
      </c>
      <c r="AB48">
        <f>Z48-AA48*'3、总属性战斗节奏拟合'!H48</f>
        <v>28257.77732875818</v>
      </c>
      <c r="AC48" s="145">
        <f>(V48/(1-L48/(L48+116666))-V48)*各种公式!$C$13</f>
        <v>2015.0657572636685</v>
      </c>
      <c r="AD48" s="145">
        <f t="shared" si="3"/>
        <v>7622.4105953177268</v>
      </c>
      <c r="AE48" s="145">
        <f>Y48*N48/各种公式!$J$5*各种公式!$M$5</f>
        <v>1197.8073792642142</v>
      </c>
      <c r="AF48" s="130">
        <f t="shared" si="4"/>
        <v>1197.8073792642142</v>
      </c>
      <c r="AG48" s="130">
        <f t="shared" si="5"/>
        <v>11754.483081846158</v>
      </c>
      <c r="AH48" s="130">
        <f t="shared" si="6"/>
        <v>1437.3688551170574</v>
      </c>
      <c r="AI48" s="130">
        <f t="shared" si="7"/>
        <v>958.2459034113715</v>
      </c>
    </row>
    <row r="49" spans="2:35" x14ac:dyDescent="0.15">
      <c r="B49" s="1">
        <v>45</v>
      </c>
      <c r="C49" s="1">
        <f>'3、总属性战斗节奏拟合'!D49*'2、属性成长'!$Q50</f>
        <v>11860.200000000004</v>
      </c>
      <c r="D49" s="1">
        <f>'3、总属性战斗节奏拟合'!E49*'2、属性成长'!$Q50</f>
        <v>712.80000000000018</v>
      </c>
      <c r="E49" s="1">
        <f>'3、总属性战斗节奏拟合'!F49*'2、属性成长'!$Q50</f>
        <v>316.80000000000007</v>
      </c>
      <c r="F49" s="1">
        <f>$C$5*各种公式!$C$13+D49+E49</f>
        <v>1049.4264000000003</v>
      </c>
      <c r="H49">
        <v>45</v>
      </c>
      <c r="I49" s="138">
        <f t="shared" si="2"/>
        <v>577298.05376919033</v>
      </c>
      <c r="J49" s="138">
        <f t="shared" si="8"/>
        <v>36566.640000000007</v>
      </c>
      <c r="K49" s="138">
        <f t="shared" si="9"/>
        <v>16251.840000000002</v>
      </c>
      <c r="L49">
        <f>'3、总属性战斗节奏拟合'!J49</f>
        <v>28125</v>
      </c>
      <c r="M49">
        <f>'3、总属性战斗节奏拟合'!K49</f>
        <v>28125</v>
      </c>
      <c r="N49">
        <f>'3、总属性战斗节奏拟合'!L49</f>
        <v>28125</v>
      </c>
      <c r="O49" s="31">
        <f>'3、总属性战斗节奏拟合'!N49/各种公式!$J$4</f>
        <v>0.5625</v>
      </c>
      <c r="P49">
        <f>'3、总属性战斗节奏拟合'!M49</f>
        <v>28125</v>
      </c>
      <c r="Q49" s="31">
        <f>'3、总属性战斗节奏拟合'!O49/各种公式!$J$6*各种公式!$M$6</f>
        <v>0.16874999999999998</v>
      </c>
      <c r="R49" s="31">
        <f>'3、总属性战斗节奏拟合'!P49/各种公式!$J$6*各种公式!$M$6</f>
        <v>0.16874999999999998</v>
      </c>
      <c r="S49" s="31">
        <f>'3、总属性战斗节奏拟合'!Q49/各种公式!$J$8*各种公式!$M$8</f>
        <v>5.6250000000000001E-2</v>
      </c>
      <c r="T49" s="31">
        <f>'3、总属性战斗节奏拟合'!R49/各种公式!$J$9*各种公式!$M$9</f>
        <v>0.1125</v>
      </c>
      <c r="U49" s="31">
        <f>'3、总属性战斗节奏拟合'!S49/各种公式!$J$10*各种公式!$M$10</f>
        <v>0.16874999999999998</v>
      </c>
      <c r="V49">
        <f>'3、总属性战斗节奏拟合'!D49</f>
        <v>231075.52757734121</v>
      </c>
      <c r="W49">
        <f>'3、总属性战斗节奏拟合'!E49</f>
        <v>13887.677784280941</v>
      </c>
      <c r="X49">
        <f>'3、总属性战斗节奏拟合'!F49</f>
        <v>6172.3012374581958</v>
      </c>
      <c r="Y49">
        <f>'3、总属性战斗节奏拟合'!G49</f>
        <v>7715.3765468227448</v>
      </c>
      <c r="Z49">
        <f>(((L49/$L$104*各种公式!$M$3)+S49+Q49+U49)*V49)</f>
        <v>122181.18520651915</v>
      </c>
      <c r="AA49">
        <f>(((N49/$N$104*各种公式!$M$3)*Y49*(1+R49)+Y49*R49))+W49*T49-X49*U49</f>
        <v>3040.0994649652494</v>
      </c>
      <c r="AB49">
        <f>Z49-AA49*'3、总属性战斗节奏拟合'!H49</f>
        <v>31130.206230809927</v>
      </c>
      <c r="AC49" s="145">
        <f>(V49/(1-L49/(L49+116666))-V49)*各种公式!$C$13</f>
        <v>2228.241034444558</v>
      </c>
      <c r="AD49" s="145">
        <f t="shared" si="3"/>
        <v>8197.5875809991667</v>
      </c>
      <c r="AE49" s="145">
        <f>Y49*N49/各种公式!$J$5*各种公式!$M$5</f>
        <v>1301.9697922763382</v>
      </c>
      <c r="AF49" s="130">
        <f t="shared" si="4"/>
        <v>1301.969792276338</v>
      </c>
      <c r="AG49" s="130">
        <f t="shared" si="5"/>
        <v>12997.998426225444</v>
      </c>
      <c r="AH49" s="130">
        <f t="shared" si="6"/>
        <v>1562.3637507316059</v>
      </c>
      <c r="AI49" s="130">
        <f t="shared" si="7"/>
        <v>1041.5758338210705</v>
      </c>
    </row>
    <row r="50" spans="2:35" x14ac:dyDescent="0.15">
      <c r="B50" s="1">
        <v>46</v>
      </c>
      <c r="C50" s="1">
        <f>'3、总属性战斗节奏拟合'!D50*'2、属性成长'!$Q51</f>
        <v>12427.680000000006</v>
      </c>
      <c r="D50" s="1">
        <f>'3、总属性战斗节奏拟合'!E50*'2、属性成长'!$Q51</f>
        <v>734.40000000000032</v>
      </c>
      <c r="E50" s="1">
        <f>'3、总属性战斗节奏拟合'!F50*'2、属性成长'!$Q51</f>
        <v>326.40000000000015</v>
      </c>
      <c r="F50" s="1">
        <f>$C$5*各种公式!$C$13+D50+E50</f>
        <v>1080.6264000000006</v>
      </c>
      <c r="H50">
        <v>46</v>
      </c>
      <c r="I50" s="138">
        <f t="shared" si="2"/>
        <v>603334.37103013904</v>
      </c>
      <c r="J50" s="138">
        <f t="shared" si="8"/>
        <v>37674.720000000016</v>
      </c>
      <c r="K50" s="138">
        <f t="shared" si="9"/>
        <v>16744.320000000007</v>
      </c>
      <c r="L50">
        <f>'3、总属性战斗节奏拟合'!J50</f>
        <v>28750</v>
      </c>
      <c r="M50">
        <f>'3、总属性战斗节奏拟合'!K50</f>
        <v>28750</v>
      </c>
      <c r="N50">
        <f>'3、总属性战斗节奏拟合'!L50</f>
        <v>28750</v>
      </c>
      <c r="O50" s="31">
        <f>'3、总属性战斗节奏拟合'!N50/各种公式!$J$4</f>
        <v>0.57499999999999996</v>
      </c>
      <c r="P50">
        <f>'3、总属性战斗节奏拟合'!M50</f>
        <v>28750</v>
      </c>
      <c r="Q50" s="31">
        <f>'3、总属性战斗节奏拟合'!O50/各种公式!$J$6*各种公式!$M$6</f>
        <v>0.17249999999999999</v>
      </c>
      <c r="R50" s="31">
        <f>'3、总属性战斗节奏拟合'!P50/各种公式!$J$6*各种公式!$M$6</f>
        <v>0.17249999999999999</v>
      </c>
      <c r="S50" s="31">
        <f>'3、总属性战斗节奏拟合'!Q50/各种公式!$J$8*各种公式!$M$8</f>
        <v>5.7499999999999996E-2</v>
      </c>
      <c r="T50" s="31">
        <f>'3、总属性战斗节奏拟合'!R50/各种公式!$J$9*各种公式!$M$9</f>
        <v>0.11499999999999999</v>
      </c>
      <c r="U50" s="31">
        <f>'3、总属性战斗节奏拟合'!S50/各种公式!$J$10*各种公式!$M$10</f>
        <v>0.17249999999999999</v>
      </c>
      <c r="V50">
        <f>'3、总属性战斗节奏拟合'!D50</f>
        <v>249321.13393244156</v>
      </c>
      <c r="W50">
        <f>'3、总属性战斗节奏拟合'!E50</f>
        <v>14733.356568561878</v>
      </c>
      <c r="X50">
        <f>'3、总属性战斗节奏拟合'!F50</f>
        <v>6548.1584749163903</v>
      </c>
      <c r="Y50">
        <f>'3、总属性战斗节奏拟合'!G50</f>
        <v>8185.1980936454875</v>
      </c>
      <c r="Z50">
        <f>(((L50/$L$104*各种公式!$M$3)+S50+Q50+U50)*V50)</f>
        <v>134758.07289048465</v>
      </c>
      <c r="AA50">
        <f>(((N50/$N$104*各种公式!$M$3)*Y50*(1+R50)+Y50*R50))+W50*T50-X50*U50</f>
        <v>3301.131317157693</v>
      </c>
      <c r="AB50">
        <f>Z50-AA50*'3、总属性战斗节奏拟合'!H50</f>
        <v>34205.612969861308</v>
      </c>
      <c r="AC50" s="145">
        <f>(V50/(1-L50/(L50+116666))-V50)*各种公式!$C$13</f>
        <v>2457.6080779516546</v>
      </c>
      <c r="AD50" s="145">
        <f t="shared" si="3"/>
        <v>8799.087950668898</v>
      </c>
      <c r="AE50" s="145">
        <f>Y50*N50/各种公式!$J$5*各种公式!$M$5</f>
        <v>1411.9466711538464</v>
      </c>
      <c r="AF50" s="130">
        <f t="shared" si="4"/>
        <v>1411.9466711538464</v>
      </c>
      <c r="AG50" s="130">
        <f t="shared" si="5"/>
        <v>14335.965201115388</v>
      </c>
      <c r="AH50" s="130">
        <f t="shared" si="6"/>
        <v>1694.3360053846159</v>
      </c>
      <c r="AI50" s="130">
        <f t="shared" si="7"/>
        <v>1129.5573369230772</v>
      </c>
    </row>
    <row r="51" spans="2:35" x14ac:dyDescent="0.15">
      <c r="B51" s="1">
        <v>47</v>
      </c>
      <c r="C51" s="1">
        <f>'3、总属性战斗节奏拟合'!D51*'2、属性成长'!$Q52</f>
        <v>13007.400000000003</v>
      </c>
      <c r="D51" s="1">
        <f>'3、总属性战斗节奏拟合'!E51*'2、属性成长'!$Q52</f>
        <v>756.00000000000023</v>
      </c>
      <c r="E51" s="1">
        <f>'3、总属性战斗节奏拟合'!F51*'2、属性成长'!$Q52</f>
        <v>336.00000000000017</v>
      </c>
      <c r="F51" s="1">
        <f>$C$5*各种公式!$C$13+D51+E51</f>
        <v>1111.8264000000004</v>
      </c>
      <c r="H51">
        <v>47</v>
      </c>
      <c r="I51" s="138">
        <f t="shared" si="2"/>
        <v>629787.29123252782</v>
      </c>
      <c r="J51" s="138">
        <f t="shared" si="8"/>
        <v>38782.80000000001</v>
      </c>
      <c r="K51" s="138">
        <f t="shared" si="9"/>
        <v>17236.800000000007</v>
      </c>
      <c r="L51">
        <f>'3、总属性战斗节奏拟合'!J51</f>
        <v>29375</v>
      </c>
      <c r="M51">
        <f>'3、总属性战斗节奏拟合'!K51</f>
        <v>29375</v>
      </c>
      <c r="N51">
        <f>'3、总属性战斗节奏拟合'!L51</f>
        <v>29375</v>
      </c>
      <c r="O51" s="31">
        <f>'3、总属性战斗节奏拟合'!N51/各种公式!$J$4</f>
        <v>0.58750000000000002</v>
      </c>
      <c r="P51">
        <f>'3、总属性战斗节奏拟合'!M51</f>
        <v>29375</v>
      </c>
      <c r="Q51" s="31">
        <f>'3、总属性战斗节奏拟合'!O51/各种公式!$J$6*各种公式!$M$6</f>
        <v>0.17624999999999999</v>
      </c>
      <c r="R51" s="31">
        <f>'3、总属性战斗节奏拟合'!P51/各种公式!$J$6*各种公式!$M$6</f>
        <v>0.17624999999999999</v>
      </c>
      <c r="S51" s="31">
        <f>'3、总属性战斗节奏拟合'!Q51/各种公式!$J$8*各种公式!$M$8</f>
        <v>5.8750000000000004E-2</v>
      </c>
      <c r="T51" s="31">
        <f>'3、总属性战斗节奏拟合'!R51/各种公式!$J$9*各种公式!$M$9</f>
        <v>0.11750000000000001</v>
      </c>
      <c r="U51" s="31">
        <f>'3、总属性战斗节奏拟合'!S51/各种公式!$J$10*各种公式!$M$10</f>
        <v>0.17624999999999999</v>
      </c>
      <c r="V51">
        <f>'3、总属性战斗节奏拟合'!D51</f>
        <v>268475.93528386293</v>
      </c>
      <c r="W51">
        <f>'3、总属性战斗节奏拟合'!E51</f>
        <v>15604.025944816058</v>
      </c>
      <c r="X51">
        <f>'3、总属性战斗节奏拟合'!F51</f>
        <v>6935.1226421404708</v>
      </c>
      <c r="Y51">
        <f>'3、总属性战斗节奏拟合'!G51</f>
        <v>8668.9033026755878</v>
      </c>
      <c r="Z51">
        <f>(((L51/$L$104*各种公式!$M$3)+S51+Q51+U51)*V51)</f>
        <v>148265.8352605133</v>
      </c>
      <c r="AA51">
        <f>(((N51/$N$104*各种公式!$M$3)*Y51*(1+R51)+Y51*R51))+W51*T51-X51*U51</f>
        <v>3576.800338813076</v>
      </c>
      <c r="AB51">
        <f>Z51-AA51*'3、总属性战斗节奏拟合'!H51</f>
        <v>37492.32876747234</v>
      </c>
      <c r="AC51" s="145">
        <f>(V51/(1-L51/(L51+116666))-V51)*各种公式!$C$13</f>
        <v>2703.9516565112281</v>
      </c>
      <c r="AD51" s="145">
        <f t="shared" si="3"/>
        <v>9427.4323416597017</v>
      </c>
      <c r="AE51" s="145">
        <f>Y51*N51/各种公式!$J$5*各种公式!$M$5</f>
        <v>1527.8942070965722</v>
      </c>
      <c r="AF51" s="130">
        <f t="shared" si="4"/>
        <v>1527.8942070965722</v>
      </c>
      <c r="AG51" s="130">
        <f t="shared" si="5"/>
        <v>15772.961197926948</v>
      </c>
      <c r="AH51" s="130">
        <f t="shared" si="6"/>
        <v>1833.4730485158868</v>
      </c>
      <c r="AI51" s="130">
        <f t="shared" si="7"/>
        <v>1222.3153656772579</v>
      </c>
    </row>
    <row r="52" spans="2:35" x14ac:dyDescent="0.15">
      <c r="B52" s="1">
        <v>48</v>
      </c>
      <c r="C52" s="1">
        <f>'3、总属性战斗节奏拟合'!D52*'2、属性成长'!$Q53</f>
        <v>13599.360000000006</v>
      </c>
      <c r="D52" s="1">
        <f>'3、总属性战斗节奏拟合'!E52*'2、属性成长'!$Q53</f>
        <v>777.60000000000036</v>
      </c>
      <c r="E52" s="1">
        <f>'3、总属性战斗节奏拟合'!F52*'2、属性成长'!$Q53</f>
        <v>345.60000000000014</v>
      </c>
      <c r="F52" s="1">
        <f>$C$5*各种公式!$C$13+D52+E52</f>
        <v>1143.0264000000006</v>
      </c>
      <c r="H52">
        <v>48</v>
      </c>
      <c r="I52" s="138">
        <f t="shared" si="2"/>
        <v>656648.39644997043</v>
      </c>
      <c r="J52" s="138">
        <f t="shared" si="8"/>
        <v>39890.880000000019</v>
      </c>
      <c r="K52" s="138">
        <f t="shared" si="9"/>
        <v>17729.280000000006</v>
      </c>
      <c r="L52">
        <f>'3、总属性战斗节奏拟合'!J52</f>
        <v>30000</v>
      </c>
      <c r="M52">
        <f>'3、总属性战斗节奏拟合'!K52</f>
        <v>30000</v>
      </c>
      <c r="N52">
        <f>'3、总属性战斗节奏拟合'!L52</f>
        <v>30000</v>
      </c>
      <c r="O52" s="31">
        <f>'3、总属性战斗节奏拟合'!N52/各种公式!$J$4</f>
        <v>0.6</v>
      </c>
      <c r="P52">
        <f>'3、总属性战斗节奏拟合'!M52</f>
        <v>30000</v>
      </c>
      <c r="Q52" s="31">
        <f>'3、总属性战斗节奏拟合'!O52/各种公式!$J$6*各种公式!$M$6</f>
        <v>0.18</v>
      </c>
      <c r="R52" s="31">
        <f>'3、总属性战斗节奏拟合'!P52/各种公式!$J$6*各种公式!$M$6</f>
        <v>0.18</v>
      </c>
      <c r="S52" s="31">
        <f>'3、总属性战斗节奏拟合'!Q52/各种公式!$J$8*各种公式!$M$8</f>
        <v>0.06</v>
      </c>
      <c r="T52" s="31">
        <f>'3、总属性战斗节奏拟合'!R52/各种公式!$J$9*各种公式!$M$9</f>
        <v>0.12</v>
      </c>
      <c r="U52" s="31">
        <f>'3、总属性战斗节奏拟合'!S52/各种公式!$J$10*各种公式!$M$10</f>
        <v>0.18</v>
      </c>
      <c r="V52">
        <f>'3、总属性战斗节奏拟合'!D52</f>
        <v>288561.17363478272</v>
      </c>
      <c r="W52">
        <f>'3、总属性战斗节奏拟合'!E52</f>
        <v>16499.685913043486</v>
      </c>
      <c r="X52">
        <f>'3、总属性战斗节奏拟合'!F52</f>
        <v>7333.1937391304382</v>
      </c>
      <c r="Y52">
        <f>'3、总属性战斗节奏拟合'!G52</f>
        <v>9166.4921739130477</v>
      </c>
      <c r="Z52">
        <f>(((L52/$L$104*各种公式!$M$3)+S52+Q52+U52)*V52)</f>
        <v>162748.50193001746</v>
      </c>
      <c r="AA52">
        <f>(((N52/$N$104*各种公式!$M$3)*Y52*(1+R52)+Y52*R52))+W52*T52-X52*U52</f>
        <v>3867.5263780173937</v>
      </c>
      <c r="AB52">
        <f>Z52-AA52*'3、总属性战斗节奏拟合'!H52</f>
        <v>40998.771550029909</v>
      </c>
      <c r="AC52" s="145">
        <f>(V52/(1-L52/(L52+116666))-V52)*各种公式!$C$13</f>
        <v>2968.0747463848861</v>
      </c>
      <c r="AD52" s="145">
        <f t="shared" si="3"/>
        <v>10083.141391304353</v>
      </c>
      <c r="AE52" s="145">
        <f>Y52*N52/各种公式!$J$5*各种公式!$M$5</f>
        <v>1649.9685913043486</v>
      </c>
      <c r="AF52" s="130">
        <f t="shared" si="4"/>
        <v>1649.9685913043486</v>
      </c>
      <c r="AG52" s="130">
        <f t="shared" si="5"/>
        <v>17313.670418086964</v>
      </c>
      <c r="AH52" s="130">
        <f t="shared" si="6"/>
        <v>1979.9623095652182</v>
      </c>
      <c r="AI52" s="130">
        <f t="shared" si="7"/>
        <v>1319.9748730434787</v>
      </c>
    </row>
    <row r="53" spans="2:35" x14ac:dyDescent="0.15">
      <c r="B53" s="1">
        <v>49</v>
      </c>
      <c r="C53" s="1">
        <f>'3、总属性战斗节奏拟合'!D53*'2、属性成长'!$Q54</f>
        <v>14203.560000000009</v>
      </c>
      <c r="D53" s="1">
        <f>'3、总属性战斗节奏拟合'!E53*'2、属性成长'!$Q54</f>
        <v>799.20000000000039</v>
      </c>
      <c r="E53" s="1">
        <f>'3、总属性战斗节奏拟合'!F53*'2、属性成长'!$Q54</f>
        <v>355.20000000000022</v>
      </c>
      <c r="F53" s="1">
        <f>$C$5*各种公式!$C$13+D53+E53</f>
        <v>1174.2264000000007</v>
      </c>
      <c r="H53">
        <v>49</v>
      </c>
      <c r="I53" s="138">
        <f t="shared" si="2"/>
        <v>683909.1868307034</v>
      </c>
      <c r="J53" s="138">
        <f t="shared" si="8"/>
        <v>40998.960000000021</v>
      </c>
      <c r="K53" s="138">
        <f t="shared" si="9"/>
        <v>18221.760000000009</v>
      </c>
      <c r="L53">
        <f>'3、总属性战斗节奏拟合'!J53</f>
        <v>30625</v>
      </c>
      <c r="M53">
        <f>'3、总属性战斗节奏拟合'!K53</f>
        <v>30625</v>
      </c>
      <c r="N53">
        <f>'3、总属性战斗节奏拟合'!L53</f>
        <v>30625</v>
      </c>
      <c r="O53" s="31">
        <f>'3、总属性战斗节奏拟合'!N53/各种公式!$J$4</f>
        <v>0.61250000000000004</v>
      </c>
      <c r="P53">
        <f>'3、总属性战斗节奏拟合'!M53</f>
        <v>30625</v>
      </c>
      <c r="Q53" s="31">
        <f>'3、总属性战斗节奏拟合'!O53/各种公式!$J$6*各种公式!$M$6</f>
        <v>0.18375</v>
      </c>
      <c r="R53" s="31">
        <f>'3、总属性战斗节奏拟合'!P53/各种公式!$J$6*各种公式!$M$6</f>
        <v>0.18375</v>
      </c>
      <c r="S53" s="31">
        <f>'3、总属性战斗节奏拟合'!Q53/各种公式!$J$8*各种公式!$M$8</f>
        <v>6.1250000000000006E-2</v>
      </c>
      <c r="T53" s="31">
        <f>'3、总属性战斗节奏拟合'!R53/各种公式!$J$9*各种公式!$M$9</f>
        <v>0.12250000000000001</v>
      </c>
      <c r="U53" s="31">
        <f>'3、总属性战斗节奏拟合'!S53/各种公式!$J$10*各种公式!$M$10</f>
        <v>0.18375</v>
      </c>
      <c r="V53">
        <f>'3、总属性战斗节奏拟合'!D53</f>
        <v>309598.0909883781</v>
      </c>
      <c r="W53">
        <f>'3、总属性战斗节奏拟合'!E53</f>
        <v>17420.336473244155</v>
      </c>
      <c r="X53">
        <f>'3、总属性战斗节奏拟合'!F53</f>
        <v>7742.3717658862915</v>
      </c>
      <c r="Y53">
        <f>'3、总属性战斗节奏拟合'!G53</f>
        <v>9677.9647073578635</v>
      </c>
      <c r="Z53">
        <f>(((L53/$L$104*各种公式!$M$3)+S53+Q53+U53)*V53)</f>
        <v>178251.10088655868</v>
      </c>
      <c r="AA53">
        <f>(((N53/$N$104*各种公式!$M$3)*Y53*(1+R53)+Y53*R53))+W53*T53-X53*U53</f>
        <v>4173.7311571510363</v>
      </c>
      <c r="AB53">
        <f>Z53-AA53*'3、总属性战斗节奏拟合'!H53</f>
        <v>44733.441169297032</v>
      </c>
      <c r="AC53" s="145">
        <f>(V53/(1-L53/(L53+116666))-V53)*各种公式!$C$13</f>
        <v>3250.7985313695763</v>
      </c>
      <c r="AD53" s="145">
        <f t="shared" si="3"/>
        <v>10766.735736935623</v>
      </c>
      <c r="AE53" s="145">
        <f>Y53*N53/各种公式!$J$5*各种公式!$M$5</f>
        <v>1778.3260149770074</v>
      </c>
      <c r="AF53" s="130">
        <f t="shared" si="4"/>
        <v>1778.3260149770074</v>
      </c>
      <c r="AG53" s="130">
        <f t="shared" si="5"/>
        <v>18962.88307303816</v>
      </c>
      <c r="AH53" s="130">
        <f t="shared" si="6"/>
        <v>2133.9912179724092</v>
      </c>
      <c r="AI53" s="130">
        <f t="shared" si="7"/>
        <v>1422.660811981606</v>
      </c>
    </row>
    <row r="54" spans="2:35" x14ac:dyDescent="0.15">
      <c r="B54" s="1">
        <v>50</v>
      </c>
      <c r="C54" s="1">
        <f>'3、总属性战斗节奏拟合'!D54*'2、属性成长'!$Q55</f>
        <v>14917.500000000005</v>
      </c>
      <c r="D54" s="1">
        <f>'3、总属性战斗节奏拟合'!E54*'2、属性成长'!$Q55</f>
        <v>826.20000000000027</v>
      </c>
      <c r="E54" s="1">
        <f>'3、总属性战斗节奏拟合'!F54*'2、属性成长'!$Q55</f>
        <v>367.2000000000001</v>
      </c>
      <c r="F54" s="1">
        <f>$C$5*各种公式!$C$13+D54+E54</f>
        <v>1213.2264000000005</v>
      </c>
      <c r="H54">
        <v>50</v>
      </c>
      <c r="I54" s="138">
        <f t="shared" si="2"/>
        <v>716242.40830715036</v>
      </c>
      <c r="J54" s="138">
        <f t="shared" si="8"/>
        <v>42384.060000000012</v>
      </c>
      <c r="K54" s="138">
        <f t="shared" si="9"/>
        <v>18837.360000000004</v>
      </c>
      <c r="L54">
        <f>'3、总属性战斗节奏拟合'!J54</f>
        <v>31250</v>
      </c>
      <c r="M54">
        <f>'3、总属性战斗节奏拟合'!K54</f>
        <v>31250</v>
      </c>
      <c r="N54">
        <f>'3、总属性战斗节奏拟合'!L54</f>
        <v>31250</v>
      </c>
      <c r="O54" s="31">
        <f>'3、总属性战斗节奏拟合'!N54/各种公式!$J$4</f>
        <v>0.625</v>
      </c>
      <c r="P54">
        <f>'3、总属性战斗节奏拟合'!M54</f>
        <v>31250</v>
      </c>
      <c r="Q54" s="31">
        <f>'3、总属性战斗节奏拟合'!O54/各种公式!$J$6*各种公式!$M$6</f>
        <v>0.1875</v>
      </c>
      <c r="R54" s="31">
        <f>'3、总属性战斗节奏拟合'!P54/各种公式!$J$6*各种公式!$M$6</f>
        <v>0.1875</v>
      </c>
      <c r="S54" s="31">
        <f>'3、总属性战斗节奏拟合'!Q54/各种公式!$J$8*各种公式!$M$8</f>
        <v>6.25E-2</v>
      </c>
      <c r="T54" s="31">
        <f>'3、总属性战斗节奏拟合'!R54/各种公式!$J$9*各种公式!$M$9</f>
        <v>0.125</v>
      </c>
      <c r="U54" s="31">
        <f>'3、总属性战斗节奏拟合'!S54/各种公式!$J$10*各种公式!$M$10</f>
        <v>0.1875</v>
      </c>
      <c r="V54">
        <f>'3、总属性战斗节奏拟合'!D54</f>
        <v>333789.56046195666</v>
      </c>
      <c r="W54">
        <f>'3、总属性战斗节奏拟合'!E54</f>
        <v>18486.806425585291</v>
      </c>
      <c r="X54">
        <f>'3、总属性战斗节奏拟合'!F54</f>
        <v>8216.3584113712404</v>
      </c>
      <c r="Y54">
        <f>'3、总属性战斗节奏拟合'!G54</f>
        <v>10270.448014214051</v>
      </c>
      <c r="Z54">
        <f>(((L54/$L$104*各种公式!$M$3)+S54+Q54+U54)*V54)</f>
        <v>196101.36677139954</v>
      </c>
      <c r="AA54">
        <f>(((N54/$N$104*各种公式!$M$3)*Y54*(1+R54)+Y54*R54))+W54*T54-X54*U54</f>
        <v>4525.4161562630652</v>
      </c>
      <c r="AB54">
        <f>Z54-AA54*'3、总属性战斗节奏拟合'!H54</f>
        <v>49025.341692849906</v>
      </c>
      <c r="AC54" s="145">
        <f>(V54/(1-L54/(L54+116666))-V54)*各种公式!$C$13</f>
        <v>3576.3371554475675</v>
      </c>
      <c r="AD54" s="145">
        <f t="shared" si="3"/>
        <v>11554.254015990808</v>
      </c>
      <c r="AE54" s="145">
        <f>Y54*N54/各种公式!$J$5*各种公式!$M$5</f>
        <v>1925.7090026651342</v>
      </c>
      <c r="AF54" s="130">
        <f t="shared" si="4"/>
        <v>1925.7090026651344</v>
      </c>
      <c r="AG54" s="130">
        <f t="shared" si="5"/>
        <v>20861.847528872291</v>
      </c>
      <c r="AH54" s="130">
        <f t="shared" si="6"/>
        <v>2310.8508031981614</v>
      </c>
      <c r="AI54" s="130">
        <f t="shared" si="7"/>
        <v>1540.5672021321075</v>
      </c>
    </row>
    <row r="55" spans="2:35" x14ac:dyDescent="0.15">
      <c r="B55" s="1">
        <v>51</v>
      </c>
      <c r="C55" s="1">
        <f>'3、总属性战斗节奏拟合'!D55*'2、属性成长'!$Q56</f>
        <v>15646.740000000009</v>
      </c>
      <c r="D55" s="1">
        <f>'3、总属性战斗节奏拟合'!E55*'2、属性成长'!$Q56</f>
        <v>853.20000000000027</v>
      </c>
      <c r="E55" s="1">
        <f>'3、总属性战斗节奏拟合'!F55*'2、属性成长'!$Q56</f>
        <v>379.20000000000016</v>
      </c>
      <c r="F55" s="1">
        <f>$C$5*各种公式!$C$13+D55+E55</f>
        <v>1252.2264000000005</v>
      </c>
      <c r="H55">
        <v>51</v>
      </c>
      <c r="I55" s="138">
        <f t="shared" si="2"/>
        <v>749077.43558025884</v>
      </c>
      <c r="J55" s="138">
        <f t="shared" si="8"/>
        <v>43769.160000000011</v>
      </c>
      <c r="K55" s="138">
        <f t="shared" si="9"/>
        <v>19452.960000000006</v>
      </c>
      <c r="L55">
        <f>'3、总属性战斗节奏拟合'!J55</f>
        <v>31875</v>
      </c>
      <c r="M55">
        <f>'3、总属性战斗节奏拟合'!K55</f>
        <v>31875</v>
      </c>
      <c r="N55">
        <f>'3、总属性战斗节奏拟合'!L55</f>
        <v>31875</v>
      </c>
      <c r="O55" s="31">
        <f>'3、总属性战斗节奏拟合'!N55/各种公式!$J$4</f>
        <v>0.63749999999999996</v>
      </c>
      <c r="P55">
        <f>'3、总属性战斗节奏拟合'!M55</f>
        <v>31875</v>
      </c>
      <c r="Q55" s="31">
        <f>'3、总属性战斗节奏拟合'!O55/各种公式!$J$6*各种公式!$M$6</f>
        <v>0.19124999999999998</v>
      </c>
      <c r="R55" s="31">
        <f>'3、总属性战斗节奏拟合'!P55/各种公式!$J$6*各种公式!$M$6</f>
        <v>0.19124999999999998</v>
      </c>
      <c r="S55" s="31">
        <f>'3、总属性战斗节奏拟合'!Q55/各种公式!$J$8*各种公式!$M$8</f>
        <v>6.3750000000000001E-2</v>
      </c>
      <c r="T55" s="31">
        <f>'3、总属性战斗节奏拟合'!R55/各种公式!$J$9*各种公式!$M$9</f>
        <v>0.1275</v>
      </c>
      <c r="U55" s="31">
        <f>'3、总属性战斗节奏拟合'!S55/各种公式!$J$10*各种公式!$M$10</f>
        <v>0.19124999999999998</v>
      </c>
      <c r="V55">
        <f>'3、总属性战斗节奏拟合'!D55</f>
        <v>359158.23752035969</v>
      </c>
      <c r="W55">
        <f>'3、总属性战斗节奏拟合'!E55</f>
        <v>19584.514617892979</v>
      </c>
      <c r="X55">
        <f>'3、总属性战斗节奏拟合'!F55</f>
        <v>8704.228719063547</v>
      </c>
      <c r="Y55">
        <f>'3、总属性战斗节奏拟合'!G55</f>
        <v>10880.285898829434</v>
      </c>
      <c r="Z55">
        <f>(((L55/$L$104*各种公式!$M$3)+S55+Q55+U55)*V55)</f>
        <v>215225.57383407553</v>
      </c>
      <c r="AA55">
        <f>(((N55/$N$104*各种公式!$M$3)*Y55*(1+R55)+Y55*R55))+W55*T55-X55*U55</f>
        <v>4896.2510576896066</v>
      </c>
      <c r="AB55">
        <f>Z55-AA55*'3、总属性战斗节奏拟合'!H55</f>
        <v>53600.326419741585</v>
      </c>
      <c r="AC55" s="145">
        <f>(V55/(1-L55/(L55+116666))-V55)*各种公式!$C$13</f>
        <v>3925.1088820946848</v>
      </c>
      <c r="AD55" s="145">
        <f t="shared" si="3"/>
        <v>12376.325209918481</v>
      </c>
      <c r="AE55" s="145">
        <f>Y55*N55/各种公式!$J$5*各种公式!$M$5</f>
        <v>2080.8546781511291</v>
      </c>
      <c r="AF55" s="130">
        <f t="shared" si="4"/>
        <v>2080.8546781511291</v>
      </c>
      <c r="AG55" s="130">
        <f t="shared" si="5"/>
        <v>22896.337641922932</v>
      </c>
      <c r="AH55" s="130">
        <f t="shared" si="6"/>
        <v>2497.0256137813549</v>
      </c>
      <c r="AI55" s="130">
        <f t="shared" si="7"/>
        <v>1664.6837425209033</v>
      </c>
    </row>
    <row r="56" spans="2:35" x14ac:dyDescent="0.15">
      <c r="B56" s="1">
        <v>52</v>
      </c>
      <c r="C56" s="1">
        <f>'3、总属性战斗节奏拟合'!D56*'2、属性成长'!$Q57</f>
        <v>16391.280000000002</v>
      </c>
      <c r="D56" s="1">
        <f>'3、总属性战斗节奏拟合'!E56*'2、属性成长'!$Q57</f>
        <v>880.20000000000016</v>
      </c>
      <c r="E56" s="1">
        <f>'3、总属性战斗节奏拟合'!F56*'2、属性成长'!$Q57</f>
        <v>391.2000000000001</v>
      </c>
      <c r="F56" s="1">
        <f>$C$5*各种公式!$C$13+D56+E56</f>
        <v>1291.2264000000002</v>
      </c>
      <c r="H56">
        <v>52</v>
      </c>
      <c r="I56" s="138">
        <f t="shared" si="2"/>
        <v>782403.60833389161</v>
      </c>
      <c r="J56" s="138">
        <f t="shared" si="8"/>
        <v>45154.26</v>
      </c>
      <c r="K56" s="138">
        <f t="shared" si="9"/>
        <v>20068.560000000005</v>
      </c>
      <c r="L56">
        <f>'3、总属性战斗节奏拟合'!J56</f>
        <v>32500</v>
      </c>
      <c r="M56">
        <f>'3、总属性战斗节奏拟合'!K56</f>
        <v>32500</v>
      </c>
      <c r="N56">
        <f>'3、总属性战斗节奏拟合'!L56</f>
        <v>32500</v>
      </c>
      <c r="O56" s="31">
        <f>'3、总属性战斗节奏拟合'!N56/各种公式!$J$4</f>
        <v>0.65</v>
      </c>
      <c r="P56">
        <f>'3、总属性战斗节奏拟合'!M56</f>
        <v>32500</v>
      </c>
      <c r="Q56" s="31">
        <f>'3、总属性战斗节奏拟合'!O56/各种公式!$J$6*各种公式!$M$6</f>
        <v>0.19500000000000001</v>
      </c>
      <c r="R56" s="31">
        <f>'3、总属性战斗节奏拟合'!P56/各种公式!$J$6*各种公式!$M$6</f>
        <v>0.19500000000000001</v>
      </c>
      <c r="S56" s="31">
        <f>'3、总属性战斗节奏拟合'!Q56/各种公式!$J$8*各种公式!$M$8</f>
        <v>6.5000000000000002E-2</v>
      </c>
      <c r="T56" s="31">
        <f>'3、总属性战斗节奏拟合'!R56/各种公式!$J$9*各种公式!$M$9</f>
        <v>0.13</v>
      </c>
      <c r="U56" s="31">
        <f>'3、总属性战斗节奏拟合'!S56/各种公式!$J$10*各种公式!$M$10</f>
        <v>0.19500000000000001</v>
      </c>
      <c r="V56">
        <f>'3、总属性战斗节奏拟合'!D56</f>
        <v>385730.67466755857</v>
      </c>
      <c r="W56">
        <f>'3、总属性战斗节奏拟合'!E56</f>
        <v>20713.461050167229</v>
      </c>
      <c r="X56">
        <f>'3、总属性战斗节奏拟合'!F56</f>
        <v>9205.9826889632131</v>
      </c>
      <c r="Y56">
        <f>'3、总属性战斗节奏拟合'!G56</f>
        <v>11507.478361204016</v>
      </c>
      <c r="Z56">
        <f>(((L56/$L$104*各种公式!$M$3)+S56+Q56+U56)*V56)</f>
        <v>235681.44222187827</v>
      </c>
      <c r="AA56">
        <f>(((N56/$N$104*各种公式!$M$3)*Y56*(1+R56)+Y56*R56))+W56*T56-X56*U56</f>
        <v>5286.765708704349</v>
      </c>
      <c r="AB56">
        <f>Z56-AA56*'3、总属性战斗节奏拟合'!H56</f>
        <v>58469.055666108528</v>
      </c>
      <c r="AC56" s="145">
        <f>(V56/(1-L56/(L56+116666))-V56)*各种公式!$C$13</f>
        <v>4298.1663643891643</v>
      </c>
      <c r="AD56" s="145">
        <f t="shared" si="3"/>
        <v>13233.600115384617</v>
      </c>
      <c r="AE56" s="145">
        <f>Y56*N56/各种公式!$J$5*各种公式!$M$5</f>
        <v>2243.9582804347829</v>
      </c>
      <c r="AF56" s="130">
        <f t="shared" si="4"/>
        <v>2243.9582804347833</v>
      </c>
      <c r="AG56" s="130">
        <f t="shared" si="5"/>
        <v>25072.493853391308</v>
      </c>
      <c r="AH56" s="130">
        <f t="shared" si="6"/>
        <v>2692.74993652174</v>
      </c>
      <c r="AI56" s="130">
        <f t="shared" si="7"/>
        <v>1795.1666243478267</v>
      </c>
    </row>
    <row r="57" spans="2:35" x14ac:dyDescent="0.15">
      <c r="B57" s="1">
        <v>53</v>
      </c>
      <c r="C57" s="1">
        <f>'3、总属性战斗节奏拟合'!D57*'2、属性成长'!$Q58</f>
        <v>17151.120000000006</v>
      </c>
      <c r="D57" s="1">
        <f>'3、总属性战斗节奏拟合'!E57*'2、属性成长'!$Q58</f>
        <v>907.20000000000027</v>
      </c>
      <c r="E57" s="1">
        <f>'3、总属性战斗节奏拟合'!F57*'2、属性成长'!$Q58</f>
        <v>403.2000000000001</v>
      </c>
      <c r="F57" s="1">
        <f>$C$5*各种公式!$C$13+D57+E57</f>
        <v>1330.2264000000005</v>
      </c>
      <c r="H57">
        <v>53</v>
      </c>
      <c r="I57" s="138">
        <f t="shared" si="2"/>
        <v>816210.17890046258</v>
      </c>
      <c r="J57" s="138">
        <f t="shared" si="8"/>
        <v>46539.360000000008</v>
      </c>
      <c r="K57" s="138">
        <f t="shared" si="9"/>
        <v>20684.160000000003</v>
      </c>
      <c r="L57">
        <f>'3、总属性战斗节奏拟合'!J57</f>
        <v>33125</v>
      </c>
      <c r="M57">
        <f>'3、总属性战斗节奏拟合'!K57</f>
        <v>33125</v>
      </c>
      <c r="N57">
        <f>'3、总属性战斗节奏拟合'!L57</f>
        <v>33125</v>
      </c>
      <c r="O57" s="31">
        <f>'3、总属性战斗节奏拟合'!N57/各种公式!$J$4</f>
        <v>0.66249999999999998</v>
      </c>
      <c r="P57">
        <f>'3、总属性战斗节奏拟合'!M57</f>
        <v>33125</v>
      </c>
      <c r="Q57" s="31">
        <f>'3、总属性战斗节奏拟合'!O57/各种公式!$J$6*各种公式!$M$6</f>
        <v>0.19874999999999998</v>
      </c>
      <c r="R57" s="31">
        <f>'3、总属性战斗节奏拟合'!P57/各种公式!$J$6*各种公式!$M$6</f>
        <v>0.19874999999999998</v>
      </c>
      <c r="S57" s="31">
        <f>'3、总属性战斗节奏拟合'!Q57/各种公式!$J$8*各种公式!$M$8</f>
        <v>6.6250000000000003E-2</v>
      </c>
      <c r="T57" s="31">
        <f>'3、总属性战斗节奏拟合'!R57/各种公式!$J$9*各种公式!$M$9</f>
        <v>0.13250000000000001</v>
      </c>
      <c r="U57" s="31">
        <f>'3、总属性战斗节奏拟合'!S57/各种公式!$J$10*各种公式!$M$10</f>
        <v>0.19874999999999998</v>
      </c>
      <c r="V57">
        <f>'3、总属性战斗节奏拟合'!D57</f>
        <v>413533.42440752522</v>
      </c>
      <c r="W57">
        <f>'3、总属性战斗节奏拟合'!E57</f>
        <v>21873.645722408033</v>
      </c>
      <c r="X57">
        <f>'3、总属性战斗节奏拟合'!F57</f>
        <v>9721.620321070237</v>
      </c>
      <c r="Y57">
        <f>'3、总属性战斗节奏拟合'!G57</f>
        <v>12152.025401337796</v>
      </c>
      <c r="Z57">
        <f>(((L57/$L$104*各种公式!$M$3)+S57+Q57+U57)*V57)</f>
        <v>257527.9400497863</v>
      </c>
      <c r="AA57">
        <f>(((N57/$N$104*各种公式!$M$3)*Y57*(1+R57)+Y57*R57))+W57*T57-X57*U57</f>
        <v>5697.4922994489762</v>
      </c>
      <c r="AB57">
        <f>Z57-AA57*'3、总属性战斗节奏拟合'!H57</f>
        <v>63642.277099537634</v>
      </c>
      <c r="AC57" s="145">
        <f>(V57/(1-L57/(L57+116666))-V57)*各种公式!$C$13</f>
        <v>4696.5850148284062</v>
      </c>
      <c r="AD57" s="145">
        <f t="shared" si="3"/>
        <v>14126.729529055188</v>
      </c>
      <c r="AE57" s="145">
        <f>Y57*N57/各种公式!$J$5*各种公式!$M$5</f>
        <v>2415.2150485158868</v>
      </c>
      <c r="AF57" s="130">
        <f t="shared" si="4"/>
        <v>2415.2150485158868</v>
      </c>
      <c r="AG57" s="130">
        <f t="shared" si="5"/>
        <v>27396.589366998549</v>
      </c>
      <c r="AH57" s="130">
        <f t="shared" si="6"/>
        <v>2898.2580582190644</v>
      </c>
      <c r="AI57" s="130">
        <f t="shared" si="7"/>
        <v>1932.1720388127094</v>
      </c>
    </row>
    <row r="58" spans="2:35" x14ac:dyDescent="0.15">
      <c r="B58" s="1">
        <v>54</v>
      </c>
      <c r="C58" s="1">
        <f>'3、总属性战斗节奏拟合'!D58*'2、属性成长'!$Q59</f>
        <v>17926.260000000002</v>
      </c>
      <c r="D58" s="1">
        <f>'3、总属性战斗节奏拟合'!E58*'2、属性成长'!$Q59</f>
        <v>934.20000000000027</v>
      </c>
      <c r="E58" s="1">
        <f>'3、总属性战斗节奏拟合'!F58*'2、属性成长'!$Q59</f>
        <v>415.20000000000016</v>
      </c>
      <c r="F58" s="1">
        <f>$C$5*各种公式!$C$13+D58+E58</f>
        <v>1369.2264000000005</v>
      </c>
      <c r="H58">
        <v>54</v>
      </c>
      <c r="I58" s="138">
        <f t="shared" si="2"/>
        <v>850486.3182352474</v>
      </c>
      <c r="J58" s="138">
        <f t="shared" si="8"/>
        <v>47924.460000000014</v>
      </c>
      <c r="K58" s="138">
        <f t="shared" si="9"/>
        <v>21299.760000000006</v>
      </c>
      <c r="L58">
        <f>'3、总属性战斗节奏拟合'!J58</f>
        <v>33750</v>
      </c>
      <c r="M58">
        <f>'3、总属性战斗节奏拟合'!K58</f>
        <v>33750</v>
      </c>
      <c r="N58">
        <f>'3、总属性战斗节奏拟合'!L58</f>
        <v>33750</v>
      </c>
      <c r="O58" s="31">
        <f>'3、总属性战斗节奏拟合'!N58/各种公式!$J$4</f>
        <v>0.67500000000000004</v>
      </c>
      <c r="P58">
        <f>'3、总属性战斗节奏拟合'!M58</f>
        <v>33750</v>
      </c>
      <c r="Q58" s="31">
        <f>'3、总属性战斗节奏拟合'!O58/各种公式!$J$6*各种公式!$M$6</f>
        <v>0.20250000000000001</v>
      </c>
      <c r="R58" s="31">
        <f>'3、总属性战斗节奏拟合'!P58/各种公式!$J$6*各种公式!$M$6</f>
        <v>0.20250000000000001</v>
      </c>
      <c r="S58" s="31">
        <f>'3、总属性战斗节奏拟合'!Q58/各种公式!$J$8*各种公式!$M$8</f>
        <v>6.7500000000000004E-2</v>
      </c>
      <c r="T58" s="31">
        <f>'3、总属性战斗节奏拟合'!R58/各种公式!$J$9*各种公式!$M$9</f>
        <v>0.13500000000000001</v>
      </c>
      <c r="U58" s="31">
        <f>'3、总属性战斗节奏拟合'!S58/各种公式!$J$10*各种公式!$M$10</f>
        <v>0.20250000000000001</v>
      </c>
      <c r="V58">
        <f>'3、总属性战斗节奏拟合'!D58</f>
        <v>442593.03924423084</v>
      </c>
      <c r="W58">
        <f>'3、总属性战斗节奏拟合'!E58</f>
        <v>23065.068634615389</v>
      </c>
      <c r="X58">
        <f>'3、总属性战斗节奏拟合'!F58</f>
        <v>10251.141615384618</v>
      </c>
      <c r="Y58">
        <f>'3、总属性战斗节奏拟合'!G58</f>
        <v>12813.927019230772</v>
      </c>
      <c r="Z58">
        <f>(((L58/$L$104*各种公式!$M$3)+S58+Q58+U58)*V58)</f>
        <v>280825.28340046451</v>
      </c>
      <c r="AA58">
        <f>(((N58/$N$104*各种公式!$M$3)*Y58*(1+R58)+Y58*R58))+W58*T58-X58*U58</f>
        <v>6128.9653629331733</v>
      </c>
      <c r="AB58">
        <f>Z58-AA58*'3、总属性战斗节奏拟合'!H58</f>
        <v>69130.819764752698</v>
      </c>
      <c r="AC58" s="145">
        <f>(V58/(1-L58/(L58+116666))-V58)*各种公式!$C$13</f>
        <v>5121.4630053289884</v>
      </c>
      <c r="AD58" s="145">
        <f t="shared" si="3"/>
        <v>15056.364247596159</v>
      </c>
      <c r="AE58" s="145">
        <f>Y58*N58/各种公式!$J$5*各种公式!$M$5</f>
        <v>2594.8202213942313</v>
      </c>
      <c r="AF58" s="130">
        <f t="shared" si="4"/>
        <v>2594.8202213942313</v>
      </c>
      <c r="AG58" s="130">
        <f t="shared" si="5"/>
        <v>29875.030148985585</v>
      </c>
      <c r="AH58" s="130">
        <f t="shared" si="6"/>
        <v>3113.7842656730777</v>
      </c>
      <c r="AI58" s="130">
        <f t="shared" si="7"/>
        <v>2075.8561771153854</v>
      </c>
    </row>
    <row r="59" spans="2:35" x14ac:dyDescent="0.15">
      <c r="B59" s="1">
        <v>55</v>
      </c>
      <c r="C59" s="1">
        <f>'3、总属性战斗节奏拟合'!D59*'2、属性成长'!$Q60</f>
        <v>18716.7</v>
      </c>
      <c r="D59" s="1">
        <f>'3、总属性战斗节奏拟合'!E59*'2、属性成长'!$Q60</f>
        <v>961.20000000000016</v>
      </c>
      <c r="E59" s="1">
        <f>'3、总属性战斗节奏拟合'!F59*'2、属性成长'!$Q60</f>
        <v>427.2000000000001</v>
      </c>
      <c r="F59" s="1">
        <f>$C$5*各种公式!$C$13+D59+E59</f>
        <v>1408.2264000000002</v>
      </c>
      <c r="H59">
        <v>55</v>
      </c>
      <c r="I59" s="138">
        <f t="shared" si="2"/>
        <v>885221.12189069903</v>
      </c>
      <c r="J59" s="138">
        <f t="shared" si="8"/>
        <v>49309.560000000005</v>
      </c>
      <c r="K59" s="138">
        <f t="shared" si="9"/>
        <v>21915.360000000004</v>
      </c>
      <c r="L59">
        <f>'3、总属性战斗节奏拟合'!J59</f>
        <v>34375</v>
      </c>
      <c r="M59">
        <f>'3、总属性战斗节奏拟合'!K59</f>
        <v>34375</v>
      </c>
      <c r="N59">
        <f>'3、总属性战斗节奏拟合'!L59</f>
        <v>34375</v>
      </c>
      <c r="O59" s="31">
        <f>'3、总属性战斗节奏拟合'!N59/各种公式!$J$4</f>
        <v>0.6875</v>
      </c>
      <c r="P59">
        <f>'3、总属性战斗节奏拟合'!M59</f>
        <v>34375</v>
      </c>
      <c r="Q59" s="31">
        <f>'3、总属性战斗节奏拟合'!O59/各种公式!$J$6*各种公式!$M$6</f>
        <v>0.20624999999999999</v>
      </c>
      <c r="R59" s="31">
        <f>'3、总属性战斗节奏拟合'!P59/各种公式!$J$6*各种公式!$M$6</f>
        <v>0.20624999999999999</v>
      </c>
      <c r="S59" s="31">
        <f>'3、总属性战斗节奏拟合'!Q59/各种公式!$J$8*各种公式!$M$8</f>
        <v>6.8750000000000006E-2</v>
      </c>
      <c r="T59" s="31">
        <f>'3、总属性战斗节奏拟合'!R59/各种公式!$J$9*各种公式!$M$9</f>
        <v>0.13750000000000001</v>
      </c>
      <c r="U59" s="31">
        <f>'3、总属性战斗节奏拟合'!S59/各种公式!$J$10*各种公式!$M$10</f>
        <v>0.20624999999999999</v>
      </c>
      <c r="V59">
        <f>'3、总属性战斗节奏拟合'!D59</f>
        <v>472936.07168164715</v>
      </c>
      <c r="W59">
        <f>'3、总属性战斗节奏拟合'!E59</f>
        <v>24287.729786789299</v>
      </c>
      <c r="X59">
        <f>'3、总属性战斗节奏拟合'!F59</f>
        <v>10794.546571906356</v>
      </c>
      <c r="Y59">
        <f>'3、总属性战斗节奏拟合'!G59</f>
        <v>13493.183214882944</v>
      </c>
      <c r="Z59">
        <f>(((L59/$L$104*各种公式!$M$3)+S59+Q59+U59)*V59)</f>
        <v>305634.93632426445</v>
      </c>
      <c r="AA59">
        <f>(((N59/$N$104*各种公式!$M$3)*Y59*(1+R59)+Y59*R59))+W59*T59-X59*U59</f>
        <v>6581.7217750346208</v>
      </c>
      <c r="AB59">
        <f>Z59-AA59*'3、总属性战斗节奏拟合'!H59</f>
        <v>74945.588109300996</v>
      </c>
      <c r="AC59" s="145">
        <f>(V59/(1-L59/(L59+116666))-V59)*各种公式!$C$13</f>
        <v>5573.9212672266576</v>
      </c>
      <c r="AD59" s="145">
        <f t="shared" si="3"/>
        <v>16023.155067673495</v>
      </c>
      <c r="AE59" s="145">
        <f>Y59*N59/各种公式!$J$5*各种公式!$M$5</f>
        <v>2782.969038069607</v>
      </c>
      <c r="AF59" s="130">
        <f t="shared" si="4"/>
        <v>2782.969038069607</v>
      </c>
      <c r="AG59" s="130">
        <f t="shared" si="5"/>
        <v>32514.354928113244</v>
      </c>
      <c r="AH59" s="130">
        <f t="shared" si="6"/>
        <v>3339.5628456835288</v>
      </c>
      <c r="AI59" s="130">
        <f t="shared" si="7"/>
        <v>2226.3752304556856</v>
      </c>
    </row>
    <row r="60" spans="2:35" x14ac:dyDescent="0.15">
      <c r="B60" s="1">
        <v>56</v>
      </c>
      <c r="C60" s="1">
        <f>'3、总属性战斗节奏拟合'!D60*'2、属性成长'!$Q61</f>
        <v>19522.440000000006</v>
      </c>
      <c r="D60" s="1">
        <f>'3、总属性战斗节奏拟合'!E60*'2、属性成长'!$Q61</f>
        <v>988.20000000000027</v>
      </c>
      <c r="E60" s="1">
        <f>'3、总属性战斗节奏拟合'!F60*'2、属性成长'!$Q61</f>
        <v>439.20000000000016</v>
      </c>
      <c r="F60" s="1">
        <f>$C$5*各种公式!$C$13+D60+E60</f>
        <v>1447.2264000000005</v>
      </c>
      <c r="H60">
        <v>56</v>
      </c>
      <c r="I60" s="138">
        <f t="shared" si="2"/>
        <v>920403.6159907598</v>
      </c>
      <c r="J60" s="138">
        <f t="shared" si="8"/>
        <v>50694.660000000011</v>
      </c>
      <c r="K60" s="138">
        <f t="shared" si="9"/>
        <v>22530.960000000006</v>
      </c>
      <c r="L60">
        <f>'3、总属性战斗节奏拟合'!J60</f>
        <v>35000</v>
      </c>
      <c r="M60">
        <f>'3、总属性战斗节奏拟合'!K60</f>
        <v>35000</v>
      </c>
      <c r="N60">
        <f>'3、总属性战斗节奏拟合'!L60</f>
        <v>35000</v>
      </c>
      <c r="O60" s="31">
        <f>'3、总属性战斗节奏拟合'!N60/各种公式!$J$4</f>
        <v>0.7</v>
      </c>
      <c r="P60">
        <f>'3、总属性战斗节奏拟合'!M60</f>
        <v>35000</v>
      </c>
      <c r="Q60" s="31">
        <f>'3、总属性战斗节奏拟合'!O60/各种公式!$J$6*各种公式!$M$6</f>
        <v>0.21</v>
      </c>
      <c r="R60" s="31">
        <f>'3、总属性战斗节奏拟合'!P60/各种公式!$J$6*各种公式!$M$6</f>
        <v>0.21</v>
      </c>
      <c r="S60" s="31">
        <f>'3、总属性战斗节奏拟合'!Q60/各种公式!$J$8*各种公式!$M$8</f>
        <v>6.9999999999999993E-2</v>
      </c>
      <c r="T60" s="31">
        <f>'3、总属性战斗节奏拟合'!R60/各种公式!$J$9*各种公式!$M$9</f>
        <v>0.13999999999999999</v>
      </c>
      <c r="U60" s="31">
        <f>'3、总属性战斗节奏拟合'!S60/各种公式!$J$10*各种公式!$M$10</f>
        <v>0.21</v>
      </c>
      <c r="V60">
        <f>'3、总属性战斗节奏拟合'!D60</f>
        <v>504589.07422374596</v>
      </c>
      <c r="W60">
        <f>'3、总属性战斗节奏拟合'!E60</f>
        <v>25541.629178929772</v>
      </c>
      <c r="X60">
        <f>'3、总属性战斗节奏拟合'!F60</f>
        <v>11351.835190635455</v>
      </c>
      <c r="Y60">
        <f>'3、总属性战斗节奏拟合'!G60</f>
        <v>14189.793988294317</v>
      </c>
      <c r="Z60">
        <f>(((L60/$L$104*各种公式!$M$3)+S60+Q60+U60)*V60)</f>
        <v>332019.61083922483</v>
      </c>
      <c r="AA60">
        <f>(((N60/$N$104*各种公式!$M$3)*Y60*(1+R60)+Y60*R60))+W60*T60-X60*U60</f>
        <v>7056.3007544989978</v>
      </c>
      <c r="AB60">
        <f>Z60-AA60*'3、总属性战斗节奏拟合'!H60</f>
        <v>81097.556009240448</v>
      </c>
      <c r="AC60" s="145">
        <f>(V60/(1-L60/(L60+116666))-V60)*各种公式!$C$13</f>
        <v>6055.1034912763307</v>
      </c>
      <c r="AD60" s="145">
        <f t="shared" si="3"/>
        <v>17027.75278595318</v>
      </c>
      <c r="AE60" s="145">
        <f>Y60*N60/各种公式!$J$5*各种公式!$M$5</f>
        <v>2979.8567375418065</v>
      </c>
      <c r="AF60" s="130">
        <f t="shared" si="4"/>
        <v>2979.8567375418065</v>
      </c>
      <c r="AG60" s="130">
        <f t="shared" si="5"/>
        <v>35321.235195662215</v>
      </c>
      <c r="AH60" s="130">
        <f t="shared" si="6"/>
        <v>3575.8280850501678</v>
      </c>
      <c r="AI60" s="130">
        <f t="shared" si="7"/>
        <v>2383.8853900334452</v>
      </c>
    </row>
    <row r="61" spans="2:35" x14ac:dyDescent="0.15">
      <c r="B61" s="1">
        <v>57</v>
      </c>
      <c r="C61" s="1">
        <f>'3、总属性战斗节奏拟合'!D61*'2、属性成长'!$Q62</f>
        <v>20343.480000000003</v>
      </c>
      <c r="D61" s="1">
        <f>'3、总属性战斗节奏拟合'!E61*'2、属性成长'!$Q62</f>
        <v>1015.2000000000002</v>
      </c>
      <c r="E61" s="1">
        <f>'3、总属性战斗节奏拟合'!F61*'2、属性成长'!$Q62</f>
        <v>451.2000000000001</v>
      </c>
      <c r="F61" s="1">
        <f>$C$5*各种公式!$C$13+D61+E61</f>
        <v>1486.2264000000002</v>
      </c>
      <c r="H61">
        <v>57</v>
      </c>
      <c r="I61" s="138">
        <f t="shared" si="2"/>
        <v>956022.76320517482</v>
      </c>
      <c r="J61" s="138">
        <f t="shared" si="8"/>
        <v>52079.76</v>
      </c>
      <c r="K61" s="138">
        <f t="shared" si="9"/>
        <v>23146.560000000005</v>
      </c>
      <c r="L61">
        <f>'3、总属性战斗节奏拟合'!J61</f>
        <v>35625</v>
      </c>
      <c r="M61">
        <f>'3、总属性战斗节奏拟合'!K61</f>
        <v>35625</v>
      </c>
      <c r="N61">
        <f>'3、总属性战斗节奏拟合'!L61</f>
        <v>35625</v>
      </c>
      <c r="O61" s="31">
        <f>'3、总属性战斗节奏拟合'!N61/各种公式!$J$4</f>
        <v>0.71250000000000002</v>
      </c>
      <c r="P61">
        <f>'3、总属性战斗节奏拟合'!M61</f>
        <v>35625</v>
      </c>
      <c r="Q61" s="31">
        <f>'3、总属性战斗节奏拟合'!O61/各种公式!$J$6*各种公式!$M$6</f>
        <v>0.21375</v>
      </c>
      <c r="R61" s="31">
        <f>'3、总属性战斗节奏拟合'!P61/各种公式!$J$6*各种公式!$M$6</f>
        <v>0.21375</v>
      </c>
      <c r="S61" s="31">
        <f>'3、总属性战斗节奏拟合'!Q61/各种公式!$J$8*各种公式!$M$8</f>
        <v>7.1250000000000008E-2</v>
      </c>
      <c r="T61" s="31">
        <f>'3、总属性战斗节奏拟合'!R61/各种公式!$J$9*各种公式!$M$9</f>
        <v>0.14250000000000002</v>
      </c>
      <c r="U61" s="31">
        <f>'3、总属性战斗节奏拟合'!S61/各种公式!$J$10*各种公式!$M$10</f>
        <v>0.21375</v>
      </c>
      <c r="V61">
        <f>'3、总属性战斗节奏拟合'!D61</f>
        <v>537578.59937449847</v>
      </c>
      <c r="W61">
        <f>'3、总属性战斗节奏拟合'!E61</f>
        <v>26826.766811036796</v>
      </c>
      <c r="X61">
        <f>'3、总属性战斗节奏拟合'!F61</f>
        <v>11923.007471571909</v>
      </c>
      <c r="Y61">
        <f>'3、总属性战斗节奏拟合'!G61</f>
        <v>14903.759339464887</v>
      </c>
      <c r="Z61">
        <f>(((L61/$L$104*各种公式!$M$3)+S61+Q61+U61)*V61)</f>
        <v>360043.26693107031</v>
      </c>
      <c r="AA61">
        <f>(((N61/$N$104*各种公式!$M$3)*Y61*(1+R61)+Y61*R61))+W61*T61-X61*U61</f>
        <v>7553.2438629399803</v>
      </c>
      <c r="AB61">
        <f>Z61-AA61*'3、总属性战斗节奏拟合'!H61</f>
        <v>87597.760794825212</v>
      </c>
      <c r="AC61" s="145">
        <f>(V61/(1-L61/(L61+116666))-V61)*各种公式!$C$13</f>
        <v>6566.1761276521065</v>
      </c>
      <c r="AD61" s="145">
        <f t="shared" si="3"/>
        <v>18070.808199101175</v>
      </c>
      <c r="AE61" s="145">
        <f>Y61*N61/各种公式!$J$5*各种公式!$M$5</f>
        <v>3185.6785588106195</v>
      </c>
      <c r="AF61" s="130">
        <f t="shared" si="4"/>
        <v>3185.6785588106195</v>
      </c>
      <c r="AG61" s="130">
        <f t="shared" si="5"/>
        <v>38302.475205433024</v>
      </c>
      <c r="AH61" s="130">
        <f t="shared" si="6"/>
        <v>3822.8142705727437</v>
      </c>
      <c r="AI61" s="130">
        <f t="shared" si="7"/>
        <v>2548.5428470484953</v>
      </c>
    </row>
    <row r="62" spans="2:35" x14ac:dyDescent="0.15">
      <c r="B62" s="1">
        <v>58</v>
      </c>
      <c r="C62" s="1">
        <f>'3、总属性战斗节奏拟合'!D62*'2、属性成长'!$Q63</f>
        <v>21179.820000000003</v>
      </c>
      <c r="D62" s="1">
        <f>'3、总属性战斗节奏拟合'!E62*'2、属性成长'!$Q63</f>
        <v>1042.2000000000003</v>
      </c>
      <c r="E62" s="1">
        <f>'3、总属性战斗节奏拟合'!F62*'2、属性成长'!$Q63</f>
        <v>463.20000000000016</v>
      </c>
      <c r="F62" s="1">
        <f>$C$5*各种公式!$C$13+D62+E62</f>
        <v>1525.2264000000005</v>
      </c>
      <c r="H62">
        <v>58</v>
      </c>
      <c r="I62" s="138">
        <f t="shared" si="2"/>
        <v>992067.46872380655</v>
      </c>
      <c r="J62" s="138">
        <f t="shared" si="8"/>
        <v>53464.860000000008</v>
      </c>
      <c r="K62" s="138">
        <f t="shared" si="9"/>
        <v>23762.160000000007</v>
      </c>
      <c r="L62">
        <f>'3、总属性战斗节奏拟合'!J62</f>
        <v>36250</v>
      </c>
      <c r="M62">
        <f>'3、总属性战斗节奏拟合'!K62</f>
        <v>36250</v>
      </c>
      <c r="N62">
        <f>'3、总属性战斗节奏拟合'!L62</f>
        <v>36250</v>
      </c>
      <c r="O62" s="31">
        <f>'3、总属性战斗节奏拟合'!N62/各种公式!$J$4</f>
        <v>0.72499999999999998</v>
      </c>
      <c r="P62">
        <f>'3、总属性战斗节奏拟合'!M62</f>
        <v>36250</v>
      </c>
      <c r="Q62" s="31">
        <f>'3、总属性战斗节奏拟合'!O62/各种公式!$J$6*各种公式!$M$6</f>
        <v>0.2175</v>
      </c>
      <c r="R62" s="31">
        <f>'3、总属性战斗节奏拟合'!P62/各种公式!$J$6*各种公式!$M$6</f>
        <v>0.2175</v>
      </c>
      <c r="S62" s="31">
        <f>'3、总属性战斗节奏拟合'!Q62/各种公式!$J$8*各种公式!$M$8</f>
        <v>7.2499999999999995E-2</v>
      </c>
      <c r="T62" s="31">
        <f>'3、总属性战斗节奏拟合'!R62/各种公式!$J$9*各种公式!$M$9</f>
        <v>0.14499999999999999</v>
      </c>
      <c r="U62" s="31">
        <f>'3、总属性战斗节奏拟合'!S62/各种公式!$J$10*各种公式!$M$10</f>
        <v>0.2175</v>
      </c>
      <c r="V62">
        <f>'3、总属性战斗节奏拟合'!D62</f>
        <v>571931.19963787636</v>
      </c>
      <c r="W62">
        <f>'3、总属性战斗节奏拟合'!E62</f>
        <v>28143.142683110374</v>
      </c>
      <c r="X62">
        <f>'3、总属性战斗节奏拟合'!F62</f>
        <v>12508.063414715723</v>
      </c>
      <c r="Y62">
        <f>'3、总属性战斗节奏拟合'!G62</f>
        <v>15635.079268394653</v>
      </c>
      <c r="Z62">
        <f>(((L62/$L$104*各种公式!$M$3)+S62+Q62+U62)*V62)</f>
        <v>389771.11255321273</v>
      </c>
      <c r="AA62">
        <f>(((N62/$N$104*各种公式!$M$3)*Y62*(1+R62)+Y62*R62))+W62*T62-X62*U62</f>
        <v>8073.095004839236</v>
      </c>
      <c r="AB62">
        <f>Z62-AA62*'3、总属性战斗节奏拟合'!H62</f>
        <v>94457.297276193509</v>
      </c>
      <c r="AC62" s="145">
        <f>(V62/(1-L62/(L62+116666))-V62)*各种公式!$C$13</f>
        <v>7108.3283859472394</v>
      </c>
      <c r="AD62" s="145">
        <f t="shared" si="3"/>
        <v>19152.97210378345</v>
      </c>
      <c r="AE62" s="145">
        <f>Y62*N62/各种公式!$J$5*各种公式!$M$5</f>
        <v>3400.6297408758373</v>
      </c>
      <c r="AF62" s="130">
        <f t="shared" si="4"/>
        <v>3400.6297408758369</v>
      </c>
      <c r="AG62" s="130">
        <f t="shared" si="5"/>
        <v>41465.011973746034</v>
      </c>
      <c r="AH62" s="130">
        <f t="shared" si="6"/>
        <v>4080.7556890510041</v>
      </c>
      <c r="AI62" s="130">
        <f t="shared" si="7"/>
        <v>2720.5037927006697</v>
      </c>
    </row>
    <row r="63" spans="2:35" x14ac:dyDescent="0.15">
      <c r="B63" s="1">
        <v>59</v>
      </c>
      <c r="C63" s="1">
        <f>'3、总属性战斗节奏拟合'!D63*'2、属性成长'!$Q64</f>
        <v>22031.460000000006</v>
      </c>
      <c r="D63" s="1">
        <f>'3、总属性战斗节奏拟合'!E63*'2、属性成长'!$Q64</f>
        <v>1069.2000000000003</v>
      </c>
      <c r="E63" s="1">
        <f>'3、总属性战斗节奏拟合'!F63*'2、属性成长'!$Q64</f>
        <v>475.2000000000001</v>
      </c>
      <c r="F63" s="1">
        <f>$C$5*各种公式!$C$13+D63+E63</f>
        <v>1564.2264000000002</v>
      </c>
      <c r="H63">
        <v>59</v>
      </c>
      <c r="I63" s="138">
        <f t="shared" si="2"/>
        <v>1028526.5862309474</v>
      </c>
      <c r="J63" s="138">
        <f t="shared" si="8"/>
        <v>54849.960000000014</v>
      </c>
      <c r="K63" s="138">
        <f t="shared" si="9"/>
        <v>24377.760000000006</v>
      </c>
      <c r="L63">
        <f>'3、总属性战斗节奏拟合'!J63</f>
        <v>36875</v>
      </c>
      <c r="M63">
        <f>'3、总属性战斗节奏拟合'!K63</f>
        <v>36875</v>
      </c>
      <c r="N63">
        <f>'3、总属性战斗节奏拟合'!L63</f>
        <v>36875</v>
      </c>
      <c r="O63" s="31">
        <f>'3、总属性战斗节奏拟合'!N63/各种公式!$J$4</f>
        <v>0.73750000000000004</v>
      </c>
      <c r="P63">
        <f>'3、总属性战斗节奏拟合'!M63</f>
        <v>36875</v>
      </c>
      <c r="Q63" s="31">
        <f>'3、总属性战斗节奏拟合'!O63/各种公式!$J$6*各种公式!$M$6</f>
        <v>0.22125</v>
      </c>
      <c r="R63" s="31">
        <f>'3、总属性战斗节奏拟合'!P63/各种公式!$J$6*各种公式!$M$6</f>
        <v>0.22125</v>
      </c>
      <c r="S63" s="31">
        <f>'3、总属性战斗节奏拟合'!Q63/各种公式!$J$8*各种公式!$M$8</f>
        <v>7.375000000000001E-2</v>
      </c>
      <c r="T63" s="31">
        <f>'3、总属性战斗节奏拟合'!R63/各种公式!$J$9*各种公式!$M$9</f>
        <v>0.14750000000000002</v>
      </c>
      <c r="U63" s="31">
        <f>'3、总属性战斗节奏拟合'!S63/各种公式!$J$10*各种公式!$M$10</f>
        <v>0.22125</v>
      </c>
      <c r="V63">
        <f>'3、总属性战斗节奏拟合'!D63</f>
        <v>607673.42751785135</v>
      </c>
      <c r="W63">
        <f>'3、总属性战斗节奏拟合'!E63</f>
        <v>29490.756795150512</v>
      </c>
      <c r="X63">
        <f>'3、总属性战斗节奏拟合'!F63</f>
        <v>13107.003020066893</v>
      </c>
      <c r="Y63">
        <f>'3、总属性战斗节奏拟合'!G63</f>
        <v>16383.753775083616</v>
      </c>
      <c r="Z63">
        <f>(((L63/$L$104*各种公式!$M$3)+S63+Q63+U63)*V63)</f>
        <v>421269.60362675047</v>
      </c>
      <c r="AA63">
        <f>(((N63/$N$104*各种公式!$M$3)*Y63*(1+R63)+Y63*R63))+W63*T63-X63*U63</f>
        <v>8616.4004275464431</v>
      </c>
      <c r="AB63">
        <f>Z63-AA63*'3、总属性战斗节奏拟合'!H63</f>
        <v>101687.31176905287</v>
      </c>
      <c r="AC63" s="145">
        <f>(V63/(1-L63/(L63+116666))-V63)*各种公式!$C$13</f>
        <v>7682.7722351741795</v>
      </c>
      <c r="AD63" s="145">
        <f t="shared" si="3"/>
        <v>20274.895296665974</v>
      </c>
      <c r="AE63" s="145">
        <f>Y63*N63/各种公式!$J$5*各种公式!$M$5</f>
        <v>3624.9055227372496</v>
      </c>
      <c r="AF63" s="130">
        <f t="shared" si="4"/>
        <v>3624.9055227372501</v>
      </c>
      <c r="AG63" s="130">
        <f t="shared" si="5"/>
        <v>44815.915279441542</v>
      </c>
      <c r="AH63" s="130">
        <f t="shared" si="6"/>
        <v>4349.8866272847008</v>
      </c>
      <c r="AI63" s="130">
        <f t="shared" si="7"/>
        <v>2899.9244181898002</v>
      </c>
    </row>
    <row r="64" spans="2:35" x14ac:dyDescent="0.15">
      <c r="B64" s="1">
        <v>60</v>
      </c>
      <c r="C64" s="1">
        <f>'3、总属性战斗节奏拟合'!D64*'2、属性成长'!$Q65</f>
        <v>23011.200000000008</v>
      </c>
      <c r="D64" s="1">
        <f>'3、总属性战斗节奏拟合'!E64*'2、属性成长'!$Q65</f>
        <v>1101.6000000000004</v>
      </c>
      <c r="E64" s="1">
        <f>'3、总属性战斗节奏拟合'!F64*'2、属性成长'!$Q65</f>
        <v>489.60000000000019</v>
      </c>
      <c r="F64" s="1">
        <f>$C$5*各种公式!$C$13+D64+E64</f>
        <v>1611.0264000000004</v>
      </c>
      <c r="H64">
        <v>60</v>
      </c>
      <c r="I64" s="138">
        <f t="shared" si="2"/>
        <v>1070637.145179532</v>
      </c>
      <c r="J64" s="138">
        <f t="shared" si="8"/>
        <v>56512.080000000016</v>
      </c>
      <c r="K64" s="138">
        <f t="shared" si="9"/>
        <v>25116.480000000007</v>
      </c>
      <c r="L64">
        <f>'3、总属性战斗节奏拟合'!J64</f>
        <v>37500</v>
      </c>
      <c r="M64">
        <f>'3、总属性战斗节奏拟合'!K64</f>
        <v>37500</v>
      </c>
      <c r="N64">
        <f>'3、总属性战斗节奏拟合'!L64</f>
        <v>37500</v>
      </c>
      <c r="O64" s="31">
        <f>'3、总属性战斗节奏拟合'!N64/各种公式!$J$4</f>
        <v>0.75</v>
      </c>
      <c r="P64">
        <f>'3、总属性战斗节奏拟合'!M64</f>
        <v>37500</v>
      </c>
      <c r="Q64" s="31">
        <f>'3、总属性战斗节奏拟合'!O64/各种公式!$J$6*各种公式!$M$6</f>
        <v>0.22499999999999998</v>
      </c>
      <c r="R64" s="31">
        <f>'3、总属性战斗节奏拟合'!P64/各种公式!$J$6*各种公式!$M$6</f>
        <v>0.22499999999999998</v>
      </c>
      <c r="S64" s="31">
        <f>'3、总属性战斗节奏拟合'!Q64/各种公式!$J$8*各种公式!$M$8</f>
        <v>7.5000000000000011E-2</v>
      </c>
      <c r="T64" s="31">
        <f>'3、总属性战斗节奏拟合'!R64/各种公式!$J$9*各种公式!$M$9</f>
        <v>0.15000000000000002</v>
      </c>
      <c r="U64" s="31">
        <f>'3、总属性战斗节奏拟合'!S64/各种公式!$J$10*各种公式!$M$10</f>
        <v>0.22499999999999998</v>
      </c>
      <c r="V64">
        <f>'3、总属性战斗节奏拟合'!D64</f>
        <v>648008.34702341165</v>
      </c>
      <c r="W64">
        <f>'3、总属性战斗节奏拟合'!E64</f>
        <v>31021.676187290985</v>
      </c>
      <c r="X64">
        <f>'3、总属性战斗节奏拟合'!F64</f>
        <v>13787.411638795993</v>
      </c>
      <c r="Y64">
        <f>'3、总属性战斗节奏拟合'!G64</f>
        <v>17234.26454849499</v>
      </c>
      <c r="Z64">
        <f>(((L64/$L$104*各种公式!$M$3)+S64+Q64+U64)*V64)</f>
        <v>456845.88465150521</v>
      </c>
      <c r="AA64">
        <f>(((N64/$N$104*各种公式!$M$3)*Y64*(1+R64)+Y64*R64))+W64*T64-X64*U64</f>
        <v>9228.9486657190682</v>
      </c>
      <c r="AB64">
        <f>Z64-AA64*'3、总属性战斗节奏拟合'!H64</f>
        <v>109837.41482046823</v>
      </c>
      <c r="AC64" s="145">
        <f>(V64/(1-L64/(L64+116666))-V64)*各种公式!$C$13</f>
        <v>8331.5834993495755</v>
      </c>
      <c r="AD64" s="145">
        <f t="shared" si="3"/>
        <v>21542.830685618737</v>
      </c>
      <c r="AE64" s="145">
        <f>Y64*N64/各种公式!$J$5*各种公式!$M$5</f>
        <v>3877.7095234113726</v>
      </c>
      <c r="AF64" s="130">
        <f t="shared" si="4"/>
        <v>3877.7095234113722</v>
      </c>
      <c r="AG64" s="130">
        <f t="shared" si="5"/>
        <v>48600.626026755883</v>
      </c>
      <c r="AH64" s="130">
        <f t="shared" si="6"/>
        <v>4653.2514280936484</v>
      </c>
      <c r="AI64" s="130">
        <f t="shared" si="7"/>
        <v>3102.1676187290982</v>
      </c>
    </row>
    <row r="65" spans="2:35" x14ac:dyDescent="0.15">
      <c r="B65" s="1">
        <v>61</v>
      </c>
      <c r="C65" s="1">
        <f>'3、总属性战斗节奏拟合'!D65*'2、属性成长'!$Q66</f>
        <v>24009.30000000001</v>
      </c>
      <c r="D65" s="1">
        <f>'3、总属性战斗节奏拟合'!E65*'2、属性成长'!$Q66</f>
        <v>1134.0000000000005</v>
      </c>
      <c r="E65" s="1">
        <f>'3、总属性战斗节奏拟合'!F65*'2、属性成长'!$Q66</f>
        <v>504.00000000000023</v>
      </c>
      <c r="F65" s="1">
        <f>$C$5*各种公式!$C$13+D65+E65</f>
        <v>1657.8264000000006</v>
      </c>
      <c r="H65">
        <v>61</v>
      </c>
      <c r="I65" s="138">
        <f t="shared" si="2"/>
        <v>1113245.589210819</v>
      </c>
      <c r="J65" s="138">
        <f t="shared" si="8"/>
        <v>58174.200000000019</v>
      </c>
      <c r="K65" s="138">
        <f t="shared" si="9"/>
        <v>25855.200000000012</v>
      </c>
      <c r="L65">
        <f>'3、总属性战斗节奏拟合'!J65</f>
        <v>38125</v>
      </c>
      <c r="M65">
        <f>'3、总属性战斗节奏拟合'!K65</f>
        <v>38125</v>
      </c>
      <c r="N65">
        <f>'3、总属性战斗节奏拟合'!L65</f>
        <v>38125</v>
      </c>
      <c r="O65" s="31">
        <f>'3、总属性战斗节奏拟合'!N65/各种公式!$J$4</f>
        <v>0.76249999999999996</v>
      </c>
      <c r="P65">
        <f>'3、总属性战斗节奏拟合'!M65</f>
        <v>38125</v>
      </c>
      <c r="Q65" s="31">
        <f>'3、总属性战斗节奏拟合'!O65/各种公式!$J$6*各种公式!$M$6</f>
        <v>0.22874999999999998</v>
      </c>
      <c r="R65" s="31">
        <f>'3、总属性战斗节奏拟合'!P65/各种公式!$J$6*各种公式!$M$6</f>
        <v>0.22874999999999998</v>
      </c>
      <c r="S65" s="31">
        <f>'3、总属性战斗节奏拟合'!Q65/各种公式!$J$8*各种公式!$M$8</f>
        <v>7.6249999999999998E-2</v>
      </c>
      <c r="T65" s="31">
        <f>'3、总属性战斗节奏拟合'!R65/各种公式!$J$9*各种公式!$M$9</f>
        <v>0.1525</v>
      </c>
      <c r="U65" s="31">
        <f>'3、总属性战斗节奏拟合'!S65/各种公式!$J$10*各种公式!$M$10</f>
        <v>0.22874999999999998</v>
      </c>
      <c r="V65">
        <f>'3、总属性战斗节奏拟合'!D65</f>
        <v>690004.44706793502</v>
      </c>
      <c r="W65">
        <f>'3、总属性战斗节奏拟合'!E65</f>
        <v>32590.081467391312</v>
      </c>
      <c r="X65">
        <f>'3、总属性战斗节奏拟合'!F65</f>
        <v>14484.480652173917</v>
      </c>
      <c r="Y65">
        <f>'3、总属性战斗节奏拟合'!G65</f>
        <v>18105.600815217396</v>
      </c>
      <c r="Z65">
        <f>(((L65/$L$104*各种公式!$M$3)+S65+Q65+U65)*V65)</f>
        <v>494560.68743594241</v>
      </c>
      <c r="AA65">
        <f>(((N65/$N$104*各种公式!$M$3)*Y65*(1+R65)+Y65*R65))+W65*T65-X65*U65</f>
        <v>9869.5666923841727</v>
      </c>
      <c r="AB65">
        <f>Z65-AA65*'3、总属性战斗节奏拟合'!H65</f>
        <v>118431.50078918162</v>
      </c>
      <c r="AC65" s="145">
        <f>(V65/(1-L65/(L65+116666))-V65)*各种公式!$C$13</f>
        <v>9019.395383218769</v>
      </c>
      <c r="AD65" s="145">
        <f t="shared" si="3"/>
        <v>22858.321029211962</v>
      </c>
      <c r="AE65" s="145">
        <f>Y65*N65/各种公式!$J$5*各种公式!$M$5</f>
        <v>4141.6561864809792</v>
      </c>
      <c r="AF65" s="130">
        <f t="shared" si="4"/>
        <v>4141.6561864809792</v>
      </c>
      <c r="AG65" s="130">
        <f t="shared" si="5"/>
        <v>52612.839088930043</v>
      </c>
      <c r="AH65" s="130">
        <f t="shared" si="6"/>
        <v>4969.9874237771746</v>
      </c>
      <c r="AI65" s="130">
        <f t="shared" si="7"/>
        <v>3313.3249491847832</v>
      </c>
    </row>
    <row r="66" spans="2:35" x14ac:dyDescent="0.15">
      <c r="B66" s="1">
        <v>62</v>
      </c>
      <c r="C66" s="1">
        <f>'3、总属性战斗节奏拟合'!D66*'2、属性成长'!$Q67</f>
        <v>25025.760000000009</v>
      </c>
      <c r="D66" s="1">
        <f>'3、总属性战斗节奏拟合'!E66*'2、属性成长'!$Q67</f>
        <v>1166.4000000000003</v>
      </c>
      <c r="E66" s="1">
        <f>'3、总属性战斗节奏拟合'!F66*'2、属性成长'!$Q67</f>
        <v>518.4000000000002</v>
      </c>
      <c r="F66" s="1">
        <f>$C$5*各种公式!$C$13+D66+E66</f>
        <v>1704.6264000000006</v>
      </c>
      <c r="H66">
        <v>62</v>
      </c>
      <c r="I66" s="138">
        <f t="shared" si="2"/>
        <v>1156338.5581555346</v>
      </c>
      <c r="J66" s="138">
        <f t="shared" si="8"/>
        <v>59836.320000000014</v>
      </c>
      <c r="K66" s="138">
        <f t="shared" si="9"/>
        <v>26593.920000000009</v>
      </c>
      <c r="L66">
        <f>'3、总属性战斗节奏拟合'!J66</f>
        <v>38750</v>
      </c>
      <c r="M66">
        <f>'3、总属性战斗节奏拟合'!K66</f>
        <v>38750</v>
      </c>
      <c r="N66">
        <f>'3、总属性战斗节奏拟合'!L66</f>
        <v>38750</v>
      </c>
      <c r="O66" s="31">
        <f>'3、总属性战斗节奏拟合'!N66/各种公式!$J$4</f>
        <v>0.77500000000000002</v>
      </c>
      <c r="P66">
        <f>'3、总属性战斗节奏拟合'!M66</f>
        <v>38750</v>
      </c>
      <c r="Q66" s="31">
        <f>'3、总属性战斗节奏拟合'!O66/各种公式!$J$6*各种公式!$M$6</f>
        <v>0.23249999999999998</v>
      </c>
      <c r="R66" s="31">
        <f>'3、总属性战斗节奏拟合'!P66/各种公式!$J$6*各种公式!$M$6</f>
        <v>0.23249999999999998</v>
      </c>
      <c r="S66" s="31">
        <f>'3、总属性战斗节奏拟合'!Q66/各种公式!$J$8*各种公式!$M$8</f>
        <v>7.7500000000000013E-2</v>
      </c>
      <c r="T66" s="31">
        <f>'3、总属性战斗节奏拟合'!R66/各种公式!$J$9*各种公式!$M$9</f>
        <v>0.15500000000000003</v>
      </c>
      <c r="U66" s="31">
        <f>'3、总属性战斗节奏拟合'!S66/各种公式!$J$10*各种公式!$M$10</f>
        <v>0.23249999999999998</v>
      </c>
      <c r="V66">
        <f>'3、总属性战斗节奏拟合'!D66</f>
        <v>733693.59065618762</v>
      </c>
      <c r="W66">
        <f>'3、总属性战斗节奏拟合'!E66</f>
        <v>34195.972635451515</v>
      </c>
      <c r="X66">
        <f>'3、总属性战斗节奏拟合'!F66</f>
        <v>15198.210060200676</v>
      </c>
      <c r="Y66">
        <f>'3、总属性战斗节奏拟合'!G66</f>
        <v>18997.762575250843</v>
      </c>
      <c r="Z66">
        <f>(((L66/$L$104*各种公式!$M$3)+S66+Q66+U66)*V66)</f>
        <v>534495.78079303261</v>
      </c>
      <c r="AA66">
        <f>(((N66/$N$104*各种公式!$M$3)*Y66*(1+R66)+Y66*R66))+W66*T66-X66*U66</f>
        <v>10538.913799807528</v>
      </c>
      <c r="AB66">
        <f>Z66-AA66*'3、总属性战斗节奏拟合'!H66</f>
        <v>127482.92984446586</v>
      </c>
      <c r="AC66" s="145">
        <f>(V66/(1-L66/(L66+116666))-V66)*各种公式!$C$13</f>
        <v>9747.6991198557516</v>
      </c>
      <c r="AD66" s="145">
        <f t="shared" si="3"/>
        <v>24222.147283444821</v>
      </c>
      <c r="AE66" s="145">
        <f>Y66*N66/各种公式!$J$5*各种公式!$M$5</f>
        <v>4416.9797987458205</v>
      </c>
      <c r="AF66" s="130">
        <f t="shared" si="4"/>
        <v>4416.9797987458205</v>
      </c>
      <c r="AG66" s="130">
        <f t="shared" si="5"/>
        <v>56861.253275854549</v>
      </c>
      <c r="AH66" s="130">
        <f t="shared" si="6"/>
        <v>5300.3757584949853</v>
      </c>
      <c r="AI66" s="130">
        <f t="shared" si="7"/>
        <v>3533.5838389966571</v>
      </c>
    </row>
    <row r="67" spans="2:35" x14ac:dyDescent="0.15">
      <c r="B67" s="1">
        <v>63</v>
      </c>
      <c r="C67" s="1">
        <f>'3、总属性战斗节奏拟合'!D67*'2、属性成长'!$Q68</f>
        <v>26060.580000000016</v>
      </c>
      <c r="D67" s="1">
        <f>'3、总属性战斗节奏拟合'!E67*'2、属性成长'!$Q68</f>
        <v>1198.8000000000006</v>
      </c>
      <c r="E67" s="1">
        <f>'3、总属性战斗节奏拟合'!F67*'2、属性成长'!$Q68</f>
        <v>532.8000000000003</v>
      </c>
      <c r="F67" s="1">
        <f>$C$5*各种公式!$C$13+D67+E67</f>
        <v>1751.4264000000007</v>
      </c>
      <c r="H67">
        <v>63</v>
      </c>
      <c r="I67" s="138">
        <f t="shared" si="2"/>
        <v>1199902.6492511141</v>
      </c>
      <c r="J67" s="138">
        <f t="shared" si="8"/>
        <v>61498.440000000031</v>
      </c>
      <c r="K67" s="138">
        <f t="shared" si="9"/>
        <v>27332.640000000014</v>
      </c>
      <c r="L67">
        <f>'3、总属性战斗节奏拟合'!J67</f>
        <v>39375</v>
      </c>
      <c r="M67">
        <f>'3、总属性战斗节奏拟合'!K67</f>
        <v>39375</v>
      </c>
      <c r="N67">
        <f>'3、总属性战斗节奏拟合'!L67</f>
        <v>39375</v>
      </c>
      <c r="O67" s="31">
        <f>'3、总属性战斗节奏拟合'!N67/各种公式!$J$4</f>
        <v>0.78749999999999998</v>
      </c>
      <c r="P67">
        <f>'3、总属性战斗节奏拟合'!M67</f>
        <v>39375</v>
      </c>
      <c r="Q67" s="31">
        <f>'3、总属性战斗节奏拟合'!O67/各种公式!$J$6*各种公式!$M$6</f>
        <v>0.23624999999999999</v>
      </c>
      <c r="R67" s="31">
        <f>'3、总属性战斗节奏拟合'!P67/各种公式!$J$6*各种公式!$M$6</f>
        <v>0.23624999999999999</v>
      </c>
      <c r="S67" s="31">
        <f>'3、总属性战斗节奏拟合'!Q67/各种公式!$J$8*各种公式!$M$8</f>
        <v>7.8750000000000001E-2</v>
      </c>
      <c r="T67" s="31">
        <f>'3、总属性战斗节奏拟合'!R67/各种公式!$J$9*各种公式!$M$9</f>
        <v>0.1575</v>
      </c>
      <c r="U67" s="31">
        <f>'3、总属性战斗节奏拟合'!S67/各种公式!$J$10*各种公式!$M$10</f>
        <v>0.23624999999999999</v>
      </c>
      <c r="V67">
        <f>'3、总属性战斗节奏拟合'!D67</f>
        <v>779107.64079293516</v>
      </c>
      <c r="W67">
        <f>'3、总属性战斗节奏拟合'!E67</f>
        <v>35839.349691471587</v>
      </c>
      <c r="X67">
        <f>'3、总属性战斗节奏拟合'!F67</f>
        <v>15928.599862876261</v>
      </c>
      <c r="Y67">
        <f>'3、总属性战斗节奏拟合'!G67</f>
        <v>19910.749828595326</v>
      </c>
      <c r="Z67">
        <f>(((L67/$L$104*各种公式!$M$3)+S67+Q67+U67)*V67)</f>
        <v>576734.43109697022</v>
      </c>
      <c r="AA67">
        <f>(((N67/$N$104*各种公式!$M$3)*Y67*(1+R67)+Y67*R67))+W67*T67-X67*U67</f>
        <v>11237.652091696491</v>
      </c>
      <c r="AB67">
        <f>Z67-AA67*'3、总属性战斗节奏拟合'!H67</f>
        <v>137005.10474888649</v>
      </c>
      <c r="AC67" s="145">
        <f>(V67/(1-L67/(L67+116666))-V67)*各种公式!$C$13</f>
        <v>10518.013253637497</v>
      </c>
      <c r="AD67" s="145">
        <f t="shared" si="3"/>
        <v>25635.090404316485</v>
      </c>
      <c r="AE67" s="145">
        <f>Y67*N67/各种公式!$J$5*各种公式!$M$5</f>
        <v>4703.9146470056448</v>
      </c>
      <c r="AF67" s="130">
        <f t="shared" si="4"/>
        <v>4703.9146470056457</v>
      </c>
      <c r="AG67" s="130">
        <f t="shared" si="5"/>
        <v>61354.72671244364</v>
      </c>
      <c r="AH67" s="130">
        <f t="shared" si="6"/>
        <v>5644.6975764067747</v>
      </c>
      <c r="AI67" s="130">
        <f t="shared" si="7"/>
        <v>3763.1317176045163</v>
      </c>
    </row>
    <row r="68" spans="2:35" x14ac:dyDescent="0.15">
      <c r="B68" s="1">
        <v>64</v>
      </c>
      <c r="C68" s="1">
        <f>'3、总属性战斗节奏拟合'!D68*'2、属性成长'!$Q69</f>
        <v>27113.760000000017</v>
      </c>
      <c r="D68" s="1">
        <f>'3、总属性战斗节奏拟合'!E68*'2、属性成长'!$Q69</f>
        <v>1231.2000000000005</v>
      </c>
      <c r="E68" s="1">
        <f>'3、总属性战斗节奏拟合'!F68*'2、属性成长'!$Q69</f>
        <v>547.20000000000039</v>
      </c>
      <c r="F68" s="1">
        <f>$C$5*各种公式!$C$13+D68+E68</f>
        <v>1798.2264000000009</v>
      </c>
      <c r="H68">
        <v>64</v>
      </c>
      <c r="I68" s="138">
        <f t="shared" si="2"/>
        <v>1243924.4243108754</v>
      </c>
      <c r="J68" s="138">
        <f t="shared" si="8"/>
        <v>63160.560000000019</v>
      </c>
      <c r="K68" s="138">
        <f t="shared" si="9"/>
        <v>28071.360000000019</v>
      </c>
      <c r="L68">
        <f>'3、总属性战斗节奏拟合'!J68</f>
        <v>40000</v>
      </c>
      <c r="M68">
        <f>'3、总属性战斗节奏拟合'!K68</f>
        <v>40000</v>
      </c>
      <c r="N68">
        <f>'3、总属性战斗节奏拟合'!L68</f>
        <v>40000</v>
      </c>
      <c r="O68" s="31">
        <f>'3、总属性战斗节奏拟合'!N68/各种公式!$J$4</f>
        <v>0.8</v>
      </c>
      <c r="P68">
        <f>'3、总属性战斗节奏拟合'!M68</f>
        <v>40000</v>
      </c>
      <c r="Q68" s="31">
        <f>'3、总属性战斗节奏拟合'!O68/各种公式!$J$6*各种公式!$M$6</f>
        <v>0.24</v>
      </c>
      <c r="R68" s="31">
        <f>'3、总属性战斗节奏拟合'!P68/各种公式!$J$6*各种公式!$M$6</f>
        <v>0.24</v>
      </c>
      <c r="S68" s="31">
        <f>'3、总属性战斗节奏拟合'!Q68/各种公式!$J$8*各种公式!$M$8</f>
        <v>8.0000000000000016E-2</v>
      </c>
      <c r="T68" s="31">
        <f>'3、总属性战斗节奏拟合'!R68/各种公式!$J$9*各种公式!$M$9</f>
        <v>0.16000000000000003</v>
      </c>
      <c r="U68" s="31">
        <f>'3、总属性战斗节奏拟合'!S68/各种公式!$J$10*各种公式!$M$10</f>
        <v>0.24</v>
      </c>
      <c r="V68">
        <f>'3、总属性战斗节奏拟合'!D68</f>
        <v>826278.46048294357</v>
      </c>
      <c r="W68">
        <f>'3、总属性战斗节奏拟合'!E68</f>
        <v>37520.21263545152</v>
      </c>
      <c r="X68">
        <f>'3、总属性战斗节奏拟合'!F68</f>
        <v>16675.650060200678</v>
      </c>
      <c r="Y68">
        <f>'3、总属性战斗节奏拟合'!G68</f>
        <v>20844.562575250846</v>
      </c>
      <c r="Z68">
        <f>(((L68/$L$104*各种公式!$M$3)+S68+Q68+U68)*V68)</f>
        <v>621361.40228317352</v>
      </c>
      <c r="AA68">
        <f>(((N68/$N$104*各种公式!$M$3)*Y68*(1+R68)+Y68*R68))+W68*T68-X68*U68</f>
        <v>11966.446483200005</v>
      </c>
      <c r="AB68">
        <f>Z68-AA68*'3、总属性战斗节奏拟合'!H68</f>
        <v>147011.46368912532</v>
      </c>
      <c r="AC68" s="145">
        <f>(V68/(1-L68/(L68+116666))-V68)*各种公式!$C$13</f>
        <v>11331.883640244027</v>
      </c>
      <c r="AD68" s="145">
        <f t="shared" si="3"/>
        <v>27097.931347826099</v>
      </c>
      <c r="AE68" s="145">
        <f>Y68*N68/各种公式!$J$5*各种公式!$M$5</f>
        <v>5002.6950180602034</v>
      </c>
      <c r="AF68" s="130">
        <f t="shared" si="4"/>
        <v>5002.6950180602025</v>
      </c>
      <c r="AG68" s="130">
        <f t="shared" si="5"/>
        <v>66102.276838635502</v>
      </c>
      <c r="AH68" s="130">
        <f t="shared" si="6"/>
        <v>6003.2340216722441</v>
      </c>
      <c r="AI68" s="130">
        <f t="shared" si="7"/>
        <v>4002.1560144481628</v>
      </c>
    </row>
    <row r="69" spans="2:35" x14ac:dyDescent="0.15">
      <c r="B69" s="1">
        <v>65</v>
      </c>
      <c r="C69" s="1">
        <f>'3、总属性战斗节奏拟合'!D69*'2、属性成长'!$Q70</f>
        <v>28185.30000000001</v>
      </c>
      <c r="D69" s="1">
        <f>'3、总属性战斗节奏拟合'!E69*'2、属性成长'!$Q70</f>
        <v>1263.6000000000004</v>
      </c>
      <c r="E69" s="1">
        <f>'3、总属性战斗节奏拟合'!F69*'2、属性成长'!$Q70</f>
        <v>561.60000000000025</v>
      </c>
      <c r="F69" s="1">
        <f>$C$5*各种公式!$C$13+D69+E69</f>
        <v>1845.0264000000006</v>
      </c>
      <c r="H69">
        <v>65</v>
      </c>
      <c r="I69" s="138">
        <f t="shared" si="2"/>
        <v>1288390.416893197</v>
      </c>
      <c r="J69" s="138">
        <f t="shared" ref="J69:J104" si="10">D69*$U$1</f>
        <v>64822.680000000015</v>
      </c>
      <c r="K69" s="138">
        <f t="shared" ref="K69:K104" si="11">E69*$U$1</f>
        <v>28810.080000000013</v>
      </c>
      <c r="L69">
        <f>'3、总属性战斗节奏拟合'!J69</f>
        <v>40625</v>
      </c>
      <c r="M69">
        <f>'3、总属性战斗节奏拟合'!K69</f>
        <v>40625</v>
      </c>
      <c r="N69">
        <f>'3、总属性战斗节奏拟合'!L69</f>
        <v>40625</v>
      </c>
      <c r="O69" s="31">
        <f>'3、总属性战斗节奏拟合'!N69/各种公式!$J$4</f>
        <v>0.8125</v>
      </c>
      <c r="P69">
        <f>'3、总属性战斗节奏拟合'!M69</f>
        <v>40625</v>
      </c>
      <c r="Q69" s="31">
        <f>'3、总属性战斗节奏拟合'!O69/各种公式!$J$6*各种公式!$M$6</f>
        <v>0.24374999999999999</v>
      </c>
      <c r="R69" s="31">
        <f>'3、总属性战斗节奏拟合'!P69/各种公式!$J$6*各种公式!$M$6</f>
        <v>0.24374999999999999</v>
      </c>
      <c r="S69" s="31">
        <f>'3、总属性战斗节奏拟合'!Q69/各种公式!$J$8*各种公式!$M$8</f>
        <v>8.1250000000000003E-2</v>
      </c>
      <c r="T69" s="31">
        <f>'3、总属性战斗节奏拟合'!R69/各种公式!$J$9*各种公式!$M$9</f>
        <v>0.16250000000000001</v>
      </c>
      <c r="U69" s="31">
        <f>'3、总属性战斗节奏拟合'!S69/各种公式!$J$10*各种公式!$M$10</f>
        <v>0.24374999999999999</v>
      </c>
      <c r="V69">
        <f>'3、总属性战斗节奏拟合'!D69</f>
        <v>875237.91273097834</v>
      </c>
      <c r="W69">
        <f>'3、总属性战斗节奏拟合'!E69</f>
        <v>39238.561467391308</v>
      </c>
      <c r="X69">
        <f>'3、总属性战斗节奏拟合'!F69</f>
        <v>17439.360652173917</v>
      </c>
      <c r="Y69">
        <f>'3、总属性战斗节奏拟合'!G69</f>
        <v>21799.200815217395</v>
      </c>
      <c r="Z69">
        <f>(((L69/$L$104*各种公式!$M$3)+S69+Q69+U69)*V69)</f>
        <v>668462.95584828476</v>
      </c>
      <c r="AA69">
        <f>(((N69/$N$104*各种公式!$M$3)*Y69*(1+R69)+Y69*R69))+W69*T69-X69*U69</f>
        <v>12725.964700908629</v>
      </c>
      <c r="AB69">
        <f>Z69-AA69*'3、总属性战斗节奏拟合'!H69</f>
        <v>157515.47310680331</v>
      </c>
      <c r="AC69" s="145">
        <f>(V69/(1-L69/(L69+116666))-V69)*各种公式!$C$13</f>
        <v>12190.883446658319</v>
      </c>
      <c r="AD69" s="145">
        <f t="shared" si="3"/>
        <v>28611.451069972831</v>
      </c>
      <c r="AE69" s="145">
        <f>Y69*N69/各种公式!$J$5*各种公式!$M$5</f>
        <v>5313.5551987092394</v>
      </c>
      <c r="AF69" s="130">
        <f t="shared" si="4"/>
        <v>5313.5551987092394</v>
      </c>
      <c r="AG69" s="130">
        <f t="shared" si="5"/>
        <v>71113.080409391987</v>
      </c>
      <c r="AH69" s="130">
        <f t="shared" si="6"/>
        <v>6376.2662384510877</v>
      </c>
      <c r="AI69" s="130">
        <f t="shared" si="7"/>
        <v>4250.8441589673921</v>
      </c>
    </row>
    <row r="70" spans="2:35" x14ac:dyDescent="0.15">
      <c r="B70" s="1">
        <v>66</v>
      </c>
      <c r="C70" s="1">
        <f>'3、总属性战斗节奏拟合'!D70*'2、属性成长'!$Q71</f>
        <v>29275.200000000019</v>
      </c>
      <c r="D70" s="1">
        <f>'3、总属性战斗节奏拟合'!E70*'2、属性成长'!$Q71</f>
        <v>1296.0000000000009</v>
      </c>
      <c r="E70" s="1">
        <f>'3、总属性战斗节奏拟合'!F70*'2、属性成长'!$Q71</f>
        <v>576.00000000000045</v>
      </c>
      <c r="F70" s="1">
        <f>$C$5*各种公式!$C$13+D70+E70</f>
        <v>1891.8264000000013</v>
      </c>
      <c r="H70">
        <v>66</v>
      </c>
      <c r="I70" s="138">
        <f t="shared" ref="I70:I104" si="12">C70*$U$1-AB70</f>
        <v>1333287.1394706951</v>
      </c>
      <c r="J70" s="138">
        <f t="shared" si="10"/>
        <v>66484.800000000047</v>
      </c>
      <c r="K70" s="138">
        <f t="shared" si="11"/>
        <v>29548.800000000021</v>
      </c>
      <c r="L70">
        <f>'3、总属性战斗节奏拟合'!J70</f>
        <v>41250</v>
      </c>
      <c r="M70">
        <f>'3、总属性战斗节奏拟合'!K70</f>
        <v>41250</v>
      </c>
      <c r="N70">
        <f>'3、总属性战斗节奏拟合'!L70</f>
        <v>41250</v>
      </c>
      <c r="O70" s="31">
        <f>'3、总属性战斗节奏拟合'!N70/各种公式!$J$4</f>
        <v>0.82499999999999996</v>
      </c>
      <c r="P70">
        <f>'3、总属性战斗节奏拟合'!M70</f>
        <v>41250</v>
      </c>
      <c r="Q70" s="31">
        <f>'3、总属性战斗节奏拟合'!O70/各种公式!$J$6*各种公式!$M$6</f>
        <v>0.24749999999999997</v>
      </c>
      <c r="R70" s="31">
        <f>'3、总属性战斗节奏拟合'!P70/各种公式!$J$6*各种公式!$M$6</f>
        <v>0.24749999999999997</v>
      </c>
      <c r="S70" s="31">
        <f>'3、总属性战斗节奏拟合'!Q70/各种公式!$J$8*各种公式!$M$8</f>
        <v>8.2500000000000004E-2</v>
      </c>
      <c r="T70" s="31">
        <f>'3、总属性战斗节奏拟合'!R70/各种公式!$J$9*各种公式!$M$9</f>
        <v>0.16500000000000001</v>
      </c>
      <c r="U70" s="31">
        <f>'3、总属性战斗节奏拟合'!S70/各种公式!$J$10*各种公式!$M$10</f>
        <v>0.24749999999999997</v>
      </c>
      <c r="V70">
        <f>'3、总属性战斗节奏拟合'!D70</f>
        <v>926017.86054180656</v>
      </c>
      <c r="W70">
        <f>'3、总属性战斗节奏拟合'!E70</f>
        <v>40994.396187290993</v>
      </c>
      <c r="X70">
        <f>'3、总属性战斗节奏拟合'!F70</f>
        <v>18219.731638795998</v>
      </c>
      <c r="Y70">
        <f>'3、总属性战斗节奏拟合'!G70</f>
        <v>22774.664548494995</v>
      </c>
      <c r="Z70">
        <f>(((L70/$L$104*各种公式!$M$3)+S70+Q70+U70)*V70)</f>
        <v>718126.85085017094</v>
      </c>
      <c r="AA70">
        <f>(((N70/$N$104*各种公式!$M$3)*Y70*(1+R70)+Y70*R70))+W70*T70-X70*U70</f>
        <v>13516.877282854524</v>
      </c>
      <c r="AB70">
        <f>Z70-AA70*'3、总属性战斗节奏拟合'!H70</f>
        <v>168530.62052930589</v>
      </c>
      <c r="AC70" s="145">
        <f>(V70/(1-L70/(L70+116666))-V70)*各种公式!$C$13</f>
        <v>13096.613151166412</v>
      </c>
      <c r="AD70" s="145">
        <f t="shared" ref="AD70:AD104" si="13">Y70*(0.5+O70)</f>
        <v>30176.430526755867</v>
      </c>
      <c r="AE70" s="145">
        <f>Y70*N70/各种公式!$J$5*各种公式!$M$5</f>
        <v>5636.7294757525115</v>
      </c>
      <c r="AF70" s="130">
        <f t="shared" ref="AF70:AF104" si="14">Y70*R70</f>
        <v>5636.7294757525106</v>
      </c>
      <c r="AG70" s="130">
        <f t="shared" ref="AG70:AG104" si="15">S70*V70</f>
        <v>76396.47349469905</v>
      </c>
      <c r="AH70" s="130">
        <f t="shared" ref="AH70:AH104" si="16">T70*W70</f>
        <v>6764.0753709030141</v>
      </c>
      <c r="AI70" s="130">
        <f t="shared" ref="AI70:AI104" si="17">U70*X70</f>
        <v>4509.3835806020088</v>
      </c>
    </row>
    <row r="71" spans="2:35" x14ac:dyDescent="0.15">
      <c r="B71" s="1">
        <v>67</v>
      </c>
      <c r="C71" s="1">
        <f>'3、总属性战斗节奏拟合'!D71*'2、属性成长'!$Q72</f>
        <v>30383.460000000021</v>
      </c>
      <c r="D71" s="1">
        <f>'3、总属性战斗节奏拟合'!E71*'2、属性成长'!$Q72</f>
        <v>1328.400000000001</v>
      </c>
      <c r="E71" s="1">
        <f>'3、总属性战斗节奏拟合'!F71*'2、属性成长'!$Q72</f>
        <v>590.40000000000043</v>
      </c>
      <c r="F71" s="1">
        <f>$C$5*各种公式!$C$13+D71+E71</f>
        <v>1938.6264000000015</v>
      </c>
      <c r="H71">
        <v>67</v>
      </c>
      <c r="I71" s="138">
        <f t="shared" si="12"/>
        <v>1378601.0905993942</v>
      </c>
      <c r="J71" s="138">
        <f t="shared" si="10"/>
        <v>68146.920000000042</v>
      </c>
      <c r="K71" s="138">
        <f t="shared" si="11"/>
        <v>30287.520000000022</v>
      </c>
      <c r="L71">
        <f>'3、总属性战斗节奏拟合'!J71</f>
        <v>41875</v>
      </c>
      <c r="M71">
        <f>'3、总属性战斗节奏拟合'!K71</f>
        <v>41875</v>
      </c>
      <c r="N71">
        <f>'3、总属性战斗节奏拟合'!L71</f>
        <v>41875</v>
      </c>
      <c r="O71" s="31">
        <f>'3、总属性战斗节奏拟合'!N71/各种公式!$J$4</f>
        <v>0.83750000000000002</v>
      </c>
      <c r="P71">
        <f>'3、总属性战斗节奏拟合'!M71</f>
        <v>41875</v>
      </c>
      <c r="Q71" s="31">
        <f>'3、总属性战斗节奏拟合'!O71/各种公式!$J$6*各种公式!$M$6</f>
        <v>0.25124999999999997</v>
      </c>
      <c r="R71" s="31">
        <f>'3、总属性战斗节奏拟合'!P71/各种公式!$J$6*各种公式!$M$6</f>
        <v>0.25124999999999997</v>
      </c>
      <c r="S71" s="31">
        <f>'3、总属性战斗节奏拟合'!Q71/各种公式!$J$8*各种公式!$M$8</f>
        <v>8.3750000000000005E-2</v>
      </c>
      <c r="T71" s="31">
        <f>'3、总属性战斗节奏拟合'!R71/各种公式!$J$9*各种公式!$M$9</f>
        <v>0.16750000000000001</v>
      </c>
      <c r="U71" s="31">
        <f>'3、总属性战斗节奏拟合'!S71/各种公式!$J$10*各种公式!$M$10</f>
        <v>0.25124999999999997</v>
      </c>
      <c r="V71">
        <f>'3、总属性战斗节奏拟合'!D71</f>
        <v>978650.16692019301</v>
      </c>
      <c r="W71">
        <f>'3、总属性战斗节奏拟合'!E71</f>
        <v>42787.716795150533</v>
      </c>
      <c r="X71">
        <f>'3、总属性战斗节奏拟合'!F71</f>
        <v>19016.763020066905</v>
      </c>
      <c r="Y71">
        <f>'3、总属性战斗节奏拟合'!G71</f>
        <v>23770.953775083628</v>
      </c>
      <c r="Z71">
        <f>(((L71/$L$104*各种公式!$M$3)+S71+Q71+U71)*V71)</f>
        <v>770442.34390792192</v>
      </c>
      <c r="AA71">
        <f>(((N71/$N$104*各种公式!$M$3)*Y71*(1+R71)+Y71*R71))+W71*T71-X71*U71</f>
        <v>14339.857578511415</v>
      </c>
      <c r="AB71">
        <f>Z71-AA71*'3、总属性战斗节奏拟合'!H71</f>
        <v>180070.4074006069</v>
      </c>
      <c r="AC71" s="145">
        <f>(V71/(1-L71/(L71+116666))-V71)*各种公式!$C$13</f>
        <v>14050.700543357301</v>
      </c>
      <c r="AD71" s="145">
        <f t="shared" si="13"/>
        <v>31793.650674174351</v>
      </c>
      <c r="AE71" s="145">
        <f>Y71*N71/各种公式!$J$5*各种公式!$M$5</f>
        <v>5972.4521359897617</v>
      </c>
      <c r="AF71" s="130">
        <f t="shared" si="14"/>
        <v>5972.4521359897608</v>
      </c>
      <c r="AG71" s="130">
        <f t="shared" si="15"/>
        <v>81961.951479566167</v>
      </c>
      <c r="AH71" s="130">
        <f t="shared" si="16"/>
        <v>7166.9425631877148</v>
      </c>
      <c r="AI71" s="130">
        <f t="shared" si="17"/>
        <v>4777.9617087918095</v>
      </c>
    </row>
    <row r="72" spans="2:35" x14ac:dyDescent="0.15">
      <c r="B72" s="1">
        <v>68</v>
      </c>
      <c r="C72" s="1">
        <f>'3、总属性战斗节奏拟合'!D72*'2、属性成长'!$Q73</f>
        <v>31510.08000000002</v>
      </c>
      <c r="D72" s="1">
        <f>'3、总属性战斗节奏拟合'!E72*'2、属性成长'!$Q73</f>
        <v>1360.8000000000011</v>
      </c>
      <c r="E72" s="1">
        <f>'3、总属性战斗节奏拟合'!F72*'2、属性成长'!$Q73</f>
        <v>604.80000000000041</v>
      </c>
      <c r="F72" s="1">
        <f>$C$5*各种公式!$C$13+D72+E72</f>
        <v>1985.4264000000014</v>
      </c>
      <c r="H72">
        <v>68</v>
      </c>
      <c r="I72" s="138">
        <f t="shared" si="12"/>
        <v>1424318.7620879104</v>
      </c>
      <c r="J72" s="138">
        <f t="shared" si="10"/>
        <v>69809.040000000052</v>
      </c>
      <c r="K72" s="138">
        <f t="shared" si="11"/>
        <v>31026.24000000002</v>
      </c>
      <c r="L72">
        <f>'3、总属性战斗节奏拟合'!J72</f>
        <v>42500</v>
      </c>
      <c r="M72">
        <f>'3、总属性战斗节奏拟合'!K72</f>
        <v>42500</v>
      </c>
      <c r="N72">
        <f>'3、总属性战斗节奏拟合'!L72</f>
        <v>42500</v>
      </c>
      <c r="O72" s="31">
        <f>'3、总属性战斗节奏拟合'!N72/各种公式!$J$4</f>
        <v>0.85</v>
      </c>
      <c r="P72">
        <f>'3、总属性战斗节奏拟合'!M72</f>
        <v>42500</v>
      </c>
      <c r="Q72" s="31">
        <f>'3、总属性战斗节奏拟合'!O72/各种公式!$J$6*各种公式!$M$6</f>
        <v>0.255</v>
      </c>
      <c r="R72" s="31">
        <f>'3、总属性战斗节奏拟合'!P72/各种公式!$J$6*各种公式!$M$6</f>
        <v>0.255</v>
      </c>
      <c r="S72" s="31">
        <f>'3、总属性战斗节奏拟合'!Q72/各种公式!$J$8*各种公式!$M$8</f>
        <v>8.5000000000000006E-2</v>
      </c>
      <c r="T72" s="31">
        <f>'3、总属性战斗节奏拟合'!R72/各种公式!$J$9*各种公式!$M$9</f>
        <v>0.17</v>
      </c>
      <c r="U72" s="31">
        <f>'3、总属性战斗节奏拟合'!S72/各种公式!$J$10*各种公式!$M$10</f>
        <v>0.255</v>
      </c>
      <c r="V72">
        <f>'3、总属性战斗节奏拟合'!D72</f>
        <v>1033166.6948709039</v>
      </c>
      <c r="W72">
        <f>'3、总属性战斗节奏拟合'!E72</f>
        <v>44618.523290969941</v>
      </c>
      <c r="X72">
        <f>'3、总属性战斗节奏拟合'!F72</f>
        <v>19830.45479598664</v>
      </c>
      <c r="Y72">
        <f>'3、总属性战斗节奏拟合'!G72</f>
        <v>24788.068494983298</v>
      </c>
      <c r="Z72">
        <f>(((L72/$L$104*各种公式!$M$3)+S72+Q72+U72)*V72)</f>
        <v>825500.18920185219</v>
      </c>
      <c r="AA72">
        <f>(((N72/$N$104*各种公式!$M$3)*Y72*(1+R72)+Y72*R72))+W72*T72-X72*U72</f>
        <v>15195.581748794664</v>
      </c>
      <c r="AB72">
        <f>Z72-AA72*'3、总属性战斗节奏拟合'!H72</f>
        <v>192148.34191209055</v>
      </c>
      <c r="AC72" s="145">
        <f>(V72/(1-L72/(L72+116666))-V72)*各种公式!$C$13</f>
        <v>15054.800724123019</v>
      </c>
      <c r="AD72" s="145">
        <f t="shared" si="13"/>
        <v>33463.892468227452</v>
      </c>
      <c r="AE72" s="145">
        <f>Y72*N72/各种公式!$J$5*各种公式!$M$5</f>
        <v>6320.9574662207406</v>
      </c>
      <c r="AF72" s="130">
        <f t="shared" si="14"/>
        <v>6320.9574662207406</v>
      </c>
      <c r="AG72" s="130">
        <f t="shared" si="15"/>
        <v>87819.169064026835</v>
      </c>
      <c r="AH72" s="130">
        <f t="shared" si="16"/>
        <v>7585.1489594648901</v>
      </c>
      <c r="AI72" s="130">
        <f t="shared" si="17"/>
        <v>5056.7659729765928</v>
      </c>
    </row>
    <row r="73" spans="2:35" x14ac:dyDescent="0.15">
      <c r="B73" s="1">
        <v>69</v>
      </c>
      <c r="C73" s="1">
        <f>'3、总属性战斗节奏拟合'!D73*'2、属性成长'!$Q74</f>
        <v>32655.060000000023</v>
      </c>
      <c r="D73" s="1">
        <f>'3、总属性战斗节奏拟合'!E73*'2、属性成长'!$Q74</f>
        <v>1393.200000000001</v>
      </c>
      <c r="E73" s="1">
        <f>'3、总属性战斗节奏拟合'!F73*'2、属性成长'!$Q74</f>
        <v>619.2000000000005</v>
      </c>
      <c r="F73" s="1">
        <f>$C$5*各种公式!$C$13+D73+E73</f>
        <v>2032.2264000000014</v>
      </c>
      <c r="H73">
        <v>69</v>
      </c>
      <c r="I73" s="138">
        <f t="shared" si="12"/>
        <v>1470426.6461666226</v>
      </c>
      <c r="J73" s="138">
        <f t="shared" si="10"/>
        <v>71471.160000000047</v>
      </c>
      <c r="K73" s="138">
        <f t="shared" si="11"/>
        <v>31764.960000000025</v>
      </c>
      <c r="L73">
        <f>'3、总属性战斗节奏拟合'!J73</f>
        <v>43125</v>
      </c>
      <c r="M73">
        <f>'3、总属性战斗节奏拟合'!K73</f>
        <v>43125</v>
      </c>
      <c r="N73">
        <f>'3、总属性战斗节奏拟合'!L73</f>
        <v>43125</v>
      </c>
      <c r="O73" s="31">
        <f>'3、总属性战斗节奏拟合'!N73/各种公式!$J$4</f>
        <v>0.86250000000000004</v>
      </c>
      <c r="P73">
        <f>'3、总属性战斗节奏拟合'!M73</f>
        <v>43125</v>
      </c>
      <c r="Q73" s="31">
        <f>'3、总属性战斗节奏拟合'!O73/各种公式!$J$6*各种公式!$M$6</f>
        <v>0.25874999999999998</v>
      </c>
      <c r="R73" s="31">
        <f>'3、总属性战斗节奏拟合'!P73/各种公式!$J$6*各种公式!$M$6</f>
        <v>0.25874999999999998</v>
      </c>
      <c r="S73" s="31">
        <f>'3、总属性战斗节奏拟合'!Q73/各种公式!$J$8*各种公式!$M$8</f>
        <v>8.6250000000000007E-2</v>
      </c>
      <c r="T73" s="31">
        <f>'3、总属性战斗节奏拟合'!R73/各种公式!$J$9*各种公式!$M$9</f>
        <v>0.17250000000000001</v>
      </c>
      <c r="U73" s="31">
        <f>'3、总属性战斗节奏拟合'!S73/各种公式!$J$10*各种公式!$M$10</f>
        <v>0.25874999999999998</v>
      </c>
      <c r="V73">
        <f>'3、总属性战斗节奏拟合'!D73</f>
        <v>1089599.307398705</v>
      </c>
      <c r="W73">
        <f>'3、总属性战斗节奏拟合'!E73</f>
        <v>46486.815674749203</v>
      </c>
      <c r="X73">
        <f>'3、总属性战斗节奏拟合'!F73</f>
        <v>20660.806966555203</v>
      </c>
      <c r="Y73">
        <f>'3、总属性战斗节奏拟合'!G73</f>
        <v>25826.008708194004</v>
      </c>
      <c r="Z73">
        <f>(((L73/$L$104*各种公式!$M$3)+S73+Q73+U73)*V73)</f>
        <v>883392.63847350015</v>
      </c>
      <c r="AA73">
        <f>(((N73/$N$104*各种公式!$M$3)*Y73*(1+R73)+Y73*R73))+W73*T73-X73*U73</f>
        <v>16084.728766061191</v>
      </c>
      <c r="AB73">
        <f>Z73-AA73*'3、总属性战斗节奏拟合'!H73</f>
        <v>204777.9318333785</v>
      </c>
      <c r="AC73" s="145">
        <f>(V73/(1-L73/(L73+116666))-V73)*各种公式!$C$13</f>
        <v>16110.596105658598</v>
      </c>
      <c r="AD73" s="145">
        <f t="shared" si="13"/>
        <v>35187.936864914329</v>
      </c>
      <c r="AE73" s="145">
        <f>Y73*N73/各种公式!$J$5*各种公式!$M$5</f>
        <v>6682.4797532451985</v>
      </c>
      <c r="AF73" s="130">
        <f t="shared" si="14"/>
        <v>6682.4797532451976</v>
      </c>
      <c r="AG73" s="130">
        <f t="shared" si="15"/>
        <v>93977.940263138313</v>
      </c>
      <c r="AH73" s="130">
        <f t="shared" si="16"/>
        <v>8018.975703894238</v>
      </c>
      <c r="AI73" s="130">
        <f t="shared" si="17"/>
        <v>5345.9838025961581</v>
      </c>
    </row>
    <row r="74" spans="2:35" x14ac:dyDescent="0.15">
      <c r="B74" s="1">
        <v>70</v>
      </c>
      <c r="C74" s="1">
        <f>'3、总属性战斗节奏拟合'!D74*'2、属性成长'!$Q75</f>
        <v>33946.500000000022</v>
      </c>
      <c r="D74" s="1">
        <f>'3、总属性战斗节奏拟合'!E74*'2、属性成长'!$Q75</f>
        <v>1431.0000000000011</v>
      </c>
      <c r="E74" s="1">
        <f>'3、总属性战斗节奏拟合'!F74*'2、属性成长'!$Q75</f>
        <v>636.00000000000057</v>
      </c>
      <c r="F74" s="1">
        <f>$C$5*各种公式!$C$13+D74+E74</f>
        <v>2086.8264000000017</v>
      </c>
      <c r="H74">
        <v>70</v>
      </c>
      <c r="I74" s="138">
        <f t="shared" si="12"/>
        <v>1522657.1185760058</v>
      </c>
      <c r="J74" s="138">
        <f t="shared" si="10"/>
        <v>73410.300000000061</v>
      </c>
      <c r="K74" s="138">
        <f t="shared" si="11"/>
        <v>32626.800000000028</v>
      </c>
      <c r="L74">
        <f>'3、总属性战斗节奏拟合'!J74</f>
        <v>43750</v>
      </c>
      <c r="M74">
        <f>'3、总属性战斗节奏拟合'!K74</f>
        <v>43750</v>
      </c>
      <c r="N74">
        <f>'3、总属性战斗节奏拟合'!L74</f>
        <v>43750</v>
      </c>
      <c r="O74" s="31">
        <f>'3、总属性战斗节奏拟合'!N74/各种公式!$J$4</f>
        <v>0.875</v>
      </c>
      <c r="P74">
        <f>'3、总属性战斗节奏拟合'!M74</f>
        <v>43750</v>
      </c>
      <c r="Q74" s="31">
        <f>'3、总属性战斗节奏拟合'!O74/各种公式!$J$6*各种公式!$M$6</f>
        <v>0.26250000000000001</v>
      </c>
      <c r="R74" s="31">
        <f>'3、总属性战斗节奏拟合'!P74/各种公式!$J$6*各种公式!$M$6</f>
        <v>0.26250000000000001</v>
      </c>
      <c r="S74" s="31">
        <f>'3、总属性战斗节奏拟合'!Q74/各种公式!$J$8*各种公式!$M$8</f>
        <v>8.7500000000000008E-2</v>
      </c>
      <c r="T74" s="31">
        <f>'3、总属性战斗节奏拟合'!R74/各种公式!$J$9*各种公式!$M$9</f>
        <v>0.17500000000000002</v>
      </c>
      <c r="U74" s="31">
        <f>'3、总属性战斗节奏拟合'!S74/各种公式!$J$10*各种公式!$M$10</f>
        <v>0.26250000000000001</v>
      </c>
      <c r="V74">
        <f>'3、总属性战斗节奏拟合'!D74</f>
        <v>1152328.276097409</v>
      </c>
      <c r="W74">
        <f>'3、总属性战斗节奏拟合'!E74</f>
        <v>48575.89922658867</v>
      </c>
      <c r="X74">
        <f>'3、总属性战斗节奏拟合'!F74</f>
        <v>21589.288545150521</v>
      </c>
      <c r="Y74">
        <f>'3、总属性战斗节奏拟合'!G74</f>
        <v>26986.610681438149</v>
      </c>
      <c r="Z74">
        <f>(((L74/$L$104*各种公式!$M$3)+S74+Q74+U74)*V74)</f>
        <v>947790.00709011883</v>
      </c>
      <c r="AA74">
        <f>(((N74/$N$104*各种公式!$M$3)*Y74*(1+R74)+Y74*R74))+W74*T74-X74*U74</f>
        <v>17072.40458234481</v>
      </c>
      <c r="AB74">
        <f>Z74-AA74*'3、总属性战斗节奏拟合'!H74</f>
        <v>218798.33142399532</v>
      </c>
      <c r="AC74" s="145">
        <f>(V74/(1-L74/(L74+116666))-V74)*各种公式!$C$13</f>
        <v>17285.022913020646</v>
      </c>
      <c r="AD74" s="145">
        <f t="shared" si="13"/>
        <v>37106.589686977459</v>
      </c>
      <c r="AE74" s="145">
        <f>Y74*N74/各种公式!$J$5*各种公式!$M$5</f>
        <v>7083.9853038775154</v>
      </c>
      <c r="AF74" s="130">
        <f t="shared" si="14"/>
        <v>7083.9853038775145</v>
      </c>
      <c r="AG74" s="130">
        <f t="shared" si="15"/>
        <v>100828.7241585233</v>
      </c>
      <c r="AH74" s="130">
        <f t="shared" si="16"/>
        <v>8500.7823646530178</v>
      </c>
      <c r="AI74" s="130">
        <f t="shared" si="17"/>
        <v>5667.1882431020122</v>
      </c>
    </row>
    <row r="75" spans="2:35" x14ac:dyDescent="0.15">
      <c r="B75" s="1">
        <v>71</v>
      </c>
      <c r="C75" s="1">
        <f>'3、总属性战斗节奏拟合'!D75*'2、属性成长'!$Q76</f>
        <v>35259.360000000022</v>
      </c>
      <c r="D75" s="1">
        <f>'3、总属性战斗节奏拟合'!E75*'2、属性成长'!$Q76</f>
        <v>1468.8000000000009</v>
      </c>
      <c r="E75" s="1">
        <f>'3、总属性战斗节奏拟合'!F75*'2、属性成长'!$Q76</f>
        <v>652.80000000000041</v>
      </c>
      <c r="F75" s="1">
        <f>$C$5*各种公式!$C$13+D75+E75</f>
        <v>2141.4264000000012</v>
      </c>
      <c r="H75">
        <v>71</v>
      </c>
      <c r="I75" s="138">
        <f t="shared" si="12"/>
        <v>1575342.4666299568</v>
      </c>
      <c r="J75" s="138">
        <f t="shared" si="10"/>
        <v>75349.440000000046</v>
      </c>
      <c r="K75" s="138">
        <f t="shared" si="11"/>
        <v>33488.640000000021</v>
      </c>
      <c r="L75">
        <f>'3、总属性战斗节奏拟合'!J75</f>
        <v>44375</v>
      </c>
      <c r="M75">
        <f>'3、总属性战斗节奏拟合'!K75</f>
        <v>44375</v>
      </c>
      <c r="N75">
        <f>'3、总属性战斗节奏拟合'!L75</f>
        <v>44375</v>
      </c>
      <c r="O75" s="31">
        <f>'3、总属性战斗节奏拟合'!N75/各种公式!$J$4</f>
        <v>0.88749999999999996</v>
      </c>
      <c r="P75">
        <f>'3、总属性战斗节奏拟合'!M75</f>
        <v>44375</v>
      </c>
      <c r="Q75" s="31">
        <f>'3、总属性战斗节奏拟合'!O75/各种公式!$J$6*各种公式!$M$6</f>
        <v>0.26624999999999999</v>
      </c>
      <c r="R75" s="31">
        <f>'3、总属性战斗节奏拟合'!P75/各种公式!$J$6*各种公式!$M$6</f>
        <v>0.26624999999999999</v>
      </c>
      <c r="S75" s="31">
        <f>'3、总属性战斗节奏拟合'!Q75/各种公式!$J$8*各种公式!$M$8</f>
        <v>8.8749999999999996E-2</v>
      </c>
      <c r="T75" s="31">
        <f>'3、总属性战斗节奏拟合'!R75/各种公式!$J$9*各种公式!$M$9</f>
        <v>0.17749999999999999</v>
      </c>
      <c r="U75" s="31">
        <f>'3、总属性战斗节奏拟合'!S75/各种公式!$J$10*各种公式!$M$10</f>
        <v>0.26624999999999999</v>
      </c>
      <c r="V75">
        <f>'3、总属性战斗节奏拟合'!D75</f>
        <v>1217290.9066357866</v>
      </c>
      <c r="W75">
        <f>'3、总属性战斗节奏拟合'!E75</f>
        <v>50708.716314381301</v>
      </c>
      <c r="X75">
        <f>'3、总属性战斗节奏拟合'!F75</f>
        <v>22537.207250836134</v>
      </c>
      <c r="Y75">
        <f>'3、总属性战斗节奏拟合'!G75</f>
        <v>28171.509063545167</v>
      </c>
      <c r="Z75">
        <f>(((L75/$L$104*各种公式!$M$3)+S75+Q75+U75)*V75)</f>
        <v>1015524.9388609049</v>
      </c>
      <c r="AA75">
        <f>(((N75/$N$104*各种公式!$M$3)*Y75*(1+R75)+Y75*R75))+W75*T75-X75*U75</f>
        <v>18099.102927351556</v>
      </c>
      <c r="AB75">
        <f>Z75-AA75*'3、总属性战斗节奏拟合'!H75</f>
        <v>233462.70137004415</v>
      </c>
      <c r="AC75" s="145">
        <f>(V75/(1-L75/(L75+116666))-V75)*各种公式!$C$13</f>
        <v>18520.317481344369</v>
      </c>
      <c r="AD75" s="145">
        <f t="shared" si="13"/>
        <v>39087.968825668919</v>
      </c>
      <c r="AE75" s="145">
        <f>Y75*N75/各种公式!$J$5*各种公式!$M$5</f>
        <v>7500.6642881689004</v>
      </c>
      <c r="AF75" s="130">
        <f t="shared" si="14"/>
        <v>7500.6642881689004</v>
      </c>
      <c r="AG75" s="130">
        <f t="shared" si="15"/>
        <v>108034.56796392606</v>
      </c>
      <c r="AH75" s="130">
        <f t="shared" si="16"/>
        <v>9000.7971458026805</v>
      </c>
      <c r="AI75" s="130">
        <f t="shared" si="17"/>
        <v>6000.5314305351203</v>
      </c>
    </row>
    <row r="76" spans="2:35" x14ac:dyDescent="0.15">
      <c r="B76" s="1">
        <v>72</v>
      </c>
      <c r="C76" s="1">
        <f>'3、总属性战斗节奏拟合'!D76*'2、属性成长'!$Q77</f>
        <v>36593.640000000021</v>
      </c>
      <c r="D76" s="1">
        <f>'3、总属性战斗节奏拟合'!E76*'2、属性成长'!$Q77</f>
        <v>1506.600000000001</v>
      </c>
      <c r="E76" s="1">
        <f>'3、总属性战斗节奏拟合'!F76*'2、属性成长'!$Q77</f>
        <v>669.60000000000036</v>
      </c>
      <c r="F76" s="1">
        <f>$C$5*各种公式!$C$13+D76+E76</f>
        <v>2196.0264000000016</v>
      </c>
      <c r="H76">
        <v>72</v>
      </c>
      <c r="I76" s="138">
        <f t="shared" si="12"/>
        <v>1628467.0515304436</v>
      </c>
      <c r="J76" s="138">
        <f t="shared" si="10"/>
        <v>77288.580000000045</v>
      </c>
      <c r="K76" s="138">
        <f t="shared" si="11"/>
        <v>34350.480000000018</v>
      </c>
      <c r="L76">
        <f>'3、总属性战斗节奏拟合'!J76</f>
        <v>45000</v>
      </c>
      <c r="M76">
        <f>'3、总属性战斗节奏拟合'!K76</f>
        <v>45000</v>
      </c>
      <c r="N76">
        <f>'3、总属性战斗节奏拟合'!L76</f>
        <v>45000</v>
      </c>
      <c r="O76" s="31">
        <f>'3、总属性战斗节奏拟合'!N76/各种公式!$J$4</f>
        <v>0.9</v>
      </c>
      <c r="P76">
        <f>'3、总属性战斗节奏拟合'!M76</f>
        <v>45000</v>
      </c>
      <c r="Q76" s="31">
        <f>'3、总属性战斗节奏拟合'!O76/各种公式!$J$6*各种公式!$M$6</f>
        <v>0.27</v>
      </c>
      <c r="R76" s="31">
        <f>'3、总属性战斗节奏拟合'!P76/各种公式!$J$6*各种公式!$M$6</f>
        <v>0.27</v>
      </c>
      <c r="S76" s="31">
        <f>'3、总属性战斗节奏拟合'!Q76/各种公式!$J$8*各种公式!$M$8</f>
        <v>9.0000000000000011E-2</v>
      </c>
      <c r="T76" s="31">
        <f>'3、总属性战斗节奏拟合'!R76/各种公式!$J$9*各种公式!$M$9</f>
        <v>0.18000000000000002</v>
      </c>
      <c r="U76" s="31">
        <f>'3、总属性战斗节奏拟合'!S76/各种公式!$J$10*各种公式!$M$10</f>
        <v>0.27</v>
      </c>
      <c r="V76">
        <f>'3、总属性战斗节奏拟合'!D76</f>
        <v>1284524.3725193988</v>
      </c>
      <c r="W76">
        <f>'3、总属性战斗节奏拟合'!E76</f>
        <v>52885.266938127126</v>
      </c>
      <c r="X76">
        <f>'3、总属性战斗节奏拟合'!F76</f>
        <v>23504.563083612054</v>
      </c>
      <c r="Y76">
        <f>'3、总属性战斗节奏拟合'!G76</f>
        <v>29380.703854515068</v>
      </c>
      <c r="Z76">
        <f>(((L76/$L$104*各种公式!$M$3)+S76+Q76+U76)*V76)</f>
        <v>1086707.6191514116</v>
      </c>
      <c r="AA76">
        <f>(((N76/$N$104*各种公式!$M$3)*Y76*(1+R76)+Y76*R76))+W76*T76-X76*U76</f>
        <v>19165.620738377267</v>
      </c>
      <c r="AB76">
        <f>Z76-AA76*'3、总属性战斗节奏拟合'!H76</f>
        <v>248786.68046955753</v>
      </c>
      <c r="AC76" s="145">
        <f>(V76/(1-L76/(L76+116666))-V76)*各种公式!$C$13</f>
        <v>19818.489281666625</v>
      </c>
      <c r="AD76" s="145">
        <f t="shared" si="13"/>
        <v>41132.985396321092</v>
      </c>
      <c r="AE76" s="145">
        <f>Y76*N76/各种公式!$J$5*各种公式!$M$5</f>
        <v>7932.7900407190682</v>
      </c>
      <c r="AF76" s="130">
        <f t="shared" si="14"/>
        <v>7932.7900407190691</v>
      </c>
      <c r="AG76" s="130">
        <f t="shared" si="15"/>
        <v>115607.1935267459</v>
      </c>
      <c r="AH76" s="130">
        <f t="shared" si="16"/>
        <v>9519.3480488628829</v>
      </c>
      <c r="AI76" s="130">
        <f t="shared" si="17"/>
        <v>6346.2320325752553</v>
      </c>
    </row>
    <row r="77" spans="2:35" x14ac:dyDescent="0.15">
      <c r="B77" s="1">
        <v>73</v>
      </c>
      <c r="C77" s="1">
        <f>'3、总属性战斗节奏拟合'!D77*'2、属性成长'!$Q78</f>
        <v>37949.340000000018</v>
      </c>
      <c r="D77" s="1">
        <f>'3、总属性战斗节奏拟合'!E77*'2、属性成长'!$Q78</f>
        <v>1544.4000000000008</v>
      </c>
      <c r="E77" s="1">
        <f>'3、总属性战斗节奏拟合'!F77*'2、属性成长'!$Q78</f>
        <v>686.40000000000043</v>
      </c>
      <c r="F77" s="1">
        <f>$C$5*各种公式!$C$13+D77+E77</f>
        <v>2250.626400000001</v>
      </c>
      <c r="H77">
        <v>73</v>
      </c>
      <c r="I77" s="138">
        <f t="shared" si="12"/>
        <v>1682015.2581518283</v>
      </c>
      <c r="J77" s="138">
        <f t="shared" si="10"/>
        <v>79227.72000000003</v>
      </c>
      <c r="K77" s="138">
        <f t="shared" si="11"/>
        <v>35212.320000000022</v>
      </c>
      <c r="L77">
        <f>'3、总属性战斗节奏拟合'!J77</f>
        <v>45625</v>
      </c>
      <c r="M77">
        <f>'3、总属性战斗节奏拟合'!K77</f>
        <v>45625</v>
      </c>
      <c r="N77">
        <f>'3、总属性战斗节奏拟合'!L77</f>
        <v>45625</v>
      </c>
      <c r="O77" s="31">
        <f>'3、总属性战斗节奏拟合'!N77/各种公式!$J$4</f>
        <v>0.91249999999999998</v>
      </c>
      <c r="P77">
        <f>'3、总属性战斗节奏拟合'!M77</f>
        <v>45625</v>
      </c>
      <c r="Q77" s="31">
        <f>'3、总属性战斗节奏拟合'!O77/各种公式!$J$6*各种公式!$M$6</f>
        <v>0.27374999999999999</v>
      </c>
      <c r="R77" s="31">
        <f>'3、总属性战斗节奏拟合'!P77/各种公式!$J$6*各种公式!$M$6</f>
        <v>0.27374999999999999</v>
      </c>
      <c r="S77" s="31">
        <f>'3、总属性战斗节奏拟合'!Q77/各种公式!$J$8*各种公式!$M$8</f>
        <v>9.1249999999999998E-2</v>
      </c>
      <c r="T77" s="31">
        <f>'3、总属性战斗节奏拟合'!R77/各种公式!$J$9*各种公式!$M$9</f>
        <v>0.1825</v>
      </c>
      <c r="U77" s="31">
        <f>'3、总属性战斗节奏拟合'!S77/各种公式!$J$10*各种公式!$M$10</f>
        <v>0.27374999999999999</v>
      </c>
      <c r="V77">
        <f>'3、总属性战斗节奏拟合'!D77</f>
        <v>1354065.8472538053</v>
      </c>
      <c r="W77">
        <f>'3、总属性战斗节奏拟合'!E77</f>
        <v>55105.551097826123</v>
      </c>
      <c r="X77">
        <f>'3、总属性战斗节奏拟合'!F77</f>
        <v>24491.356043478278</v>
      </c>
      <c r="Y77">
        <f>'3、总属性战斗节奏拟合'!G77</f>
        <v>30614.195054347845</v>
      </c>
      <c r="Z77">
        <f>(((L77/$L$104*各种公式!$M$3)+S77+Q77+U77)*V77)</f>
        <v>1161449.9804819515</v>
      </c>
      <c r="AA77">
        <f>(((N77/$N$104*各种公式!$M$3)*Y77*(1+R77)+Y77*R77))+W77*T77-X77*U77</f>
        <v>20272.758232732958</v>
      </c>
      <c r="AB77">
        <f>Z77-AA77*'3、总属性战斗节奏拟合'!H77</f>
        <v>264785.88384817273</v>
      </c>
      <c r="AC77" s="145">
        <f>(V77/(1-L77/(L77+116666))-V77)*各种公式!$C$13</f>
        <v>21181.579648211078</v>
      </c>
      <c r="AD77" s="145">
        <f t="shared" si="13"/>
        <v>43242.550514266331</v>
      </c>
      <c r="AE77" s="145">
        <f>Y77*N77/各种公式!$J$5*各种公式!$M$5</f>
        <v>8380.6358961277219</v>
      </c>
      <c r="AF77" s="130">
        <f t="shared" si="14"/>
        <v>8380.6358961277219</v>
      </c>
      <c r="AG77" s="130">
        <f t="shared" si="15"/>
        <v>123558.50856190972</v>
      </c>
      <c r="AH77" s="130">
        <f t="shared" si="16"/>
        <v>10056.763075353267</v>
      </c>
      <c r="AI77" s="130">
        <f t="shared" si="17"/>
        <v>6704.5087169021781</v>
      </c>
    </row>
    <row r="78" spans="2:35" x14ac:dyDescent="0.15">
      <c r="B78" s="1">
        <v>74</v>
      </c>
      <c r="C78" s="1">
        <f>'3、总属性战斗节奏拟合'!D78*'2、属性成长'!$Q79</f>
        <v>39326.460000000021</v>
      </c>
      <c r="D78" s="1">
        <f>'3、总属性战斗节奏拟合'!E78*'2、属性成长'!$Q79</f>
        <v>1582.200000000001</v>
      </c>
      <c r="E78" s="1">
        <f>'3、总属性战斗节奏拟合'!F78*'2、属性成长'!$Q79</f>
        <v>703.20000000000039</v>
      </c>
      <c r="F78" s="1">
        <f>$C$5*各种公式!$C$13+D78+E78</f>
        <v>2305.2264000000014</v>
      </c>
      <c r="H78">
        <v>74</v>
      </c>
      <c r="I78" s="138">
        <f t="shared" si="12"/>
        <v>1735971.5034049053</v>
      </c>
      <c r="J78" s="138">
        <f t="shared" si="10"/>
        <v>81166.860000000044</v>
      </c>
      <c r="K78" s="138">
        <f t="shared" si="11"/>
        <v>36074.160000000018</v>
      </c>
      <c r="L78">
        <f>'3、总属性战斗节奏拟合'!J78</f>
        <v>46250</v>
      </c>
      <c r="M78">
        <f>'3、总属性战斗节奏拟合'!K78</f>
        <v>46250</v>
      </c>
      <c r="N78">
        <f>'3、总属性战斗节奏拟合'!L78</f>
        <v>46250</v>
      </c>
      <c r="O78" s="31">
        <f>'3、总属性战斗节奏拟合'!N78/各种公式!$J$4</f>
        <v>0.92500000000000004</v>
      </c>
      <c r="P78">
        <f>'3、总属性战斗节奏拟合'!M78</f>
        <v>46250</v>
      </c>
      <c r="Q78" s="31">
        <f>'3、总属性战斗节奏拟合'!O78/各种公式!$J$6*各种公式!$M$6</f>
        <v>0.27750000000000002</v>
      </c>
      <c r="R78" s="31">
        <f>'3、总属性战斗节奏拟合'!P78/各种公式!$J$6*各种公式!$M$6</f>
        <v>0.27750000000000002</v>
      </c>
      <c r="S78" s="31">
        <f>'3、总属性战斗节奏拟合'!Q78/各种公式!$J$8*各种公式!$M$8</f>
        <v>9.2500000000000013E-2</v>
      </c>
      <c r="T78" s="31">
        <f>'3、总属性战斗节奏拟合'!R78/各种公式!$J$9*各种公式!$M$9</f>
        <v>0.18500000000000003</v>
      </c>
      <c r="U78" s="31">
        <f>'3、总属性战斗节奏拟合'!S78/各种公式!$J$10*各种公式!$M$10</f>
        <v>0.27750000000000002</v>
      </c>
      <c r="V78">
        <f>'3、总属性战斗节奏拟合'!D78</f>
        <v>1425952.504344566</v>
      </c>
      <c r="W78">
        <f>'3、总属性战斗节奏拟合'!E78</f>
        <v>57369.568793478291</v>
      </c>
      <c r="X78">
        <f>'3、总属性战斗节奏拟合'!F78</f>
        <v>25497.586130434796</v>
      </c>
      <c r="Y78">
        <f>'3、总属性战斗节奏拟合'!G78</f>
        <v>31871.982663043495</v>
      </c>
      <c r="Z78">
        <f>(((L78/$L$104*各种公式!$M$3)+S78+Q78+U78)*V78)</f>
        <v>1239865.7025276003</v>
      </c>
      <c r="AA78">
        <f>(((N78/$N$104*各种公式!$M$3)*Y78*(1+R78)+Y78*R78))+W78*T78-X78*U78</f>
        <v>21421.318907744851</v>
      </c>
      <c r="AB78">
        <f>Z78-AA78*'3、总属性战斗节奏拟合'!H78</f>
        <v>281475.89459509565</v>
      </c>
      <c r="AC78" s="145">
        <f>(V78/(1-L78/(L78+116666))-V78)*各种公式!$C$13</f>
        <v>22611.661778388283</v>
      </c>
      <c r="AD78" s="145">
        <f t="shared" si="13"/>
        <v>45417.575294836985</v>
      </c>
      <c r="AE78" s="145">
        <f>Y78*N78/各种公式!$J$5*各种公式!$M$5</f>
        <v>8844.475188994571</v>
      </c>
      <c r="AF78" s="130">
        <f t="shared" si="14"/>
        <v>8844.475188994571</v>
      </c>
      <c r="AG78" s="130">
        <f t="shared" si="15"/>
        <v>131900.60665187237</v>
      </c>
      <c r="AH78" s="130">
        <f t="shared" si="16"/>
        <v>10613.370226793486</v>
      </c>
      <c r="AI78" s="130">
        <f t="shared" si="17"/>
        <v>7075.580151195657</v>
      </c>
    </row>
    <row r="79" spans="2:35" x14ac:dyDescent="0.15">
      <c r="B79" s="1">
        <v>75</v>
      </c>
      <c r="C79" s="1">
        <f>'3、总属性战斗节奏拟合'!D79*'2、属性成长'!$Q80</f>
        <v>40725.000000000029</v>
      </c>
      <c r="D79" s="1">
        <f>'3、总属性战斗节奏拟合'!E79*'2、属性成长'!$Q80</f>
        <v>1620.0000000000011</v>
      </c>
      <c r="E79" s="1">
        <f>'3、总属性战斗节奏拟合'!F79*'2、属性成长'!$Q80</f>
        <v>720.00000000000057</v>
      </c>
      <c r="F79" s="1">
        <f>$C$5*各种公式!$C$13+D79+E79</f>
        <v>2359.8264000000017</v>
      </c>
      <c r="H79">
        <v>75</v>
      </c>
      <c r="I79" s="138">
        <f t="shared" si="12"/>
        <v>1790320.2446009414</v>
      </c>
      <c r="J79" s="138">
        <f t="shared" si="10"/>
        <v>83106.000000000058</v>
      </c>
      <c r="K79" s="138">
        <f t="shared" si="11"/>
        <v>36936.000000000029</v>
      </c>
      <c r="L79">
        <f>'3、总属性战斗节奏拟合'!J79</f>
        <v>46875</v>
      </c>
      <c r="M79">
        <f>'3、总属性战斗节奏拟合'!K79</f>
        <v>46875</v>
      </c>
      <c r="N79">
        <f>'3、总属性战斗节奏拟合'!L79</f>
        <v>46875</v>
      </c>
      <c r="O79" s="31">
        <f>'3、总属性战斗节奏拟合'!N79/各种公式!$J$4</f>
        <v>0.9375</v>
      </c>
      <c r="P79">
        <f>'3、总属性战斗节奏拟合'!M79</f>
        <v>46875</v>
      </c>
      <c r="Q79" s="31">
        <f>'3、总属性战斗节奏拟合'!O79/各种公式!$J$6*各种公式!$M$6</f>
        <v>0.28125</v>
      </c>
      <c r="R79" s="31">
        <f>'3、总属性战斗节奏拟合'!P79/各种公式!$J$6*各种公式!$M$6</f>
        <v>0.28125</v>
      </c>
      <c r="S79" s="31">
        <f>'3、总属性战斗节奏拟合'!Q79/各种公式!$J$8*各种公式!$M$8</f>
        <v>9.375E-2</v>
      </c>
      <c r="T79" s="31">
        <f>'3、总属性战斗节奏拟合'!R79/各种公式!$J$9*各种公式!$M$9</f>
        <v>0.1875</v>
      </c>
      <c r="U79" s="31">
        <f>'3、总属性战斗节奏拟合'!S79/各种公式!$J$10*各种公式!$M$10</f>
        <v>0.28125</v>
      </c>
      <c r="V79">
        <f>'3、总属性战斗节奏拟合'!D79</f>
        <v>1500221.5172972416</v>
      </c>
      <c r="W79">
        <f>'3、总属性战斗节奏拟合'!E79</f>
        <v>59677.320025083645</v>
      </c>
      <c r="X79">
        <f>'3、总属性战斗节奏拟合'!F79</f>
        <v>26523.253344481622</v>
      </c>
      <c r="Y79">
        <f>'3、总属性战斗节奏拟合'!G79</f>
        <v>33154.066680602024</v>
      </c>
      <c r="Z79">
        <f>(((L79/$L$104*各种公式!$M$3)+S79+Q79+U79)*V79)</f>
        <v>1322070.2121181942</v>
      </c>
      <c r="AA79">
        <f>(((N79/$N$104*各种公式!$M$3)*Y79*(1+R79)+Y79*R79))+W79*T79-X79*U79</f>
        <v>22612.109540754347</v>
      </c>
      <c r="AB79">
        <f>Z79-AA79*'3、总属性战斗节奏拟合'!H79</f>
        <v>298872.25539905997</v>
      </c>
      <c r="AC79" s="145">
        <f>(V79/(1-L79/(L79+116666))-V79)*各种公式!$C$13</f>
        <v>24110.840732795568</v>
      </c>
      <c r="AD79" s="145">
        <f t="shared" si="13"/>
        <v>47658.970853365412</v>
      </c>
      <c r="AE79" s="145">
        <f>Y79*N79/各种公式!$J$5*各种公式!$M$5</f>
        <v>9324.5812539193194</v>
      </c>
      <c r="AF79" s="130">
        <f t="shared" si="14"/>
        <v>9324.5812539193194</v>
      </c>
      <c r="AG79" s="130">
        <f t="shared" si="15"/>
        <v>140645.76724661639</v>
      </c>
      <c r="AH79" s="130">
        <f t="shared" si="16"/>
        <v>11189.497504703184</v>
      </c>
      <c r="AI79" s="130">
        <f t="shared" si="17"/>
        <v>7459.6650031354566</v>
      </c>
    </row>
    <row r="80" spans="2:35" x14ac:dyDescent="0.15">
      <c r="B80" s="1">
        <v>76</v>
      </c>
      <c r="C80" s="1">
        <f>'3、总属性战斗节奏拟合'!D80*'2、属性成长'!$Q81</f>
        <v>42144.960000000021</v>
      </c>
      <c r="D80" s="1">
        <f>'3、总属性战斗节奏拟合'!E80*'2、属性成长'!$Q81</f>
        <v>1657.8000000000009</v>
      </c>
      <c r="E80" s="1">
        <f>'3、总属性战斗节奏拟合'!F80*'2、属性成长'!$Q81</f>
        <v>736.80000000000041</v>
      </c>
      <c r="F80" s="1">
        <f>$C$5*各种公式!$C$13+D80+E80</f>
        <v>2414.4264000000012</v>
      </c>
      <c r="H80">
        <v>76</v>
      </c>
      <c r="I80" s="138">
        <f t="shared" si="12"/>
        <v>1845045.987815713</v>
      </c>
      <c r="J80" s="138">
        <f t="shared" si="10"/>
        <v>85045.140000000043</v>
      </c>
      <c r="K80" s="138">
        <f t="shared" si="11"/>
        <v>37797.840000000018</v>
      </c>
      <c r="L80">
        <f>'3、总属性战斗节奏拟合'!J80</f>
        <v>47500</v>
      </c>
      <c r="M80">
        <f>'3、总属性战斗节奏拟合'!K80</f>
        <v>47500</v>
      </c>
      <c r="N80">
        <f>'3、总属性战斗节奏拟合'!L80</f>
        <v>47500</v>
      </c>
      <c r="O80" s="31">
        <f>'3、总属性战斗节奏拟合'!N80/各种公式!$J$4</f>
        <v>0.95</v>
      </c>
      <c r="P80">
        <f>'3、总属性战斗节奏拟合'!M80</f>
        <v>47500</v>
      </c>
      <c r="Q80" s="31">
        <f>'3、总属性战斗节奏拟合'!O80/各种公式!$J$6*各种公式!$M$6</f>
        <v>0.28499999999999998</v>
      </c>
      <c r="R80" s="31">
        <f>'3、总属性战斗节奏拟合'!P80/各种公式!$J$6*各种公式!$M$6</f>
        <v>0.28499999999999998</v>
      </c>
      <c r="S80" s="31">
        <f>'3、总属性战斗节奏拟合'!Q80/各种公式!$J$8*各种公式!$M$8</f>
        <v>9.5000000000000001E-2</v>
      </c>
      <c r="T80" s="31">
        <f>'3、总属性战斗节奏拟合'!R80/各种公式!$J$9*各种公式!$M$9</f>
        <v>0.19</v>
      </c>
      <c r="U80" s="31">
        <f>'3、总属性战斗节奏拟合'!S80/各种公式!$J$10*各种公式!$M$10</f>
        <v>0.28499999999999998</v>
      </c>
      <c r="V80">
        <f>'3、总属性战斗节奏拟合'!D80</f>
        <v>1576910.059617392</v>
      </c>
      <c r="W80">
        <f>'3、总属性战斗节奏拟合'!E80</f>
        <v>62028.804792642171</v>
      </c>
      <c r="X80">
        <f>'3、总属性战斗节奏拟合'!F80</f>
        <v>27568.357685618743</v>
      </c>
      <c r="Y80">
        <f>'3、总属性战斗节奏拟合'!G80</f>
        <v>34460.447107023429</v>
      </c>
      <c r="Z80">
        <f>(((L80/$L$104*各种公式!$M$3)+S80+Q80+U80)*V80)</f>
        <v>1408180.6832383308</v>
      </c>
      <c r="AA80">
        <f>(((N80/$N$104*各种公式!$M$3)*Y80*(1+R80)+Y80*R80))+W80*T80-X80*U80</f>
        <v>23845.940189118071</v>
      </c>
      <c r="AB80">
        <f>Z80-AA80*'3、总属性战斗节奏拟合'!H80</f>
        <v>316990.46018428775</v>
      </c>
      <c r="AC80" s="145">
        <f>(V80/(1-L80/(L80+116666))-V80)*各种公式!$C$13</f>
        <v>25681.253435217171</v>
      </c>
      <c r="AD80" s="145">
        <f t="shared" si="13"/>
        <v>49967.648305183968</v>
      </c>
      <c r="AE80" s="145">
        <f>Y80*N80/各种公式!$J$5*各种公式!$M$5</f>
        <v>9821.2274255016764</v>
      </c>
      <c r="AF80" s="130">
        <f t="shared" si="14"/>
        <v>9821.2274255016764</v>
      </c>
      <c r="AG80" s="130">
        <f t="shared" si="15"/>
        <v>149806.45566365225</v>
      </c>
      <c r="AH80" s="130">
        <f t="shared" si="16"/>
        <v>11785.472910602013</v>
      </c>
      <c r="AI80" s="130">
        <f t="shared" si="17"/>
        <v>7856.9819404013406</v>
      </c>
    </row>
    <row r="81" spans="2:35" x14ac:dyDescent="0.15">
      <c r="B81" s="1">
        <v>77</v>
      </c>
      <c r="C81" s="1">
        <f>'3、总属性战斗节奏拟合'!D81*'2、属性成长'!$Q82</f>
        <v>43586.340000000018</v>
      </c>
      <c r="D81" s="1">
        <f>'3、总属性战斗节奏拟合'!E81*'2、属性成长'!$Q82</f>
        <v>1695.6000000000008</v>
      </c>
      <c r="E81" s="1">
        <f>'3、总属性战斗节奏拟合'!F81*'2、属性成长'!$Q82</f>
        <v>753.60000000000036</v>
      </c>
      <c r="F81" s="1">
        <f>$C$5*各种公式!$C$13+D81+E81</f>
        <v>2469.0264000000011</v>
      </c>
      <c r="H81">
        <v>77</v>
      </c>
      <c r="I81" s="138">
        <f t="shared" si="12"/>
        <v>1900133.2962535466</v>
      </c>
      <c r="J81" s="138">
        <f t="shared" si="10"/>
        <v>86984.280000000042</v>
      </c>
      <c r="K81" s="138">
        <f t="shared" si="11"/>
        <v>38659.680000000015</v>
      </c>
      <c r="L81">
        <f>'3、总属性战斗节奏拟合'!J81</f>
        <v>48125</v>
      </c>
      <c r="M81">
        <f>'3、总属性战斗节奏拟合'!K81</f>
        <v>48125</v>
      </c>
      <c r="N81">
        <f>'3、总属性战斗节奏拟合'!L81</f>
        <v>48125</v>
      </c>
      <c r="O81" s="31">
        <f>'3、总属性战斗节奏拟合'!N81/各种公式!$J$4</f>
        <v>0.96250000000000002</v>
      </c>
      <c r="P81">
        <f>'3、总属性战斗节奏拟合'!M81</f>
        <v>48125</v>
      </c>
      <c r="Q81" s="31">
        <f>'3、总属性战斗节奏拟合'!O81/各种公式!$J$6*各种公式!$M$6</f>
        <v>0.28875000000000001</v>
      </c>
      <c r="R81" s="31">
        <f>'3、总属性战斗节奏拟合'!P81/各种公式!$J$6*各种公式!$M$6</f>
        <v>0.28875000000000001</v>
      </c>
      <c r="S81" s="31">
        <f>'3、总属性战斗节奏拟合'!Q81/各种公式!$J$8*各种公式!$M$8</f>
        <v>9.6250000000000002E-2</v>
      </c>
      <c r="T81" s="31">
        <f>'3、总属性战斗节奏拟合'!R81/各种公式!$J$9*各种公式!$M$9</f>
        <v>0.1925</v>
      </c>
      <c r="U81" s="31">
        <f>'3、总属性战斗节奏拟合'!S81/各种公式!$J$10*各种公式!$M$10</f>
        <v>0.28875000000000001</v>
      </c>
      <c r="V81">
        <f>'3、总属性战斗节奏拟合'!D81</f>
        <v>1656055.3048105778</v>
      </c>
      <c r="W81">
        <f>'3、总属性战斗节奏拟合'!E81</f>
        <v>64424.023096153876</v>
      </c>
      <c r="X81">
        <f>'3、总属性战斗节奏拟合'!F81</f>
        <v>28632.899153846167</v>
      </c>
      <c r="Y81">
        <f>'3、总属性战斗节奏拟合'!G81</f>
        <v>35791.123942307706</v>
      </c>
      <c r="Z81">
        <f>(((L81/$L$104*各种公式!$M$3)+S81+Q81+U81)*V81)</f>
        <v>1498316.0370273702</v>
      </c>
      <c r="AA81">
        <f>(((N81/$N$104*各种公式!$M$3)*Y81*(1+R81)+Y81*R81))+W81*T81-X81*U81</f>
        <v>25123.624190207818</v>
      </c>
      <c r="AB81">
        <f>Z81-AA81*'3、总属性战斗节奏拟合'!H81</f>
        <v>335845.94574645441</v>
      </c>
      <c r="AC81" s="145">
        <f>(V81/(1-L81/(L81+116666))-V81)*各种公式!$C$13</f>
        <v>27325.068672624111</v>
      </c>
      <c r="AD81" s="145">
        <f t="shared" si="13"/>
        <v>52344.51876562502</v>
      </c>
      <c r="AE81" s="145">
        <f>Y81*N81/各种公式!$J$5*各种公式!$M$5</f>
        <v>10334.68703834135</v>
      </c>
      <c r="AF81" s="130">
        <f t="shared" si="14"/>
        <v>10334.68703834135</v>
      </c>
      <c r="AG81" s="130">
        <f t="shared" si="15"/>
        <v>159395.32308801811</v>
      </c>
      <c r="AH81" s="130">
        <f t="shared" si="16"/>
        <v>12401.624446009622</v>
      </c>
      <c r="AI81" s="130">
        <f t="shared" si="17"/>
        <v>8267.7496306730809</v>
      </c>
    </row>
    <row r="82" spans="2:35" x14ac:dyDescent="0.15">
      <c r="B82" s="1">
        <v>78</v>
      </c>
      <c r="C82" s="1">
        <f>'3、总属性战斗节奏拟合'!D82*'2、属性成长'!$Q83</f>
        <v>45049.140000000014</v>
      </c>
      <c r="D82" s="1">
        <f>'3、总属性战斗节奏拟合'!E82*'2、属性成长'!$Q83</f>
        <v>1733.4000000000005</v>
      </c>
      <c r="E82" s="1">
        <f>'3、总属性战斗节奏拟合'!F82*'2、属性成长'!$Q83</f>
        <v>770.40000000000032</v>
      </c>
      <c r="F82" s="1">
        <f>$C$5*各种公式!$C$13+D82+E82</f>
        <v>2523.626400000001</v>
      </c>
      <c r="H82">
        <v>78</v>
      </c>
      <c r="I82" s="138">
        <f t="shared" si="12"/>
        <v>1955566.7986113571</v>
      </c>
      <c r="J82" s="138">
        <f t="shared" si="10"/>
        <v>88923.420000000027</v>
      </c>
      <c r="K82" s="138">
        <f t="shared" si="11"/>
        <v>39521.520000000011</v>
      </c>
      <c r="L82">
        <f>'3、总属性战斗节奏拟合'!J82</f>
        <v>48750</v>
      </c>
      <c r="M82">
        <f>'3、总属性战斗节奏拟合'!K82</f>
        <v>48750</v>
      </c>
      <c r="N82">
        <f>'3、总属性战斗节奏拟合'!L82</f>
        <v>48750</v>
      </c>
      <c r="O82" s="31">
        <f>'3、总属性战斗节奏拟合'!N82/各种公式!$J$4</f>
        <v>0.97499999999999998</v>
      </c>
      <c r="P82">
        <f>'3、总属性战斗节奏拟合'!M82</f>
        <v>48750</v>
      </c>
      <c r="Q82" s="31">
        <f>'3、总属性战斗节奏拟合'!O82/各种公式!$J$6*各种公式!$M$6</f>
        <v>0.29249999999999998</v>
      </c>
      <c r="R82" s="31">
        <f>'3、总属性战斗节奏拟合'!P82/各种公式!$J$6*各种公式!$M$6</f>
        <v>0.29249999999999998</v>
      </c>
      <c r="S82" s="31">
        <f>'3、总属性战斗节奏拟合'!Q82/各种公式!$J$8*各种公式!$M$8</f>
        <v>9.7500000000000003E-2</v>
      </c>
      <c r="T82" s="31">
        <f>'3、总属性战斗节奏拟合'!R82/各种公式!$J$9*各种公式!$M$9</f>
        <v>0.19500000000000001</v>
      </c>
      <c r="U82" s="31">
        <f>'3、总属性战斗节奏拟合'!S82/各种公式!$J$10*各种公式!$M$10</f>
        <v>0.29249999999999998</v>
      </c>
      <c r="V82">
        <f>'3、总属性战斗节奏拟合'!D82</f>
        <v>1737694.4263823582</v>
      </c>
      <c r="W82">
        <f>'3、总属性战斗节奏拟合'!E82</f>
        <v>66862.974935618739</v>
      </c>
      <c r="X82">
        <f>'3、总属性战斗节奏拟合'!F82</f>
        <v>29716.877749163887</v>
      </c>
      <c r="Y82">
        <f>'3、总属性战斗节奏拟合'!G82</f>
        <v>37146.097186454856</v>
      </c>
      <c r="Z82">
        <f>(((L82/$L$104*各种公式!$M$3)+S82+Q82+U82)*V82)</f>
        <v>1592596.9417794312</v>
      </c>
      <c r="AA82">
        <f>(((N82/$N$104*各种公式!$M$3)*Y82*(1+R82)+Y82*R82))+W82*T82-X82*U82</f>
        <v>26445.978161410596</v>
      </c>
      <c r="AB82">
        <f>Z82-AA82*'3、总属性战斗节奏拟合'!H82</f>
        <v>355454.08338864357</v>
      </c>
      <c r="AC82" s="145">
        <f>(V82/(1-L82/(L82+116666))-V82)*各种公式!$C$13</f>
        <v>29044.487095174249</v>
      </c>
      <c r="AD82" s="145">
        <f t="shared" si="13"/>
        <v>54790.493350020915</v>
      </c>
      <c r="AE82" s="145">
        <f>Y82*N82/各种公式!$J$5*各种公式!$M$5</f>
        <v>10865.233427038045</v>
      </c>
      <c r="AF82" s="130">
        <f t="shared" si="14"/>
        <v>10865.233427038045</v>
      </c>
      <c r="AG82" s="130">
        <f t="shared" si="15"/>
        <v>169425.20657227992</v>
      </c>
      <c r="AH82" s="130">
        <f t="shared" si="16"/>
        <v>13038.280112445655</v>
      </c>
      <c r="AI82" s="130">
        <f t="shared" si="17"/>
        <v>8692.1867416304358</v>
      </c>
    </row>
    <row r="83" spans="2:35" x14ac:dyDescent="0.15">
      <c r="B83" s="1">
        <v>79</v>
      </c>
      <c r="C83" s="1">
        <f>'3、总属性战斗节奏拟合'!D83*'2、属性成长'!$Q84</f>
        <v>46533.360000000022</v>
      </c>
      <c r="D83" s="1">
        <f>'3、总属性战斗节奏拟合'!E83*'2、属性成长'!$Q84</f>
        <v>1771.2000000000007</v>
      </c>
      <c r="E83" s="1">
        <f>'3、总属性战斗节奏拟合'!F83*'2、属性成长'!$Q84</f>
        <v>787.20000000000039</v>
      </c>
      <c r="F83" s="1">
        <f>$C$5*各种公式!$C$13+D83+E83</f>
        <v>2578.2264000000009</v>
      </c>
      <c r="H83">
        <v>79</v>
      </c>
      <c r="I83" s="138">
        <f t="shared" si="12"/>
        <v>2011331.1974426862</v>
      </c>
      <c r="J83" s="138">
        <f t="shared" si="10"/>
        <v>90862.560000000027</v>
      </c>
      <c r="K83" s="138">
        <f t="shared" si="11"/>
        <v>40383.360000000015</v>
      </c>
      <c r="L83">
        <f>'3、总属性战斗节奏拟合'!J83</f>
        <v>49375</v>
      </c>
      <c r="M83">
        <f>'3、总属性战斗节奏拟合'!K83</f>
        <v>49375</v>
      </c>
      <c r="N83">
        <f>'3、总属性战斗节奏拟合'!L83</f>
        <v>49375</v>
      </c>
      <c r="O83" s="31">
        <f>'3、总属性战斗节奏拟合'!N83/各种公式!$J$4</f>
        <v>0.98750000000000004</v>
      </c>
      <c r="P83">
        <f>'3、总属性战斗节奏拟合'!M83</f>
        <v>49375</v>
      </c>
      <c r="Q83" s="31">
        <f>'3、总属性战斗节奏拟合'!O83/各种公式!$J$6*各种公式!$M$6</f>
        <v>0.29625000000000001</v>
      </c>
      <c r="R83" s="31">
        <f>'3、总属性战斗节奏拟合'!P83/各种公式!$J$6*各种公式!$M$6</f>
        <v>0.29625000000000001</v>
      </c>
      <c r="S83" s="31">
        <f>'3、总属性战斗节奏拟合'!Q83/各种公式!$J$8*各种公式!$M$8</f>
        <v>9.8750000000000004E-2</v>
      </c>
      <c r="T83" s="31">
        <f>'3、总属性战斗节奏拟合'!R83/各种公式!$J$9*各种公式!$M$9</f>
        <v>0.19750000000000001</v>
      </c>
      <c r="U83" s="31">
        <f>'3、总属性战斗节奏拟合'!S83/各种公式!$J$10*各种公式!$M$10</f>
        <v>0.29625000000000001</v>
      </c>
      <c r="V83">
        <f>'3、总属性战斗节奏拟合'!D83</f>
        <v>1821864.5978382952</v>
      </c>
      <c r="W83">
        <f>'3、总属性战斗节奏拟合'!E83</f>
        <v>69345.660311036816</v>
      </c>
      <c r="X83">
        <f>'3、总属性战斗节奏拟合'!F83</f>
        <v>30820.29347157192</v>
      </c>
      <c r="Y83">
        <f>'3、总属性战斗节奏拟合'!G83</f>
        <v>38525.366839464899</v>
      </c>
      <c r="Z83">
        <f>(((L83/$L$104*各种公式!$M$3)+S83+Q83+U83)*V83)</f>
        <v>1691145.8129433976</v>
      </c>
      <c r="AA83">
        <f>(((N83/$N$104*各种公式!$M$3)*Y83*(1+R83)+Y83*R83))+W83*T83-X83*U83</f>
        <v>27813.822000128624</v>
      </c>
      <c r="AB83">
        <f>Z83-AA83*'3、总属性战斗节奏拟合'!H83</f>
        <v>375830.170557315</v>
      </c>
      <c r="AC83" s="145">
        <f>(V83/(1-L83/(L83+116666))-V83)*各种公式!$C$13</f>
        <v>30841.74121621238</v>
      </c>
      <c r="AD83" s="145">
        <f t="shared" si="13"/>
        <v>57306.483173704037</v>
      </c>
      <c r="AE83" s="145">
        <f>Y83*N83/各种公式!$J$5*各种公式!$M$5</f>
        <v>11413.139926191476</v>
      </c>
      <c r="AF83" s="130">
        <f t="shared" si="14"/>
        <v>11413.139926191478</v>
      </c>
      <c r="AG83" s="130">
        <f t="shared" si="15"/>
        <v>179909.12903653167</v>
      </c>
      <c r="AH83" s="130">
        <f t="shared" si="16"/>
        <v>13695.767911429772</v>
      </c>
      <c r="AI83" s="130">
        <f t="shared" si="17"/>
        <v>9130.5119409531817</v>
      </c>
    </row>
    <row r="84" spans="2:35" x14ac:dyDescent="0.15">
      <c r="B84" s="1">
        <v>80</v>
      </c>
      <c r="C84" s="1">
        <f>'3、总属性战斗节奏拟合'!D84*'2、属性成长'!$Q85</f>
        <v>48182.400000000001</v>
      </c>
      <c r="D84" s="1">
        <f>'3、总属性战斗节奏拟合'!E84*'2、属性成长'!$Q85</f>
        <v>1814.4000000000003</v>
      </c>
      <c r="E84" s="1">
        <f>'3、总属性战斗节奏拟合'!F84*'2、属性成长'!$Q85</f>
        <v>806.4000000000002</v>
      </c>
      <c r="F84" s="1">
        <f>$C$5*各种公式!$C$13+D84+E84</f>
        <v>2640.6264000000006</v>
      </c>
      <c r="H84">
        <v>80</v>
      </c>
      <c r="I84" s="138">
        <f t="shared" si="12"/>
        <v>2073582.6544695653</v>
      </c>
      <c r="J84" s="138">
        <f t="shared" si="10"/>
        <v>93078.720000000016</v>
      </c>
      <c r="K84" s="138">
        <f t="shared" si="11"/>
        <v>41368.320000000007</v>
      </c>
      <c r="L84">
        <f>'3、总属性战斗节奏拟合'!J84</f>
        <v>50000</v>
      </c>
      <c r="M84">
        <f>'3、总属性战斗节奏拟合'!K84</f>
        <v>50000</v>
      </c>
      <c r="N84">
        <f>'3、总属性战斗节奏拟合'!L84</f>
        <v>50000</v>
      </c>
      <c r="O84" s="31">
        <f>'3、总属性战斗节奏拟合'!N84/各种公式!$J$4</f>
        <v>1</v>
      </c>
      <c r="P84">
        <f>'3、总属性战斗节奏拟合'!M84</f>
        <v>50000</v>
      </c>
      <c r="Q84" s="31">
        <f>'3、总属性战斗节奏拟合'!O84/各种公式!$J$6*各种公式!$M$6</f>
        <v>0.3</v>
      </c>
      <c r="R84" s="31">
        <f>'3、总属性战斗节奏拟合'!P84/各种公式!$J$6*各种公式!$M$6</f>
        <v>0.3</v>
      </c>
      <c r="S84" s="31">
        <f>'3、总属性战斗节奏拟合'!Q84/各种公式!$J$8*各种公式!$M$8</f>
        <v>0.1</v>
      </c>
      <c r="T84" s="31">
        <f>'3、总属性战斗节奏拟合'!R84/各种公式!$J$9*各种公式!$M$9</f>
        <v>0.2</v>
      </c>
      <c r="U84" s="31">
        <f>'3、总属性战斗节奏拟合'!S84/各种公式!$J$10*各种公式!$M$10</f>
        <v>0.3</v>
      </c>
      <c r="V84">
        <f>'3、总属性战斗节奏拟合'!D84</f>
        <v>1914300.3150501673</v>
      </c>
      <c r="W84">
        <f>'3、总属性战斗节奏拟合'!E84</f>
        <v>72086.622742474923</v>
      </c>
      <c r="X84">
        <f>'3、总属性战斗节奏拟合'!F84</f>
        <v>32038.498996655522</v>
      </c>
      <c r="Y84">
        <f>'3、总属性战斗节奏拟合'!G84</f>
        <v>40048.123745819401</v>
      </c>
      <c r="Z84">
        <f>(((L84/$L$104*各种公式!$M$3)+S84+Q84+U84)*V84)</f>
        <v>1799442.2961471572</v>
      </c>
      <c r="AA84">
        <f>(((N84/$N$104*各种公式!$M$3)*Y84*(1+R84)+Y84*R84))+W84*T84-X84*U84</f>
        <v>29315.226581939802</v>
      </c>
      <c r="AB84">
        <f>Z84-AA84*'3、总属性战斗节奏拟合'!H84</f>
        <v>398174.46553043486</v>
      </c>
      <c r="AC84" s="145">
        <f>(V84/(1-L84/(L84+116666))-V84)*各种公式!$C$13</f>
        <v>32816.764353799175</v>
      </c>
      <c r="AD84" s="145">
        <f t="shared" si="13"/>
        <v>60072.185618729098</v>
      </c>
      <c r="AE84" s="145">
        <f>Y84*N84/各种公式!$J$5*各种公式!$M$5</f>
        <v>12014.43712374582</v>
      </c>
      <c r="AF84" s="130">
        <f t="shared" si="14"/>
        <v>12014.43712374582</v>
      </c>
      <c r="AG84" s="130">
        <f t="shared" si="15"/>
        <v>191430.03150501673</v>
      </c>
      <c r="AH84" s="130">
        <f t="shared" si="16"/>
        <v>14417.324548494986</v>
      </c>
      <c r="AI84" s="130">
        <f t="shared" si="17"/>
        <v>9611.5496989966559</v>
      </c>
    </row>
    <row r="85" spans="2:35" x14ac:dyDescent="0.15">
      <c r="B85" s="1">
        <v>81</v>
      </c>
      <c r="C85" s="1">
        <f>'3、总属性战斗节奏拟合'!D85*'2、属性成长'!$Q86</f>
        <v>49855.92000000002</v>
      </c>
      <c r="D85" s="1">
        <f>'3、总属性战斗节奏拟合'!E85*'2、属性成长'!$Q86</f>
        <v>1857.6000000000006</v>
      </c>
      <c r="E85" s="1">
        <f>'3、总属性战斗节奏拟合'!F85*'2、属性成长'!$Q86</f>
        <v>825.60000000000036</v>
      </c>
      <c r="F85" s="1">
        <f>$C$5*各种公式!$C$13+D85+E85</f>
        <v>2703.0264000000006</v>
      </c>
      <c r="H85">
        <v>81</v>
      </c>
      <c r="I85" s="138">
        <f t="shared" si="12"/>
        <v>2136211.7499630288</v>
      </c>
      <c r="J85" s="138">
        <f t="shared" si="10"/>
        <v>95294.880000000019</v>
      </c>
      <c r="K85" s="138">
        <f t="shared" si="11"/>
        <v>42353.280000000013</v>
      </c>
      <c r="L85">
        <f>'3、总属性战斗节奏拟合'!J85</f>
        <v>50625</v>
      </c>
      <c r="M85">
        <f>'3、总属性战斗节奏拟合'!K85</f>
        <v>50625</v>
      </c>
      <c r="N85">
        <f>'3、总属性战斗节奏拟合'!L85</f>
        <v>50625</v>
      </c>
      <c r="O85" s="31">
        <f>'3、总属性战斗节奏拟合'!N85/各种公式!$J$4</f>
        <v>1.0125</v>
      </c>
      <c r="P85">
        <f>'3、总属性战斗节奏拟合'!M85</f>
        <v>50625</v>
      </c>
      <c r="Q85" s="31">
        <f>'3、总属性战斗节奏拟合'!O85/各种公式!$J$6*各种公式!$M$6</f>
        <v>0.30374999999999996</v>
      </c>
      <c r="R85" s="31">
        <f>'3、总属性战斗节奏拟合'!P85/各种公式!$J$6*各种公式!$M$6</f>
        <v>0.30374999999999996</v>
      </c>
      <c r="S85" s="31">
        <f>'3、总属性战斗节奏拟合'!Q85/各种公式!$J$8*各种公式!$M$8</f>
        <v>0.10125000000000001</v>
      </c>
      <c r="T85" s="31">
        <f>'3、总属性战斗节奏拟合'!R85/各种公式!$J$9*各种公式!$M$9</f>
        <v>0.20250000000000001</v>
      </c>
      <c r="U85" s="31">
        <f>'3、总属性战斗节奏拟合'!S85/各种公式!$J$10*各种公式!$M$10</f>
        <v>0.30374999999999996</v>
      </c>
      <c r="V85">
        <f>'3、总属性战斗节奏拟合'!D85</f>
        <v>2009630.6837489975</v>
      </c>
      <c r="W85">
        <f>'3、总属性战斗节奏拟合'!E85</f>
        <v>74877.566357859556</v>
      </c>
      <c r="X85">
        <f>'3、总属性战斗节奏拟合'!F85</f>
        <v>33278.918381270916</v>
      </c>
      <c r="Y85">
        <f>'3、总属性战斗节奏拟合'!G85</f>
        <v>41598.647976588647</v>
      </c>
      <c r="Z85">
        <f>(((L85/$L$104*各种公式!$M$3)+S85+Q85+U85)*V85)</f>
        <v>1912666.0032581082</v>
      </c>
      <c r="AA85">
        <f>(((N85/$N$104*各种公式!$M$3)*Y85*(1+R85)+Y85*R85))+W85*T85-X85*U85</f>
        <v>30868.744715817345</v>
      </c>
      <c r="AB85">
        <f>Z85-AA85*'3、总属性战斗节奏拟合'!H85</f>
        <v>421396.94603697211</v>
      </c>
      <c r="AC85" s="145">
        <f>(V85/(1-L85/(L85+116666))-V85)*各种公式!$C$13</f>
        <v>34881.646191621541</v>
      </c>
      <c r="AD85" s="145">
        <f t="shared" si="13"/>
        <v>62917.955064590329</v>
      </c>
      <c r="AE85" s="145">
        <f>Y85*N85/各种公式!$J$5*各种公式!$M$5</f>
        <v>12635.589322888802</v>
      </c>
      <c r="AF85" s="130">
        <f t="shared" si="14"/>
        <v>12635.5893228888</v>
      </c>
      <c r="AG85" s="130">
        <f t="shared" si="15"/>
        <v>203475.106729586</v>
      </c>
      <c r="AH85" s="130">
        <f t="shared" si="16"/>
        <v>15162.707187466562</v>
      </c>
      <c r="AI85" s="130">
        <f t="shared" si="17"/>
        <v>10108.47145831104</v>
      </c>
    </row>
    <row r="86" spans="2:35" x14ac:dyDescent="0.15">
      <c r="B86" s="1">
        <v>82</v>
      </c>
      <c r="C86" s="1">
        <f>'3、总属性战斗节奏拟合'!D86*'2、属性成长'!$Q87</f>
        <v>51553.920000000013</v>
      </c>
      <c r="D86" s="1">
        <f>'3、总属性战斗节奏拟合'!E86*'2、属性成长'!$Q87</f>
        <v>1900.8000000000004</v>
      </c>
      <c r="E86" s="1">
        <f>'3、总属性战斗节奏拟合'!F86*'2、属性成长'!$Q87</f>
        <v>844.80000000000018</v>
      </c>
      <c r="F86" s="1">
        <f>$C$5*各种公式!$C$13+D86+E86</f>
        <v>2765.4264000000003</v>
      </c>
      <c r="H86">
        <v>82</v>
      </c>
      <c r="I86" s="138">
        <f t="shared" si="12"/>
        <v>2199201.2744877017</v>
      </c>
      <c r="J86" s="138">
        <f t="shared" si="10"/>
        <v>97511.040000000023</v>
      </c>
      <c r="K86" s="138">
        <f t="shared" si="11"/>
        <v>43338.240000000005</v>
      </c>
      <c r="L86">
        <f>'3、总属性战斗节奏拟合'!J86</f>
        <v>51250</v>
      </c>
      <c r="M86">
        <f>'3、总属性战斗节奏拟合'!K86</f>
        <v>51250</v>
      </c>
      <c r="N86">
        <f>'3、总属性战斗节奏拟合'!L86</f>
        <v>51250</v>
      </c>
      <c r="O86" s="31">
        <f>'3、总属性战斗节奏拟合'!N86/各种公式!$J$4</f>
        <v>1.0249999999999999</v>
      </c>
      <c r="P86">
        <f>'3、总属性战斗节奏拟合'!M86</f>
        <v>51250</v>
      </c>
      <c r="Q86" s="31">
        <f>'3、总属性战斗节奏拟合'!O86/各种公式!$J$6*各种公式!$M$6</f>
        <v>0.30749999999999994</v>
      </c>
      <c r="R86" s="31">
        <f>'3、总属性战斗节奏拟合'!P86/各种公式!$J$6*各种公式!$M$6</f>
        <v>0.30749999999999994</v>
      </c>
      <c r="S86" s="31">
        <f>'3、总属性战斗节奏拟合'!Q86/各种公式!$J$8*各种公式!$M$8</f>
        <v>0.10249999999999999</v>
      </c>
      <c r="T86" s="31">
        <f>'3、总属性战斗节奏拟合'!R86/各种公式!$J$9*各种公式!$M$9</f>
        <v>0.20499999999999999</v>
      </c>
      <c r="U86" s="31">
        <f>'3、总属性战斗节奏拟合'!S86/各种公式!$J$10*各种公式!$M$10</f>
        <v>0.30749999999999994</v>
      </c>
      <c r="V86">
        <f>'3、总属性战斗节奏拟合'!D86</f>
        <v>2107898.1879411377</v>
      </c>
      <c r="W86">
        <f>'3、总属性战斗节奏拟合'!E86</f>
        <v>77718.491157190656</v>
      </c>
      <c r="X86">
        <f>'3、总属性战斗节奏拟合'!F86</f>
        <v>34541.551625418069</v>
      </c>
      <c r="Y86">
        <f>'3、总属性战斗节奏拟合'!G86</f>
        <v>43176.939531772587</v>
      </c>
      <c r="Z86">
        <f>(((L86/$L$104*各种公式!$M$3)+S86+Q86+U86)*V86)</f>
        <v>2030959.9040812857</v>
      </c>
      <c r="AA86">
        <f>(((N86/$N$104*各种公式!$M$3)*Y86*(1+R86)+Y86*R86))+W86*T86-X86*U86</f>
        <v>32475.319184125092</v>
      </c>
      <c r="AB86">
        <f>Z86-AA86*'3、总属性战斗节奏拟合'!H86</f>
        <v>445514.82151229866</v>
      </c>
      <c r="AC86" s="145">
        <f>(V86/(1-L86/(L86+116666))-V86)*各种公式!$C$13</f>
        <v>37038.994096646253</v>
      </c>
      <c r="AD86" s="145">
        <f t="shared" si="13"/>
        <v>65844.832785953186</v>
      </c>
      <c r="AE86" s="145">
        <f>Y86*N86/各种公式!$J$5*各种公式!$M$5</f>
        <v>13276.908906020069</v>
      </c>
      <c r="AF86" s="130">
        <f t="shared" si="14"/>
        <v>13276.908906020068</v>
      </c>
      <c r="AG86" s="130">
        <f t="shared" si="15"/>
        <v>216059.5642639666</v>
      </c>
      <c r="AH86" s="130">
        <f t="shared" si="16"/>
        <v>15932.290687224084</v>
      </c>
      <c r="AI86" s="130">
        <f t="shared" si="17"/>
        <v>10621.527124816053</v>
      </c>
    </row>
    <row r="87" spans="2:35" x14ac:dyDescent="0.15">
      <c r="B87" s="1">
        <v>83</v>
      </c>
      <c r="C87" s="1">
        <f>'3、总属性战斗节奏拟合'!D87*'2、属性成长'!$Q88</f>
        <v>53276.400000000016</v>
      </c>
      <c r="D87" s="1">
        <f>'3、总属性战斗节奏拟合'!E87*'2、属性成长'!$Q88</f>
        <v>1944.0000000000005</v>
      </c>
      <c r="E87" s="1">
        <f>'3、总属性战斗节奏拟合'!F87*'2、属性成长'!$Q88</f>
        <v>864.00000000000023</v>
      </c>
      <c r="F87" s="1">
        <f>$C$5*各种公式!$C$13+D87+E87</f>
        <v>2827.8264000000008</v>
      </c>
      <c r="H87">
        <v>83</v>
      </c>
      <c r="I87" s="138">
        <f t="shared" si="12"/>
        <v>2262534.1300538229</v>
      </c>
      <c r="J87" s="138">
        <f t="shared" si="10"/>
        <v>99727.200000000012</v>
      </c>
      <c r="K87" s="138">
        <f t="shared" si="11"/>
        <v>44323.200000000012</v>
      </c>
      <c r="L87">
        <f>'3、总属性战斗节奏拟合'!J87</f>
        <v>51875</v>
      </c>
      <c r="M87">
        <f>'3、总属性战斗节奏拟合'!K87</f>
        <v>51875</v>
      </c>
      <c r="N87">
        <f>'3、总属性战斗节奏拟合'!L87</f>
        <v>51875</v>
      </c>
      <c r="O87" s="31">
        <f>'3、总属性战斗节奏拟合'!N87/各种公式!$J$4</f>
        <v>1.0375000000000001</v>
      </c>
      <c r="P87">
        <f>'3、总属性战斗节奏拟合'!M87</f>
        <v>51875</v>
      </c>
      <c r="Q87" s="31">
        <f>'3、总属性战斗节奏拟合'!O87/各种公式!$J$6*各种公式!$M$6</f>
        <v>0.31125000000000003</v>
      </c>
      <c r="R87" s="31">
        <f>'3、总属性战斗节奏拟合'!P87/各种公式!$J$6*各种公式!$M$6</f>
        <v>0.31125000000000003</v>
      </c>
      <c r="S87" s="31">
        <f>'3、总属性战斗节奏拟合'!Q87/各种公式!$J$8*各种公式!$M$8</f>
        <v>0.10375000000000001</v>
      </c>
      <c r="T87" s="31">
        <f>'3、总属性战斗节奏拟合'!R87/各种公式!$J$9*各种公式!$M$9</f>
        <v>0.20750000000000002</v>
      </c>
      <c r="U87" s="31">
        <f>'3、总属性战斗节奏拟合'!S87/各种公式!$J$10*各种公式!$M$10</f>
        <v>0.31125000000000003</v>
      </c>
      <c r="V87">
        <f>'3、总属性战斗节奏拟合'!D87</f>
        <v>2209145.3116329438</v>
      </c>
      <c r="W87">
        <f>'3、总属性战斗节奏拟合'!E87</f>
        <v>80609.397140468252</v>
      </c>
      <c r="X87">
        <f>'3、总属性战斗节奏拟合'!F87</f>
        <v>35826.398729097004</v>
      </c>
      <c r="Y87">
        <f>'3、总属性战斗节奏拟合'!G87</f>
        <v>44782.998411371249</v>
      </c>
      <c r="Z87">
        <f>(((L87/$L$104*各种公式!$M$3)+S87+Q87+U87)*V87)</f>
        <v>2154468.9651700286</v>
      </c>
      <c r="AA87">
        <f>(((N87/$N$104*各种公式!$M$3)*Y87*(1+R87)+Y87*R87))+W87*T87-X87*U87</f>
        <v>34135.896517815745</v>
      </c>
      <c r="AB87">
        <f>Z87-AA87*'3、总属性战斗节奏拟合'!H87</f>
        <v>470545.18994617788</v>
      </c>
      <c r="AC87" s="145">
        <f>(V87/(1-L87/(L87+116666))-V87)*各种公式!$C$13</f>
        <v>39291.451850910802</v>
      </c>
      <c r="AD87" s="145">
        <f t="shared" si="13"/>
        <v>68853.860057483296</v>
      </c>
      <c r="AE87" s="145">
        <f>Y87*N87/各种公式!$J$5*各种公式!$M$5</f>
        <v>13938.708255539301</v>
      </c>
      <c r="AF87" s="130">
        <f t="shared" si="14"/>
        <v>13938.708255539303</v>
      </c>
      <c r="AG87" s="130">
        <f t="shared" si="15"/>
        <v>229198.82608191794</v>
      </c>
      <c r="AH87" s="130">
        <f t="shared" si="16"/>
        <v>16726.449906647165</v>
      </c>
      <c r="AI87" s="130">
        <f t="shared" si="17"/>
        <v>11150.966604431444</v>
      </c>
    </row>
    <row r="88" spans="2:35" x14ac:dyDescent="0.15">
      <c r="B88" s="1">
        <v>84</v>
      </c>
      <c r="C88" s="1">
        <f>'3、总属性战斗节奏拟合'!D88*'2、属性成长'!$Q89</f>
        <v>55023.360000000022</v>
      </c>
      <c r="D88" s="1">
        <f>'3、总属性战斗节奏拟合'!E88*'2、属性成长'!$Q89</f>
        <v>1987.2000000000005</v>
      </c>
      <c r="E88" s="1">
        <f>'3、总属性战斗节奏拟合'!F88*'2、属性成长'!$Q89</f>
        <v>883.20000000000027</v>
      </c>
      <c r="F88" s="1">
        <f>$C$5*各种公式!$C$13+D88+E88</f>
        <v>2890.2264000000005</v>
      </c>
      <c r="H88">
        <v>84</v>
      </c>
      <c r="I88" s="138">
        <f t="shared" si="12"/>
        <v>2326193.3396761417</v>
      </c>
      <c r="J88" s="138">
        <f t="shared" si="10"/>
        <v>101943.36000000002</v>
      </c>
      <c r="K88" s="138">
        <f t="shared" si="11"/>
        <v>45308.160000000011</v>
      </c>
      <c r="L88">
        <f>'3、总属性战斗节奏拟合'!J88</f>
        <v>52500</v>
      </c>
      <c r="M88">
        <f>'3、总属性战斗节奏拟合'!K88</f>
        <v>52500</v>
      </c>
      <c r="N88">
        <f>'3、总属性战斗节奏拟合'!L88</f>
        <v>52500</v>
      </c>
      <c r="O88" s="31">
        <f>'3、总属性战斗节奏拟合'!N88/各种公式!$J$4</f>
        <v>1.05</v>
      </c>
      <c r="P88">
        <f>'3、总属性战斗节奏拟合'!M88</f>
        <v>52500</v>
      </c>
      <c r="Q88" s="31">
        <f>'3、总属性战斗节奏拟合'!O88/各种公式!$J$6*各种公式!$M$6</f>
        <v>0.315</v>
      </c>
      <c r="R88" s="31">
        <f>'3、总属性战斗节奏拟合'!P88/各种公式!$J$6*各种公式!$M$6</f>
        <v>0.315</v>
      </c>
      <c r="S88" s="31">
        <f>'3、总属性战斗节奏拟合'!Q88/各种公式!$J$8*各种公式!$M$8</f>
        <v>0.10500000000000001</v>
      </c>
      <c r="T88" s="31">
        <f>'3、总属性战斗节奏拟合'!R88/各种公式!$J$9*各种公式!$M$9</f>
        <v>0.21000000000000002</v>
      </c>
      <c r="U88" s="31">
        <f>'3、总属性战斗节奏拟合'!S88/各种公式!$J$10*各种公式!$M$10</f>
        <v>0.315</v>
      </c>
      <c r="V88">
        <f>'3、总属性战斗节奏拟合'!D88</f>
        <v>2313414.5388307702</v>
      </c>
      <c r="W88">
        <f>'3、总属性战斗节奏拟合'!E88</f>
        <v>83550.284307692331</v>
      </c>
      <c r="X88">
        <f>'3、总属性战斗节奏拟合'!F88</f>
        <v>37133.459692307704</v>
      </c>
      <c r="Y88">
        <f>'3、总属性战斗节奏拟合'!G88</f>
        <v>46416.824615384627</v>
      </c>
      <c r="Z88">
        <f>(((L88/$L$104*各种公式!$M$3)+S88+Q88+U88)*V88)</f>
        <v>2283340.1498259697</v>
      </c>
      <c r="AA88">
        <f>(((N88/$N$104*各种公式!$M$3)*Y88*(1+R88)+Y88*R88))+W88*T88-X88*U88</f>
        <v>35851.426996430775</v>
      </c>
      <c r="AB88">
        <f>Z88-AA88*'3、总属性战斗节奏拟合'!H88</f>
        <v>496505.02832385967</v>
      </c>
      <c r="AC88" s="145">
        <f>(V88/(1-L88/(L88+116666))-V88)*各种公式!$C$13</f>
        <v>41641.699651523311</v>
      </c>
      <c r="AD88" s="145">
        <f t="shared" si="13"/>
        <v>71946.078153846174</v>
      </c>
      <c r="AE88" s="145">
        <f>Y88*N88/各种公式!$J$5*各种公式!$M$5</f>
        <v>14621.299753846159</v>
      </c>
      <c r="AF88" s="130">
        <f t="shared" si="14"/>
        <v>14621.299753846157</v>
      </c>
      <c r="AG88" s="130">
        <f t="shared" si="15"/>
        <v>242908.52657723089</v>
      </c>
      <c r="AH88" s="130">
        <f t="shared" si="16"/>
        <v>17545.559704615393</v>
      </c>
      <c r="AI88" s="130">
        <f t="shared" si="17"/>
        <v>11697.039803076927</v>
      </c>
    </row>
    <row r="89" spans="2:35" x14ac:dyDescent="0.15">
      <c r="B89" s="1">
        <v>85</v>
      </c>
      <c r="C89" s="1">
        <f>'3、总属性战斗节奏拟合'!D89*'2、属性成长'!$Q90</f>
        <v>56794.799999999996</v>
      </c>
      <c r="D89" s="1">
        <f>'3、总属性战斗节奏拟合'!E89*'2、属性成长'!$Q90</f>
        <v>2030.4000000000003</v>
      </c>
      <c r="E89" s="1">
        <f>'3、总属性战斗节奏拟合'!F89*'2、属性成长'!$Q90</f>
        <v>902.4</v>
      </c>
      <c r="F89" s="1">
        <f>$C$5*各种公式!$C$13+D89+E89</f>
        <v>2952.6264000000006</v>
      </c>
      <c r="H89">
        <v>85</v>
      </c>
      <c r="I89" s="138">
        <f t="shared" si="12"/>
        <v>2390162.056932814</v>
      </c>
      <c r="J89" s="138">
        <f t="shared" si="10"/>
        <v>104159.52</v>
      </c>
      <c r="K89" s="138">
        <f t="shared" si="11"/>
        <v>46293.119999999995</v>
      </c>
      <c r="L89">
        <f>'3、总属性战斗节奏拟合'!J89</f>
        <v>53125</v>
      </c>
      <c r="M89">
        <f>'3、总属性战斗节奏拟合'!K89</f>
        <v>53125</v>
      </c>
      <c r="N89">
        <f>'3、总属性战斗节奏拟合'!L89</f>
        <v>53125</v>
      </c>
      <c r="O89" s="31">
        <f>'3、总属性战斗节奏拟合'!N89/各种公式!$J$4</f>
        <v>1.0625</v>
      </c>
      <c r="P89">
        <f>'3、总属性战斗节奏拟合'!M89</f>
        <v>53125</v>
      </c>
      <c r="Q89" s="31">
        <f>'3、总属性战斗节奏拟合'!O89/各种公式!$J$6*各种公式!$M$6</f>
        <v>0.31874999999999998</v>
      </c>
      <c r="R89" s="31">
        <f>'3、总属性战斗节奏拟合'!P89/各种公式!$J$6*各种公式!$M$6</f>
        <v>0.31874999999999998</v>
      </c>
      <c r="S89" s="31">
        <f>'3、总属性战斗节奏拟合'!Q89/各种公式!$J$8*各种公式!$M$8</f>
        <v>0.10625000000000001</v>
      </c>
      <c r="T89" s="31">
        <f>'3、总属性战斗节奏拟合'!R89/各种公式!$J$9*各种公式!$M$9</f>
        <v>0.21250000000000002</v>
      </c>
      <c r="U89" s="31">
        <f>'3、总属性战斗节奏拟合'!S89/各种公式!$J$10*各种公式!$M$10</f>
        <v>0.31874999999999998</v>
      </c>
      <c r="V89">
        <f>'3、总属性战斗节奏拟合'!D89</f>
        <v>2420748.3535409695</v>
      </c>
      <c r="W89">
        <f>'3、总属性战斗节奏拟合'!E89</f>
        <v>86541.152658862877</v>
      </c>
      <c r="X89">
        <f>'3、总属性战斗节奏拟合'!F89</f>
        <v>38462.734515050164</v>
      </c>
      <c r="Y89">
        <f>'3、总属性战斗节奏拟合'!G89</f>
        <v>48078.418143812705</v>
      </c>
      <c r="Z89">
        <f>(((L89/$L$104*各种公式!$M$3)+S89+Q89+U89)*V89)</f>
        <v>2417722.418099043</v>
      </c>
      <c r="AA89">
        <f>(((N89/$N$104*各种公式!$M$3)*Y89*(1+R89)+Y89*R89))+W89*T89-X89*U89</f>
        <v>37622.86464810044</v>
      </c>
      <c r="AB89">
        <f>Z89-AA89*'3、总属性战斗节奏拟合'!H89</f>
        <v>523411.1830671858</v>
      </c>
      <c r="AC89" s="145">
        <f>(V89/(1-L89/(L89+116666))-V89)*各种公式!$C$13</f>
        <v>44092.454110662584</v>
      </c>
      <c r="AD89" s="145">
        <f t="shared" si="13"/>
        <v>75122.528349707354</v>
      </c>
      <c r="AE89" s="145">
        <f>Y89*N89/各种公式!$J$5*各种公式!$M$5</f>
        <v>15324.995783340299</v>
      </c>
      <c r="AF89" s="130">
        <f t="shared" si="14"/>
        <v>15324.995783340299</v>
      </c>
      <c r="AG89" s="130">
        <f t="shared" si="15"/>
        <v>257204.51256372803</v>
      </c>
      <c r="AH89" s="130">
        <f t="shared" si="16"/>
        <v>18389.994940008364</v>
      </c>
      <c r="AI89" s="130">
        <f t="shared" si="17"/>
        <v>12259.996626672239</v>
      </c>
    </row>
    <row r="90" spans="2:35" x14ac:dyDescent="0.15">
      <c r="B90" s="1">
        <v>86</v>
      </c>
      <c r="C90" s="1">
        <f>'3、总属性战斗节奏拟合'!D90*'2、属性成长'!$Q91</f>
        <v>58590.720000000001</v>
      </c>
      <c r="D90" s="1">
        <f>'3、总属性战斗节奏拟合'!E90*'2、属性成长'!$Q91</f>
        <v>2073.6000000000004</v>
      </c>
      <c r="E90" s="1">
        <f>'3、总属性战斗节奏拟合'!F90*'2、属性成长'!$Q91</f>
        <v>921.60000000000014</v>
      </c>
      <c r="F90" s="1">
        <f>$C$5*各种公式!$C$13+D90+E90</f>
        <v>3015.0264000000006</v>
      </c>
      <c r="H90">
        <v>86</v>
      </c>
      <c r="I90" s="138">
        <f t="shared" si="12"/>
        <v>2454423.5755243152</v>
      </c>
      <c r="J90" s="138">
        <f t="shared" si="10"/>
        <v>106375.68000000001</v>
      </c>
      <c r="K90" s="138">
        <f t="shared" si="11"/>
        <v>47278.080000000002</v>
      </c>
      <c r="L90">
        <f>'3、总属性战斗节奏拟合'!J90</f>
        <v>53750</v>
      </c>
      <c r="M90">
        <f>'3、总属性战斗节奏拟合'!K90</f>
        <v>53750</v>
      </c>
      <c r="N90">
        <f>'3、总属性战斗节奏拟合'!L90</f>
        <v>53750</v>
      </c>
      <c r="O90" s="31">
        <f>'3、总属性战斗节奏拟合'!N90/各种公式!$J$4</f>
        <v>1.075</v>
      </c>
      <c r="P90">
        <f>'3、总属性战斗节奏拟合'!M90</f>
        <v>53750</v>
      </c>
      <c r="Q90" s="31">
        <f>'3、总属性战斗节奏拟合'!O90/各种公式!$J$6*各种公式!$M$6</f>
        <v>0.32249999999999995</v>
      </c>
      <c r="R90" s="31">
        <f>'3、总属性战斗节奏拟合'!P90/各种公式!$J$6*各种公式!$M$6</f>
        <v>0.32249999999999995</v>
      </c>
      <c r="S90" s="31">
        <f>'3、总属性战斗节奏拟合'!Q90/各种公式!$J$8*各种公式!$M$8</f>
        <v>0.1075</v>
      </c>
      <c r="T90" s="31">
        <f>'3、总属性战斗节奏拟合'!R90/各种公式!$J$9*各种公式!$M$9</f>
        <v>0.215</v>
      </c>
      <c r="U90" s="31">
        <f>'3、总属性战斗节奏拟合'!S90/各种公式!$J$10*各种公式!$M$10</f>
        <v>0.32249999999999995</v>
      </c>
      <c r="V90">
        <f>'3、总属性战斗节奏拟合'!D90</f>
        <v>2531189.2397698998</v>
      </c>
      <c r="W90">
        <f>'3、总属性战斗节奏拟合'!E90</f>
        <v>89582.002193979948</v>
      </c>
      <c r="X90">
        <f>'3、总属性战斗节奏拟合'!F90</f>
        <v>39814.22319732442</v>
      </c>
      <c r="Y90">
        <f>'3、总属性战斗节奏拟合'!G90</f>
        <v>49767.778996655521</v>
      </c>
      <c r="Z90">
        <f>(((L90/$L$104*各种公式!$M$3)+S90+Q90+U90)*V90)</f>
        <v>2557766.7267874838</v>
      </c>
      <c r="AA90">
        <f>(((N90/$N$104*各种公式!$M$3)*Y90*(1+R90)+Y90*R90))+W90*T90-X90*U90</f>
        <v>39451.167249543825</v>
      </c>
      <c r="AB90">
        <f>Z90-AA90*'3、总属性战斗节奏拟合'!H90</f>
        <v>551280.36047568475</v>
      </c>
      <c r="AC90" s="145">
        <f>(V90/(1-L90/(L90+116666))-V90)*各种公式!$C$13</f>
        <v>46646.468255578169</v>
      </c>
      <c r="AD90" s="145">
        <f t="shared" si="13"/>
        <v>78384.251919732444</v>
      </c>
      <c r="AE90" s="145">
        <f>Y90*N90/各种公式!$J$5*各种公式!$M$5</f>
        <v>16050.108726421406</v>
      </c>
      <c r="AF90" s="130">
        <f t="shared" si="14"/>
        <v>16050.108726421404</v>
      </c>
      <c r="AG90" s="130">
        <f t="shared" si="15"/>
        <v>272102.8432752642</v>
      </c>
      <c r="AH90" s="130">
        <f t="shared" si="16"/>
        <v>19260.130471705688</v>
      </c>
      <c r="AI90" s="130">
        <f t="shared" si="17"/>
        <v>12840.086981137123</v>
      </c>
    </row>
    <row r="91" spans="2:35" x14ac:dyDescent="0.15">
      <c r="B91" s="1">
        <v>87</v>
      </c>
      <c r="C91" s="1">
        <f>'3、总属性战斗节奏拟合'!D91*'2、属性成长'!$Q92</f>
        <v>60411.119999999981</v>
      </c>
      <c r="D91" s="1">
        <f>'3、总属性战斗节奏拟合'!E91*'2、属性成长'!$Q92</f>
        <v>2116.7999999999997</v>
      </c>
      <c r="E91" s="1">
        <f>'3、总属性战斗节奏拟合'!F91*'2、属性成长'!$Q92</f>
        <v>940.79999999999984</v>
      </c>
      <c r="F91" s="1">
        <f>$C$5*各种公式!$C$13+D91+E91</f>
        <v>3077.4263999999994</v>
      </c>
      <c r="H91">
        <v>87</v>
      </c>
      <c r="I91" s="138">
        <f t="shared" si="12"/>
        <v>2518961.3388323309</v>
      </c>
      <c r="J91" s="138">
        <f t="shared" si="10"/>
        <v>108591.83999999998</v>
      </c>
      <c r="K91" s="138">
        <f t="shared" si="11"/>
        <v>48263.039999999986</v>
      </c>
      <c r="L91">
        <f>'3、总属性战斗节奏拟合'!J91</f>
        <v>54375</v>
      </c>
      <c r="M91">
        <f>'3、总属性战斗节奏拟合'!K91</f>
        <v>54375</v>
      </c>
      <c r="N91">
        <f>'3、总属性战斗节奏拟合'!L91</f>
        <v>54375</v>
      </c>
      <c r="O91" s="31">
        <f>'3、总属性战斗节奏拟合'!N91/各种公式!$J$4</f>
        <v>1.0874999999999999</v>
      </c>
      <c r="P91">
        <f>'3、总属性战斗节奏拟合'!M91</f>
        <v>54375</v>
      </c>
      <c r="Q91" s="31">
        <f>'3、总属性战斗节奏拟合'!O91/各种公式!$J$6*各种公式!$M$6</f>
        <v>0.32624999999999998</v>
      </c>
      <c r="R91" s="31">
        <f>'3、总属性战斗节奏拟合'!P91/各种公式!$J$6*各种公式!$M$6</f>
        <v>0.32624999999999998</v>
      </c>
      <c r="S91" s="31">
        <f>'3、总属性战斗节奏拟合'!Q91/各种公式!$J$8*各种公式!$M$8</f>
        <v>0.10875</v>
      </c>
      <c r="T91" s="31">
        <f>'3、总属性战斗节奏拟合'!R91/各种公式!$J$9*各种公式!$M$9</f>
        <v>0.2175</v>
      </c>
      <c r="U91" s="31">
        <f>'3、总属性战斗节奏拟合'!S91/各种公式!$J$10*各种公式!$M$10</f>
        <v>0.32624999999999998</v>
      </c>
      <c r="V91">
        <f>'3、总属性战斗节奏拟合'!D91</f>
        <v>2644779.6815239121</v>
      </c>
      <c r="W91">
        <f>'3、总属性战斗节奏拟合'!E91</f>
        <v>92672.832913043458</v>
      </c>
      <c r="X91">
        <f>'3、总属性战斗节奏拟合'!F91</f>
        <v>41187.925739130427</v>
      </c>
      <c r="Y91">
        <f>'3、总属性战斗节奏拟合'!G91</f>
        <v>51484.90717391303</v>
      </c>
      <c r="Z91">
        <f>(((L91/$L$104*各种公式!$M$3)+S91+Q91+U91)*V91)</f>
        <v>2703626.029437819</v>
      </c>
      <c r="AA91">
        <f>(((N91/$N$104*各种公式!$M$3)*Y91*(1+R91)+Y91*R91))+W91*T91-X91*U91</f>
        <v>41337.296326068739</v>
      </c>
      <c r="AB91">
        <f>Z91-AA91*'3、总属性战斗节奏拟合'!H91</f>
        <v>580129.11716766795</v>
      </c>
      <c r="AC91" s="145">
        <f>(V91/(1-L91/(L91+116666))-V91)*各种公式!$C$13</f>
        <v>49306.531528590232</v>
      </c>
      <c r="AD91" s="145">
        <f t="shared" si="13"/>
        <v>81732.290138586934</v>
      </c>
      <c r="AE91" s="145">
        <f>Y91*N91/各种公式!$J$5*各种公式!$M$5</f>
        <v>16796.950965489126</v>
      </c>
      <c r="AF91" s="130">
        <f t="shared" si="14"/>
        <v>16796.950965489126</v>
      </c>
      <c r="AG91" s="130">
        <f t="shared" si="15"/>
        <v>287619.79036572546</v>
      </c>
      <c r="AH91" s="130">
        <f t="shared" si="16"/>
        <v>20156.341158586951</v>
      </c>
      <c r="AI91" s="130">
        <f t="shared" si="17"/>
        <v>13437.560772391302</v>
      </c>
    </row>
    <row r="92" spans="2:35" x14ac:dyDescent="0.15">
      <c r="B92" s="1">
        <v>88</v>
      </c>
      <c r="C92" s="1">
        <f>'3、总属性战斗节奏拟合'!D92*'2、属性成长'!$Q93</f>
        <v>62255.999999999993</v>
      </c>
      <c r="D92" s="1">
        <f>'3、总属性战斗节奏拟合'!E92*'2、属性成长'!$Q93</f>
        <v>2159.9999999999995</v>
      </c>
      <c r="E92" s="1">
        <f>'3、总属性战斗节奏拟合'!F92*'2、属性成长'!$Q93</f>
        <v>959.99999999999977</v>
      </c>
      <c r="F92" s="1">
        <f>$C$5*各种公式!$C$13+D92+E92</f>
        <v>3139.826399999999</v>
      </c>
      <c r="H92">
        <v>88</v>
      </c>
      <c r="I92" s="138">
        <f t="shared" si="12"/>
        <v>2583758.9494786672</v>
      </c>
      <c r="J92" s="138">
        <f t="shared" si="10"/>
        <v>110807.99999999997</v>
      </c>
      <c r="K92" s="138">
        <f t="shared" si="11"/>
        <v>49247.999999999985</v>
      </c>
      <c r="L92">
        <f>'3、总属性战斗节奏拟合'!J92</f>
        <v>55000</v>
      </c>
      <c r="M92">
        <f>'3、总属性战斗节奏拟合'!K92</f>
        <v>55000</v>
      </c>
      <c r="N92">
        <f>'3、总属性战斗节奏拟合'!L92</f>
        <v>55000</v>
      </c>
      <c r="O92" s="31">
        <f>'3、总属性战斗节奏拟合'!N92/各种公式!$J$4</f>
        <v>1.1000000000000001</v>
      </c>
      <c r="P92">
        <f>'3、总属性战斗节奏拟合'!M92</f>
        <v>55000</v>
      </c>
      <c r="Q92" s="31">
        <f>'3、总属性战斗节奏拟合'!O92/各种公式!$J$6*各种公式!$M$6</f>
        <v>0.33</v>
      </c>
      <c r="R92" s="31">
        <f>'3、总属性战斗节奏拟合'!P92/各种公式!$J$6*各种公式!$M$6</f>
        <v>0.33</v>
      </c>
      <c r="S92" s="31">
        <f>'3、总属性战斗节奏拟合'!Q92/各种公式!$J$8*各种公式!$M$8</f>
        <v>0.11000000000000001</v>
      </c>
      <c r="T92" s="31">
        <f>'3、总属性战斗节奏拟合'!R92/各种公式!$J$9*各种公式!$M$9</f>
        <v>0.22000000000000003</v>
      </c>
      <c r="U92" s="31">
        <f>'3、总属性战斗节奏拟合'!S92/各种公式!$J$10*各种公式!$M$10</f>
        <v>0.33</v>
      </c>
      <c r="V92">
        <f>'3、总属性战斗节奏拟合'!D92</f>
        <v>2761562.162809364</v>
      </c>
      <c r="W92">
        <f>'3、总属性战斗节奏拟合'!E92</f>
        <v>95813.644816053478</v>
      </c>
      <c r="X92">
        <f>'3、总属性战斗节奏拟合'!F92</f>
        <v>42583.842140468216</v>
      </c>
      <c r="Y92">
        <f>'3、总属性战斗节奏拟合'!G92</f>
        <v>53229.80267558527</v>
      </c>
      <c r="Z92">
        <f>(((L92/$L$104*各种公式!$M$3)+S92+Q92+U92)*V92)</f>
        <v>2855455.2763448823</v>
      </c>
      <c r="AA92">
        <f>(((N92/$N$104*各种公式!$M$3)*Y92*(1+R92)+Y92*R92))+W92*T92-X92*U92</f>
        <v>43282.217151571895</v>
      </c>
      <c r="AB92">
        <f>Z92-AA92*'3、总属性战斗节奏拟合'!H92</f>
        <v>609973.85052133212</v>
      </c>
      <c r="AC92" s="145">
        <f>(V92/(1-L92/(L92+116666))-V92)*各种公式!$C$13</f>
        <v>52075.469787089642</v>
      </c>
      <c r="AD92" s="145">
        <f t="shared" si="13"/>
        <v>85167.684280936432</v>
      </c>
      <c r="AE92" s="145">
        <f>Y92*N92/各种公式!$J$5*各种公式!$M$5</f>
        <v>17565.834882943138</v>
      </c>
      <c r="AF92" s="130">
        <f t="shared" si="14"/>
        <v>17565.834882943142</v>
      </c>
      <c r="AG92" s="130">
        <f t="shared" si="15"/>
        <v>303771.83790903009</v>
      </c>
      <c r="AH92" s="130">
        <f t="shared" si="16"/>
        <v>21079.001859531767</v>
      </c>
      <c r="AI92" s="130">
        <f t="shared" si="17"/>
        <v>14052.667906354513</v>
      </c>
    </row>
    <row r="93" spans="2:35" x14ac:dyDescent="0.15">
      <c r="B93" s="1">
        <v>89</v>
      </c>
      <c r="C93" s="1">
        <f>'3、总属性战斗节奏拟合'!D93*'2、属性成长'!$Q94</f>
        <v>64125.359999999986</v>
      </c>
      <c r="D93" s="1">
        <f>'3、总属性战斗节奏拟合'!E93*'2、属性成长'!$Q94</f>
        <v>2203.1999999999998</v>
      </c>
      <c r="E93" s="1">
        <f>'3、总属性战斗节奏拟合'!F93*'2、属性成长'!$Q94</f>
        <v>979.19999999999982</v>
      </c>
      <c r="F93" s="1">
        <f>$C$5*各种公式!$C$13+D93+E93</f>
        <v>3202.2263999999996</v>
      </c>
      <c r="H93">
        <v>89</v>
      </c>
      <c r="I93" s="138">
        <f t="shared" si="12"/>
        <v>2648800.1788841435</v>
      </c>
      <c r="J93" s="138">
        <f t="shared" si="10"/>
        <v>113024.15999999999</v>
      </c>
      <c r="K93" s="138">
        <f t="shared" si="11"/>
        <v>50232.959999999985</v>
      </c>
      <c r="L93">
        <f>'3、总属性战斗节奏拟合'!J93</f>
        <v>55625</v>
      </c>
      <c r="M93">
        <f>'3、总属性战斗节奏拟合'!K93</f>
        <v>55625</v>
      </c>
      <c r="N93">
        <f>'3、总属性战斗节奏拟合'!L93</f>
        <v>55625</v>
      </c>
      <c r="O93" s="31">
        <f>'3、总属性战斗节奏拟合'!N93/各种公式!$J$4</f>
        <v>1.1125</v>
      </c>
      <c r="P93">
        <f>'3、总属性战斗节奏拟合'!M93</f>
        <v>55625</v>
      </c>
      <c r="Q93" s="31">
        <f>'3、总属性战斗节奏拟合'!O93/各种公式!$J$6*各种公式!$M$6</f>
        <v>0.33374999999999999</v>
      </c>
      <c r="R93" s="31">
        <f>'3、总属性战斗节奏拟合'!P93/各种公式!$J$6*各种公式!$M$6</f>
        <v>0.33374999999999999</v>
      </c>
      <c r="S93" s="31">
        <f>'3、总属性战斗节奏拟合'!Q93/各种公式!$J$8*各种公式!$M$8</f>
        <v>0.11125000000000002</v>
      </c>
      <c r="T93" s="31">
        <f>'3、总属性战斗节奏拟合'!R93/各种公式!$J$9*各种公式!$M$9</f>
        <v>0.22250000000000003</v>
      </c>
      <c r="U93" s="31">
        <f>'3、总属性战斗节奏拟合'!S93/各种公式!$J$10*各种公式!$M$10</f>
        <v>0.33374999999999999</v>
      </c>
      <c r="V93">
        <f>'3、总属性战斗节奏拟合'!D93</f>
        <v>2881579.1676326082</v>
      </c>
      <c r="W93">
        <f>'3、总属性战斗节奏拟合'!E93</f>
        <v>99004.437903010024</v>
      </c>
      <c r="X93">
        <f>'3、总属性战斗节奏拟合'!F93</f>
        <v>44001.972401337785</v>
      </c>
      <c r="Y93">
        <f>'3、总属性战斗节奏拟合'!G93</f>
        <v>55002.465501672232</v>
      </c>
      <c r="Z93">
        <f>(((L93/$L$104*各种公式!$M$3)+S93+Q93+U93)*V93)</f>
        <v>3013411.4145518001</v>
      </c>
      <c r="AA93">
        <f>(((N93/$N$104*各种公式!$M$3)*Y93*(1+R93)+Y93*R93))+W93*T93-X93*U93</f>
        <v>45286.898748538741</v>
      </c>
      <c r="AB93">
        <f>Z93-AA93*'3、总属性战斗节奏拟合'!H93</f>
        <v>640830.78911585547</v>
      </c>
      <c r="AC93" s="145">
        <f>(V93/(1-L93/(L93+116666))-V93)*各种公式!$C$13</f>
        <v>54956.145303537938</v>
      </c>
      <c r="AD93" s="145">
        <f t="shared" si="13"/>
        <v>88691.475621446472</v>
      </c>
      <c r="AE93" s="145">
        <f>Y93*N93/各种公式!$J$5*各种公式!$M$5</f>
        <v>18357.072861183107</v>
      </c>
      <c r="AF93" s="130">
        <f t="shared" si="14"/>
        <v>18357.072861183107</v>
      </c>
      <c r="AG93" s="130">
        <f t="shared" si="15"/>
        <v>320575.68239912769</v>
      </c>
      <c r="AH93" s="130">
        <f t="shared" si="16"/>
        <v>22028.487433419734</v>
      </c>
      <c r="AI93" s="130">
        <f t="shared" si="17"/>
        <v>14685.658288946486</v>
      </c>
    </row>
    <row r="94" spans="2:35" x14ac:dyDescent="0.15">
      <c r="B94" s="1">
        <v>90</v>
      </c>
      <c r="C94" s="1">
        <f>'3、总属性战斗节奏拟合'!D94*'2、属性成长'!$Q95</f>
        <v>66019.199999999983</v>
      </c>
      <c r="D94" s="1">
        <f>'3、总属性战斗节奏拟合'!E94*'2、属性成长'!$Q95</f>
        <v>2246.3999999999992</v>
      </c>
      <c r="E94" s="1">
        <f>'3、总属性战斗节奏拟合'!F94*'2、属性成长'!$Q95</f>
        <v>998.39999999999964</v>
      </c>
      <c r="F94" s="1">
        <f>$C$5*各种公式!$C$13+D94+E94</f>
        <v>3264.6263999999987</v>
      </c>
      <c r="H94">
        <v>90</v>
      </c>
      <c r="I94" s="138">
        <f t="shared" si="12"/>
        <v>2714068.9768274995</v>
      </c>
      <c r="J94" s="138">
        <f t="shared" si="10"/>
        <v>115240.31999999995</v>
      </c>
      <c r="K94" s="138">
        <f t="shared" si="11"/>
        <v>51217.919999999976</v>
      </c>
      <c r="L94">
        <f>'3、总属性战斗节奏拟合'!J94</f>
        <v>56250</v>
      </c>
      <c r="M94">
        <f>'3、总属性战斗节奏拟合'!K94</f>
        <v>56250</v>
      </c>
      <c r="N94">
        <f>'3、总属性战斗节奏拟合'!L94</f>
        <v>56250</v>
      </c>
      <c r="O94" s="31">
        <f>'3、总属性战斗节奏拟合'!N94/各种公式!$J$4</f>
        <v>1.125</v>
      </c>
      <c r="P94">
        <f>'3、总属性战斗节奏拟合'!M94</f>
        <v>56250</v>
      </c>
      <c r="Q94" s="31">
        <f>'3、总属性战斗节奏拟合'!O94/各种公式!$J$6*各种公式!$M$6</f>
        <v>0.33749999999999997</v>
      </c>
      <c r="R94" s="31">
        <f>'3、总属性战斗节奏拟合'!P94/各种公式!$J$6*各种公式!$M$6</f>
        <v>0.33749999999999997</v>
      </c>
      <c r="S94" s="31">
        <f>'3、总属性战斗节奏拟合'!Q94/各种公式!$J$8*各种公式!$M$8</f>
        <v>0.1125</v>
      </c>
      <c r="T94" s="31">
        <f>'3、总属性战斗节奏拟合'!R94/各种公式!$J$9*各种公式!$M$9</f>
        <v>0.22500000000000001</v>
      </c>
      <c r="U94" s="31">
        <f>'3、总属性战斗节奏拟合'!S94/各种公式!$J$10*各种公式!$M$10</f>
        <v>0.33749999999999997</v>
      </c>
      <c r="V94">
        <f>'3、总属性战斗节奏拟合'!D94</f>
        <v>3004873.1799999988</v>
      </c>
      <c r="W94">
        <f>'3、总属性战斗节奏拟合'!E94</f>
        <v>102245.21217391299</v>
      </c>
      <c r="X94">
        <f>'3、总属性战斗节奏拟合'!F94</f>
        <v>45442.316521739114</v>
      </c>
      <c r="Y94">
        <f>'3、总属性战斗节奏拟合'!G94</f>
        <v>56802.895652173887</v>
      </c>
      <c r="Z94">
        <f>(((L94/$L$104*各种公式!$M$3)+S94+Q94+U94)*V94)</f>
        <v>3177653.3878499982</v>
      </c>
      <c r="AA94">
        <f>(((N94/$N$104*各种公式!$M$3)*Y94*(1+R94)+Y94*R94))+W94*T94-X94*U94</f>
        <v>47352.313888043456</v>
      </c>
      <c r="AB94">
        <f>Z94-AA94*'3、总属性战斗节奏拟合'!H94</f>
        <v>672715.98317249957</v>
      </c>
      <c r="AC94" s="145">
        <f>(V94/(1-L94/(L94+116666))-V94)*各种公式!$C$13</f>
        <v>57951.456765467192</v>
      </c>
      <c r="AD94" s="145">
        <f t="shared" si="13"/>
        <v>92304.705434782561</v>
      </c>
      <c r="AE94" s="145">
        <f>Y94*N94/各种公式!$J$5*各种公式!$M$5</f>
        <v>19170.977282608688</v>
      </c>
      <c r="AF94" s="130">
        <f t="shared" si="14"/>
        <v>19170.977282608685</v>
      </c>
      <c r="AG94" s="130">
        <f t="shared" si="15"/>
        <v>338048.23274999985</v>
      </c>
      <c r="AH94" s="130">
        <f t="shared" si="16"/>
        <v>23005.172739130423</v>
      </c>
      <c r="AI94" s="130">
        <f t="shared" si="17"/>
        <v>15336.78182608695</v>
      </c>
    </row>
    <row r="95" spans="2:35" x14ac:dyDescent="0.15">
      <c r="B95" s="1">
        <v>91</v>
      </c>
      <c r="C95" s="1">
        <f>'3、总属性战斗节奏拟合'!D95*'2、属性成长'!$Q96</f>
        <v>67937.519999999975</v>
      </c>
      <c r="D95" s="1">
        <f>'3、总属性战斗节奏拟合'!E95*'2、属性成长'!$Q96</f>
        <v>2289.599999999999</v>
      </c>
      <c r="E95" s="1">
        <f>'3、总属性战斗节奏拟合'!F95*'2、属性成长'!$Q96</f>
        <v>1017.5999999999996</v>
      </c>
      <c r="F95" s="1">
        <f>$C$5*各种公式!$C$13+D95+E95</f>
        <v>3327.0263999999984</v>
      </c>
      <c r="H95">
        <v>91</v>
      </c>
      <c r="I95" s="138">
        <f t="shared" si="12"/>
        <v>2779549.4810042954</v>
      </c>
      <c r="J95" s="138">
        <f t="shared" si="10"/>
        <v>117456.47999999994</v>
      </c>
      <c r="K95" s="138">
        <f t="shared" si="11"/>
        <v>52202.879999999976</v>
      </c>
      <c r="L95">
        <f>'3、总属性战斗节奏拟合'!J95</f>
        <v>56875</v>
      </c>
      <c r="M95">
        <f>'3、总属性战斗节奏拟合'!K95</f>
        <v>56875</v>
      </c>
      <c r="N95">
        <f>'3、总属性战斗节奏拟合'!L95</f>
        <v>56875</v>
      </c>
      <c r="O95" s="31">
        <f>'3、总属性战斗节奏拟合'!N95/各种公式!$J$4</f>
        <v>1.1375</v>
      </c>
      <c r="P95">
        <f>'3、总属性战斗节奏拟合'!M95</f>
        <v>56875</v>
      </c>
      <c r="Q95" s="31">
        <f>'3、总属性战斗节奏拟合'!O95/各种公式!$J$6*各种公式!$M$6</f>
        <v>0.34125</v>
      </c>
      <c r="R95" s="31">
        <f>'3、总属性战斗节奏拟合'!P95/各种公式!$J$6*各种公式!$M$6</f>
        <v>0.34125</v>
      </c>
      <c r="S95" s="31">
        <f>'3、总属性战斗节奏拟合'!Q95/各种公式!$J$8*各种公式!$M$8</f>
        <v>0.11375</v>
      </c>
      <c r="T95" s="31">
        <f>'3、总属性战斗节奏拟合'!R95/各种公式!$J$9*各种公式!$M$9</f>
        <v>0.22750000000000001</v>
      </c>
      <c r="U95" s="31">
        <f>'3、总属性战斗节奏拟合'!S95/各种公式!$J$10*各种公式!$M$10</f>
        <v>0.34125</v>
      </c>
      <c r="V95">
        <f>'3、总属性战斗节奏拟合'!D95</f>
        <v>3131486.6839178922</v>
      </c>
      <c r="W95">
        <f>'3、总属性战斗节奏拟合'!E95</f>
        <v>105535.9676287625</v>
      </c>
      <c r="X95">
        <f>'3、总属性战斗节奏拟合'!F95</f>
        <v>46904.874501672224</v>
      </c>
      <c r="Y95">
        <f>'3、总属性战斗节奏拟合'!G95</f>
        <v>58631.09312709028</v>
      </c>
      <c r="Z95">
        <f>(((L95/$L$104*各种公式!$M$3)+S95+Q95+U95)*V95)</f>
        <v>3348342.1367792063</v>
      </c>
      <c r="AA95">
        <f>(((N95/$N$104*各种公式!$M$3)*Y95*(1+R95)+Y95*R95))+W95*T95-X95*U95</f>
        <v>49479.439089749168</v>
      </c>
      <c r="AB95">
        <f>Z95-AA95*'3、总属性战斗节奏拟合'!H95</f>
        <v>705645.29499570327</v>
      </c>
      <c r="AC95" s="145">
        <f>(V95/(1-L95/(L95+116666))-V95)*各种公式!$C$13</f>
        <v>61064.339275480437</v>
      </c>
      <c r="AD95" s="145">
        <f t="shared" si="13"/>
        <v>96008.414995610336</v>
      </c>
      <c r="AE95" s="145">
        <f>Y95*N95/各种公式!$J$5*各种公式!$M$5</f>
        <v>20007.860529619556</v>
      </c>
      <c r="AF95" s="130">
        <f t="shared" si="14"/>
        <v>20007.860529619556</v>
      </c>
      <c r="AG95" s="130">
        <f t="shared" si="15"/>
        <v>356206.61029566027</v>
      </c>
      <c r="AH95" s="130">
        <f t="shared" si="16"/>
        <v>24009.432635543471</v>
      </c>
      <c r="AI95" s="130">
        <f t="shared" si="17"/>
        <v>16006.288423695647</v>
      </c>
    </row>
    <row r="96" spans="2:35" x14ac:dyDescent="0.15">
      <c r="B96" s="1">
        <v>92</v>
      </c>
      <c r="C96" s="1">
        <f>'3、总属性战斗节奏拟合'!D96*'2、属性成长'!$Q97</f>
        <v>69880.319999999978</v>
      </c>
      <c r="D96" s="1">
        <f>'3、总属性战斗节奏拟合'!E96*'2、属性成长'!$Q97</f>
        <v>2332.7999999999988</v>
      </c>
      <c r="E96" s="1">
        <f>'3、总属性战斗节奏拟合'!F96*'2、属性成长'!$Q97</f>
        <v>1036.7999999999997</v>
      </c>
      <c r="F96" s="1">
        <f>$C$5*各种公式!$C$13+D96+E96</f>
        <v>3389.4263999999985</v>
      </c>
      <c r="H96">
        <v>92</v>
      </c>
      <c r="I96" s="138">
        <f t="shared" si="12"/>
        <v>2845226.0265858159</v>
      </c>
      <c r="J96" s="138">
        <f t="shared" si="10"/>
        <v>119672.63999999993</v>
      </c>
      <c r="K96" s="138">
        <f t="shared" si="11"/>
        <v>53187.839999999982</v>
      </c>
      <c r="L96">
        <f>'3、总属性战斗节奏拟合'!J96</f>
        <v>57500</v>
      </c>
      <c r="M96">
        <f>'3、总属性战斗节奏拟合'!K96</f>
        <v>57500</v>
      </c>
      <c r="N96">
        <f>'3、总属性战斗节奏拟合'!L96</f>
        <v>57500</v>
      </c>
      <c r="O96" s="31">
        <f>'3、总属性战斗节奏拟合'!N96/各种公式!$J$4</f>
        <v>1.1499999999999999</v>
      </c>
      <c r="P96">
        <f>'3、总属性战斗节奏拟合'!M96</f>
        <v>57500</v>
      </c>
      <c r="Q96" s="31">
        <f>'3、总属性战斗节奏拟合'!O96/各种公式!$J$6*各种公式!$M$6</f>
        <v>0.34499999999999997</v>
      </c>
      <c r="R96" s="31">
        <f>'3、总属性战斗节奏拟合'!P96/各种公式!$J$6*各种公式!$M$6</f>
        <v>0.34499999999999997</v>
      </c>
      <c r="S96" s="31">
        <f>'3、总属性战斗节奏拟合'!Q96/各种公式!$J$8*各种公式!$M$8</f>
        <v>0.11499999999999999</v>
      </c>
      <c r="T96" s="31">
        <f>'3、总属性战斗节奏拟合'!R96/各种公式!$J$9*各种公式!$M$9</f>
        <v>0.22999999999999998</v>
      </c>
      <c r="U96" s="31">
        <f>'3、总属性战斗节奏拟合'!S96/各种公式!$J$10*各种公式!$M$10</f>
        <v>0.34499999999999997</v>
      </c>
      <c r="V96">
        <f>'3、总属性战斗节奏拟合'!D96</f>
        <v>3261462.1633926416</v>
      </c>
      <c r="W96">
        <f>'3、总属性战斗节奏拟合'!E96</f>
        <v>108876.7042675585</v>
      </c>
      <c r="X96">
        <f>'3、总属性战斗节奏拟合'!F96</f>
        <v>48389.646341137115</v>
      </c>
      <c r="Y96">
        <f>'3、总属性战斗节奏拟合'!G96</f>
        <v>60487.057926421388</v>
      </c>
      <c r="Z96">
        <f>(((L96/$L$104*各种公式!$M$3)+S96+Q96+U96)*V96)</f>
        <v>3525640.5986274453</v>
      </c>
      <c r="AA96">
        <f>(((N96/$N$104*各种公式!$M$3)*Y96*(1+R96)+Y96*R96))+W96*T96-X96*U96</f>
        <v>51669.254621907683</v>
      </c>
      <c r="AB96">
        <f>Z96-AA96*'3、总属性战斗节奏拟合'!H96</f>
        <v>739634.38941418286</v>
      </c>
      <c r="AC96" s="145">
        <f>(V96/(1-L96/(L96+116666))-V96)*各种公式!$C$13</f>
        <v>64297.7643512512</v>
      </c>
      <c r="AD96" s="145">
        <f t="shared" si="13"/>
        <v>99803.645578595286</v>
      </c>
      <c r="AE96" s="145">
        <f>Y96*N96/各种公式!$J$5*各种公式!$M$5</f>
        <v>20868.03498461538</v>
      </c>
      <c r="AF96" s="130">
        <f t="shared" si="14"/>
        <v>20868.034984615377</v>
      </c>
      <c r="AG96" s="130">
        <f t="shared" si="15"/>
        <v>375068.14879015373</v>
      </c>
      <c r="AH96" s="130">
        <f t="shared" si="16"/>
        <v>25041.641981538451</v>
      </c>
      <c r="AI96" s="130">
        <f t="shared" si="17"/>
        <v>16694.427987692303</v>
      </c>
    </row>
    <row r="97" spans="2:35" x14ac:dyDescent="0.15">
      <c r="B97" s="1">
        <v>93</v>
      </c>
      <c r="C97" s="1">
        <f>'3、总属性战斗节奏拟合'!D97*'2、属性成长'!$Q98</f>
        <v>71847.599999999962</v>
      </c>
      <c r="D97" s="1">
        <f>'3、总属性战斗节奏拟合'!E97*'2、属性成长'!$Q98</f>
        <v>2375.9999999999991</v>
      </c>
      <c r="E97" s="1">
        <f>'3、总属性战斗节奏拟合'!F97*'2、属性成长'!$Q98</f>
        <v>1055.9999999999995</v>
      </c>
      <c r="F97" s="1">
        <f>$C$5*各种公式!$C$13+D97+E97</f>
        <v>3451.8263999999986</v>
      </c>
      <c r="H97">
        <v>93</v>
      </c>
      <c r="I97" s="138">
        <f t="shared" si="12"/>
        <v>2911083.1557779629</v>
      </c>
      <c r="J97" s="138">
        <f t="shared" si="10"/>
        <v>121888.79999999994</v>
      </c>
      <c r="K97" s="138">
        <f t="shared" si="11"/>
        <v>54172.799999999974</v>
      </c>
      <c r="L97">
        <f>'3、总属性战斗节奏拟合'!J97</f>
        <v>58125</v>
      </c>
      <c r="M97">
        <f>'3、总属性战斗节奏拟合'!K97</f>
        <v>58125</v>
      </c>
      <c r="N97">
        <f>'3、总属性战斗节奏拟合'!L97</f>
        <v>58125</v>
      </c>
      <c r="O97" s="31">
        <f>'3、总属性战斗节奏拟合'!N97/各种公式!$J$4</f>
        <v>1.1625000000000001</v>
      </c>
      <c r="P97">
        <f>'3、总属性战斗节奏拟合'!M97</f>
        <v>58125</v>
      </c>
      <c r="Q97" s="31">
        <f>'3、总属性战斗节奏拟合'!O97/各种公式!$J$6*各种公式!$M$6</f>
        <v>0.34875</v>
      </c>
      <c r="R97" s="31">
        <f>'3、总属性战斗节奏拟合'!P97/各种公式!$J$6*各种公式!$M$6</f>
        <v>0.34875</v>
      </c>
      <c r="S97" s="31">
        <f>'3、总属性战斗节奏拟合'!Q97/各种公式!$J$8*各种公式!$M$8</f>
        <v>0.11625000000000002</v>
      </c>
      <c r="T97" s="31">
        <f>'3、总属性战斗节奏拟合'!R97/各种公式!$J$9*各种公式!$M$9</f>
        <v>0.23250000000000004</v>
      </c>
      <c r="U97" s="31">
        <f>'3、总属性战斗节奏拟合'!S97/各种公式!$J$10*各种公式!$M$10</f>
        <v>0.34875</v>
      </c>
      <c r="V97">
        <f>'3、总属性战斗节奏拟合'!D97</f>
        <v>3394842.1024305997</v>
      </c>
      <c r="W97">
        <f>'3、总属性战斗节奏拟合'!E97</f>
        <v>112267.42209030094</v>
      </c>
      <c r="X97">
        <f>'3、总属性战斗节奏拟合'!F97</f>
        <v>49896.632040133751</v>
      </c>
      <c r="Y97">
        <f>'3、总属性战斗节奏拟合'!G97</f>
        <v>62370.790050167183</v>
      </c>
      <c r="Z97">
        <f>(((L97/$L$104*各种公式!$M$3)+S97+Q97+U97)*V97)</f>
        <v>3709713.7074310384</v>
      </c>
      <c r="AA97">
        <f>(((N97/$N$104*各种公式!$M$3)*Y97*(1+R97)+Y97*R97))+W97*T97-X97*U97</f>
        <v>53922.744501359601</v>
      </c>
      <c r="AB97">
        <f>Z97-AA97*'3、总属性战斗节奏拟合'!H97</f>
        <v>774698.72422203515</v>
      </c>
      <c r="AC97" s="145">
        <f>(V97/(1-L97/(L97+116666))-V97)*各种公式!$C$13</f>
        <v>67654.739925523667</v>
      </c>
      <c r="AD97" s="145">
        <f t="shared" si="13"/>
        <v>103691.43845840295</v>
      </c>
      <c r="AE97" s="145">
        <f>Y97*N97/各种公式!$J$5*各种公式!$M$5</f>
        <v>21751.813029995807</v>
      </c>
      <c r="AF97" s="130">
        <f t="shared" si="14"/>
        <v>21751.813029995807</v>
      </c>
      <c r="AG97" s="130">
        <f t="shared" si="15"/>
        <v>394650.39440755727</v>
      </c>
      <c r="AH97" s="130">
        <f t="shared" si="16"/>
        <v>26102.175635994972</v>
      </c>
      <c r="AI97" s="130">
        <f t="shared" si="17"/>
        <v>17401.450423996645</v>
      </c>
    </row>
    <row r="98" spans="2:35" x14ac:dyDescent="0.15">
      <c r="B98" s="1">
        <v>94</v>
      </c>
      <c r="C98" s="1">
        <f>'3、总属性战斗节奏拟合'!D98*'2、属性成长'!$Q99</f>
        <v>73839.359999999957</v>
      </c>
      <c r="D98" s="1">
        <f>'3、总属性战斗节奏拟合'!E98*'2、属性成长'!$Q99</f>
        <v>2419.1999999999989</v>
      </c>
      <c r="E98" s="1">
        <f>'3、总属性战斗节奏拟合'!F98*'2、属性成长'!$Q99</f>
        <v>1075.1999999999996</v>
      </c>
      <c r="F98" s="1">
        <f>$C$5*各种公式!$C$13+D98+E98</f>
        <v>3514.2263999999986</v>
      </c>
      <c r="H98">
        <v>94</v>
      </c>
      <c r="I98" s="138">
        <f t="shared" si="12"/>
        <v>2977105.627380169</v>
      </c>
      <c r="J98" s="138">
        <f t="shared" si="10"/>
        <v>124104.95999999993</v>
      </c>
      <c r="K98" s="138">
        <f t="shared" si="11"/>
        <v>55157.759999999973</v>
      </c>
      <c r="L98">
        <f>'3、总属性战斗节奏拟合'!J98</f>
        <v>58750</v>
      </c>
      <c r="M98">
        <f>'3、总属性战斗节奏拟合'!K98</f>
        <v>58750</v>
      </c>
      <c r="N98">
        <f>'3、总属性战斗节奏拟合'!L98</f>
        <v>58750</v>
      </c>
      <c r="O98" s="31">
        <f>'3、总属性战斗节奏拟合'!N98/各种公式!$J$4</f>
        <v>1.175</v>
      </c>
      <c r="P98">
        <f>'3、总属性战斗节奏拟合'!M98</f>
        <v>58750</v>
      </c>
      <c r="Q98" s="31">
        <f>'3、总属性战斗节奏拟合'!O98/各种公式!$J$6*各种公式!$M$6</f>
        <v>0.35249999999999998</v>
      </c>
      <c r="R98" s="31">
        <f>'3、总属性战斗节奏拟合'!P98/各种公式!$J$6*各种公式!$M$6</f>
        <v>0.35249999999999998</v>
      </c>
      <c r="S98" s="31">
        <f>'3、总属性战斗节奏拟合'!Q98/各种公式!$J$8*各种公式!$M$8</f>
        <v>0.11750000000000001</v>
      </c>
      <c r="T98" s="31">
        <f>'3、总属性战斗节奏拟合'!R98/各种公式!$J$9*各种公式!$M$9</f>
        <v>0.23500000000000001</v>
      </c>
      <c r="U98" s="31">
        <f>'3、总属性战斗节奏拟合'!S98/各种公式!$J$10*各种公式!$M$10</f>
        <v>0.35249999999999998</v>
      </c>
      <c r="V98">
        <f>'3、总属性战斗节奏拟合'!D98</f>
        <v>3531668.985038125</v>
      </c>
      <c r="W98">
        <f>'3、总属性战斗节奏拟合'!E98</f>
        <v>115708.1210969899</v>
      </c>
      <c r="X98">
        <f>'3、总属性战斗节奏拟合'!F98</f>
        <v>51425.831598662182</v>
      </c>
      <c r="Y98">
        <f>'3、总属性战斗节奏拟合'!G98</f>
        <v>64282.289498327722</v>
      </c>
      <c r="Z98">
        <f>(((L98/$L$104*各种公式!$M$3)+S98+Q98+U98)*V98)</f>
        <v>3900728.3939746092</v>
      </c>
      <c r="AA98">
        <f>(((N98/$N$104*各种公式!$M$3)*Y98*(1+R98)+Y98*R98))+W98*T98-X98*U98</f>
        <v>56240.896493534412</v>
      </c>
      <c r="AB98">
        <f>Z98-AA98*'3、总属性战斗节奏拟合'!H98</f>
        <v>810853.54061982874</v>
      </c>
      <c r="AC98" s="145">
        <f>(V98/(1-L98/(L98+116666))-V98)*各种公式!$C$13</f>
        <v>71138.310346112776</v>
      </c>
      <c r="AD98" s="145">
        <f t="shared" si="13"/>
        <v>107672.83490969894</v>
      </c>
      <c r="AE98" s="145">
        <f>Y98*N98/各种公式!$J$5*各种公式!$M$5</f>
        <v>22659.507048160522</v>
      </c>
      <c r="AF98" s="130">
        <f t="shared" si="14"/>
        <v>22659.507048160522</v>
      </c>
      <c r="AG98" s="130">
        <f t="shared" si="15"/>
        <v>414971.10574197973</v>
      </c>
      <c r="AH98" s="130">
        <f t="shared" si="16"/>
        <v>27191.408457792626</v>
      </c>
      <c r="AI98" s="130">
        <f t="shared" si="17"/>
        <v>18127.605638528417</v>
      </c>
    </row>
    <row r="99" spans="2:35" x14ac:dyDescent="0.15">
      <c r="B99" s="1">
        <v>95</v>
      </c>
      <c r="C99" s="1">
        <f>'3、总属性战斗节奏拟合'!D99*'2、属性成长'!$Q100</f>
        <v>75855.599999999962</v>
      </c>
      <c r="D99" s="1">
        <f>'3、总属性战斗节奏拟合'!E99*'2、属性成长'!$Q100</f>
        <v>2462.3999999999987</v>
      </c>
      <c r="E99" s="1">
        <f>'3、总属性战斗节奏拟合'!F99*'2、属性成长'!$Q100</f>
        <v>1094.3999999999994</v>
      </c>
      <c r="F99" s="1">
        <f>$C$5*各种公式!$C$13+D99+E99</f>
        <v>3576.6263999999983</v>
      </c>
      <c r="H99">
        <v>95</v>
      </c>
      <c r="I99" s="138">
        <f t="shared" si="12"/>
        <v>3043278.4263442908</v>
      </c>
      <c r="J99" s="138">
        <f t="shared" si="10"/>
        <v>126321.11999999992</v>
      </c>
      <c r="K99" s="138">
        <f t="shared" si="11"/>
        <v>56142.719999999965</v>
      </c>
      <c r="L99">
        <f>'3、总属性战斗节奏拟合'!J99</f>
        <v>59375</v>
      </c>
      <c r="M99">
        <f>'3、总属性战斗节奏拟合'!K99</f>
        <v>59375</v>
      </c>
      <c r="N99">
        <f>'3、总属性战斗节奏拟合'!L99</f>
        <v>59375</v>
      </c>
      <c r="O99" s="31">
        <f>'3、总属性战斗节奏拟合'!N99/各种公式!$J$4</f>
        <v>1.1875</v>
      </c>
      <c r="P99">
        <f>'3、总属性战斗节奏拟合'!M99</f>
        <v>59375</v>
      </c>
      <c r="Q99" s="31">
        <f>'3、总属性战斗节奏拟合'!O99/各种公式!$J$6*各种公式!$M$6</f>
        <v>0.35625000000000001</v>
      </c>
      <c r="R99" s="31">
        <f>'3、总属性战斗节奏拟合'!P99/各种公式!$J$6*各种公式!$M$6</f>
        <v>0.35625000000000001</v>
      </c>
      <c r="S99" s="31">
        <f>'3、总属性战斗节奏拟合'!Q99/各种公式!$J$8*各种公式!$M$8</f>
        <v>0.11875000000000001</v>
      </c>
      <c r="T99" s="31">
        <f>'3、总属性战斗节奏拟合'!R99/各种公式!$J$9*各种公式!$M$9</f>
        <v>0.23750000000000002</v>
      </c>
      <c r="U99" s="31">
        <f>'3、总属性战斗节奏拟合'!S99/各种公式!$J$10*各种公式!$M$10</f>
        <v>0.35625000000000001</v>
      </c>
      <c r="V99">
        <f>'3、总属性战斗节奏拟合'!D99</f>
        <v>3671985.2952215695</v>
      </c>
      <c r="W99">
        <f>'3、总属性战斗节奏拟合'!E99</f>
        <v>119198.80128762533</v>
      </c>
      <c r="X99">
        <f>'3、总属性战斗节奏拟合'!F99</f>
        <v>52977.245016722372</v>
      </c>
      <c r="Y99">
        <f>'3、总属性战斗节奏拟合'!G99</f>
        <v>66221.556270902962</v>
      </c>
      <c r="Z99">
        <f>(((L99/$L$104*各种公式!$M$3)+S99+Q99+U99)*V99)</f>
        <v>4098853.585791077</v>
      </c>
      <c r="AA99">
        <f>(((N99/$N$104*各种公式!$M$3)*Y99*(1+R99)+Y99*R99))+W99*T99-X99*U99</f>
        <v>58624.702112450308</v>
      </c>
      <c r="AB99">
        <f>Z99-AA99*'3、总属性战斗节奏拟合'!H99</f>
        <v>848113.85365570709</v>
      </c>
      <c r="AC99" s="145">
        <f>(V99/(1-L99/(L99+116666))-V99)*各种公式!$C$13</f>
        <v>74751.556375904067</v>
      </c>
      <c r="AD99" s="145">
        <f t="shared" si="13"/>
        <v>111748.87620714874</v>
      </c>
      <c r="AE99" s="145">
        <f>Y99*N99/各种公式!$J$5*各种公式!$M$5</f>
        <v>23591.42942150918</v>
      </c>
      <c r="AF99" s="130">
        <f t="shared" si="14"/>
        <v>23591.42942150918</v>
      </c>
      <c r="AG99" s="130">
        <f t="shared" si="15"/>
        <v>436048.25380756141</v>
      </c>
      <c r="AH99" s="130">
        <f t="shared" si="16"/>
        <v>28309.71530581102</v>
      </c>
      <c r="AI99" s="130">
        <f t="shared" si="17"/>
        <v>18873.143537207347</v>
      </c>
    </row>
    <row r="100" spans="2:35" x14ac:dyDescent="0.15">
      <c r="B100" s="1">
        <v>96</v>
      </c>
      <c r="C100" s="1">
        <f>'3、总属性战斗节奏拟合'!D100*'2、属性成长'!$Q101</f>
        <v>77896.319999999949</v>
      </c>
      <c r="D100" s="1">
        <f>'3、总属性战斗节奏拟合'!E100*'2、属性成长'!$Q101</f>
        <v>2505.5999999999985</v>
      </c>
      <c r="E100" s="1">
        <f>'3、总属性战斗节奏拟合'!F100*'2、属性成长'!$Q101</f>
        <v>1113.5999999999992</v>
      </c>
      <c r="F100" s="1">
        <f>$C$5*各种公式!$C$13+D100+E100</f>
        <v>3639.0263999999979</v>
      </c>
      <c r="H100">
        <v>96</v>
      </c>
      <c r="I100" s="138">
        <f t="shared" si="12"/>
        <v>3109586.773333509</v>
      </c>
      <c r="J100" s="138">
        <f t="shared" si="10"/>
        <v>128537.27999999991</v>
      </c>
      <c r="K100" s="138">
        <f t="shared" si="11"/>
        <v>57127.679999999957</v>
      </c>
      <c r="L100">
        <f>'3、总属性战斗节奏拟合'!J100</f>
        <v>60000</v>
      </c>
      <c r="M100">
        <f>'3、总属性战斗节奏拟合'!K100</f>
        <v>60000</v>
      </c>
      <c r="N100">
        <f>'3、总属性战斗节奏拟合'!L100</f>
        <v>60000</v>
      </c>
      <c r="O100" s="31">
        <f>'3、总属性战斗节奏拟合'!N100/各种公式!$J$4</f>
        <v>1.2</v>
      </c>
      <c r="P100">
        <f>'3、总属性战斗节奏拟合'!M100</f>
        <v>60000</v>
      </c>
      <c r="Q100" s="31">
        <f>'3、总属性战斗节奏拟合'!O100/各种公式!$J$6*各种公式!$M$6</f>
        <v>0.36</v>
      </c>
      <c r="R100" s="31">
        <f>'3、总属性战斗节奏拟合'!P100/各种公式!$J$6*各种公式!$M$6</f>
        <v>0.36</v>
      </c>
      <c r="S100" s="31">
        <f>'3、总属性战斗节奏拟合'!Q100/各种公式!$J$8*各种公式!$M$8</f>
        <v>0.12</v>
      </c>
      <c r="T100" s="31">
        <f>'3、总属性战斗节奏拟合'!R100/各种公式!$J$9*各种公式!$M$9</f>
        <v>0.24</v>
      </c>
      <c r="U100" s="31">
        <f>'3、总属性战斗节奏拟合'!S100/各种公式!$J$10*各种公式!$M$10</f>
        <v>0.36</v>
      </c>
      <c r="V100">
        <f>'3、总属性战斗节奏拟合'!D100</f>
        <v>3815833.5169872884</v>
      </c>
      <c r="W100">
        <f>'3、总属性战斗节奏拟合'!E100</f>
        <v>122739.46266220728</v>
      </c>
      <c r="X100">
        <f>'3、总属性战斗节奏拟合'!F100</f>
        <v>54550.872294314351</v>
      </c>
      <c r="Y100">
        <f>'3、总属性战斗节奏拟合'!G100</f>
        <v>68188.590367892932</v>
      </c>
      <c r="Z100">
        <f>(((L100/$L$104*各种公式!$M$3)+S100+Q100+U100)*V100)</f>
        <v>4304260.2071616622</v>
      </c>
      <c r="AA100">
        <f>(((N100/$N$104*各种公式!$M$3)*Y100*(1+R100)+Y100*R100))+W100*T100-X100*U100</f>
        <v>61075.156620714333</v>
      </c>
      <c r="AB100">
        <f>Z100-AA100*'3、总属性战斗节奏拟合'!H100</f>
        <v>886494.44266648823</v>
      </c>
      <c r="AC100" s="145">
        <f>(V100/(1-L100/(L100+116666))-V100)*各种公式!$C$13</f>
        <v>78497.595192853885</v>
      </c>
      <c r="AD100" s="145">
        <f t="shared" si="13"/>
        <v>115920.60362541798</v>
      </c>
      <c r="AE100" s="145">
        <f>Y100*N100/各种公式!$J$5*各种公式!$M$5</f>
        <v>24547.892532441452</v>
      </c>
      <c r="AF100" s="130">
        <f t="shared" si="14"/>
        <v>24547.892532441456</v>
      </c>
      <c r="AG100" s="130">
        <f t="shared" si="15"/>
        <v>457900.02203847456</v>
      </c>
      <c r="AH100" s="130">
        <f t="shared" si="16"/>
        <v>29457.471038929747</v>
      </c>
      <c r="AI100" s="130">
        <f t="shared" si="17"/>
        <v>19638.314025953165</v>
      </c>
    </row>
    <row r="101" spans="2:35" x14ac:dyDescent="0.15">
      <c r="B101" s="1">
        <v>97</v>
      </c>
      <c r="C101" s="1">
        <f>'3、总属性战斗节奏拟合'!D101*'2、属性成长'!$Q102</f>
        <v>79961.519999999946</v>
      </c>
      <c r="D101" s="1">
        <f>'3、总属性战斗节奏拟合'!E101*'2、属性成长'!$Q102</f>
        <v>2548.7999999999984</v>
      </c>
      <c r="E101" s="1">
        <f>'3、总属性战斗节奏拟合'!F101*'2、属性成长'!$Q102</f>
        <v>1132.7999999999993</v>
      </c>
      <c r="F101" s="1">
        <f>$C$5*各种公式!$C$13+D101+E101</f>
        <v>3701.4263999999976</v>
      </c>
      <c r="H101">
        <v>97</v>
      </c>
      <c r="I101" s="138">
        <f t="shared" si="12"/>
        <v>3176016.1342812413</v>
      </c>
      <c r="J101" s="138">
        <f t="shared" si="10"/>
        <v>130753.43999999992</v>
      </c>
      <c r="K101" s="138">
        <f t="shared" si="11"/>
        <v>58112.639999999963</v>
      </c>
      <c r="L101">
        <f>'3、总属性战斗节奏拟合'!J101</f>
        <v>60625</v>
      </c>
      <c r="M101">
        <f>'3、总属性战斗节奏拟合'!K101</f>
        <v>60625</v>
      </c>
      <c r="N101">
        <f>'3、总属性战斗节奏拟合'!L101</f>
        <v>60625</v>
      </c>
      <c r="O101" s="31">
        <f>'3、总属性战斗节奏拟合'!N101/各种公式!$J$4</f>
        <v>1.2124999999999999</v>
      </c>
      <c r="P101">
        <f>'3、总属性战斗节奏拟合'!M101</f>
        <v>60625</v>
      </c>
      <c r="Q101" s="31">
        <f>'3、总属性战斗节奏拟合'!O101/各种公式!$J$6*各种公式!$M$6</f>
        <v>0.36374999999999996</v>
      </c>
      <c r="R101" s="31">
        <f>'3、总属性战斗节奏拟合'!P101/各种公式!$J$6*各种公式!$M$6</f>
        <v>0.36374999999999996</v>
      </c>
      <c r="S101" s="31">
        <f>'3、总属性战斗节奏拟合'!Q101/各种公式!$J$8*各种公式!$M$8</f>
        <v>0.12125</v>
      </c>
      <c r="T101" s="31">
        <f>'3、总属性战斗节奏拟合'!R101/各种公式!$J$9*各种公式!$M$9</f>
        <v>0.24249999999999999</v>
      </c>
      <c r="U101" s="31">
        <f>'3、总属性战斗节奏拟合'!S101/各种公式!$J$10*各种公式!$M$10</f>
        <v>0.36374999999999996</v>
      </c>
      <c r="V101">
        <f>'3、总属性战斗节奏拟合'!D101</f>
        <v>3963256.1343416362</v>
      </c>
      <c r="W101">
        <f>'3、总属性战斗节奏拟合'!E101</f>
        <v>126330.10522073571</v>
      </c>
      <c r="X101">
        <f>'3、总属性战斗节奏拟合'!F101</f>
        <v>56146.713431438096</v>
      </c>
      <c r="Y101">
        <f>'3、总属性战斗节奏拟合'!G101</f>
        <v>70183.391789297617</v>
      </c>
      <c r="Z101">
        <f>(((L101/$L$104*各种公式!$M$3)+S101+Q101+U101)*V101)</f>
        <v>4517121.1791158803</v>
      </c>
      <c r="AA101">
        <f>(((N101/$N$104*各种公式!$M$3)*Y101*(1+R101)+Y101*R101))+W101*T101-X101*U101</f>
        <v>63593.259029522305</v>
      </c>
      <c r="AB101">
        <f>Z101-AA101*'3、总属性战斗节奏拟合'!H101</f>
        <v>926009.84171875566</v>
      </c>
      <c r="AC101" s="145">
        <f>(V101/(1-L101/(L101+116666))-V101)*各种公式!$C$13</f>
        <v>82379.580389989074</v>
      </c>
      <c r="AD101" s="145">
        <f t="shared" si="13"/>
        <v>120189.05843917216</v>
      </c>
      <c r="AE101" s="145">
        <f>Y101*N101/各种公式!$J$5*各种公式!$M$5</f>
        <v>25529.208763357008</v>
      </c>
      <c r="AF101" s="130">
        <f t="shared" si="14"/>
        <v>25529.208763357004</v>
      </c>
      <c r="AG101" s="130">
        <f t="shared" si="15"/>
        <v>480544.80628892337</v>
      </c>
      <c r="AH101" s="130">
        <f t="shared" si="16"/>
        <v>30635.050516028408</v>
      </c>
      <c r="AI101" s="130">
        <f t="shared" si="17"/>
        <v>20423.367010685604</v>
      </c>
    </row>
    <row r="102" spans="2:35" x14ac:dyDescent="0.15">
      <c r="B102" s="1">
        <v>98</v>
      </c>
      <c r="C102" s="1">
        <f>'3、总属性战斗节奏拟合'!D102*'2、属性成长'!$Q103</f>
        <v>82051.199999999939</v>
      </c>
      <c r="D102" s="1">
        <f>'3、总属性战斗节奏拟合'!E102*'2、属性成长'!$Q103</f>
        <v>2591.9999999999977</v>
      </c>
      <c r="E102" s="1">
        <f>'3、总属性战斗节奏拟合'!F102*'2、属性成长'!$Q103</f>
        <v>1151.9999999999991</v>
      </c>
      <c r="F102" s="1">
        <f>$C$5*各种公式!$C$13+D102+E102</f>
        <v>3763.8263999999967</v>
      </c>
      <c r="H102">
        <v>98</v>
      </c>
      <c r="I102" s="138">
        <f t="shared" si="12"/>
        <v>3242552.229950028</v>
      </c>
      <c r="J102" s="138">
        <f t="shared" si="10"/>
        <v>132969.59999999989</v>
      </c>
      <c r="K102" s="138">
        <f t="shared" si="11"/>
        <v>59097.599999999948</v>
      </c>
      <c r="L102">
        <f>'3、总属性战斗节奏拟合'!J102</f>
        <v>61250</v>
      </c>
      <c r="M102">
        <f>'3、总属性战斗节奏拟合'!K102</f>
        <v>61250</v>
      </c>
      <c r="N102">
        <f>'3、总属性战斗节奏拟合'!L102</f>
        <v>61250</v>
      </c>
      <c r="O102" s="31">
        <f>'3、总属性战斗节奏拟合'!N102/各种公式!$J$4</f>
        <v>1.2250000000000001</v>
      </c>
      <c r="P102">
        <f>'3、总属性战斗节奏拟合'!M102</f>
        <v>61250</v>
      </c>
      <c r="Q102" s="31">
        <f>'3、总属性战斗节奏拟合'!O102/各种公式!$J$6*各种公式!$M$6</f>
        <v>0.36749999999999999</v>
      </c>
      <c r="R102" s="31">
        <f>'3、总属性战斗节奏拟合'!P102/各种公式!$J$6*各种公式!$M$6</f>
        <v>0.36749999999999999</v>
      </c>
      <c r="S102" s="31">
        <f>'3、总属性战斗节奏拟合'!Q102/各种公式!$J$8*各种公式!$M$8</f>
        <v>0.12250000000000001</v>
      </c>
      <c r="T102" s="31">
        <f>'3、总属性战斗节奏拟合'!R102/各种公式!$J$9*各种公式!$M$9</f>
        <v>0.24500000000000002</v>
      </c>
      <c r="U102" s="31">
        <f>'3、总属性战斗节奏拟合'!S102/各种公式!$J$10*各种公式!$M$10</f>
        <v>0.36749999999999999</v>
      </c>
      <c r="V102">
        <f>'3、总属性战斗节奏拟合'!D102</f>
        <v>4114295.6312909662</v>
      </c>
      <c r="W102">
        <f>'3、总属性战斗节奏拟合'!E102</f>
        <v>129970.72896321058</v>
      </c>
      <c r="X102">
        <f>'3、总属性战斗节奏拟合'!F102</f>
        <v>57764.768428093594</v>
      </c>
      <c r="Y102">
        <f>'3、总属性战斗节奏拟合'!G102</f>
        <v>72205.960535116988</v>
      </c>
      <c r="Z102">
        <f>(((L102/$L$104*各种公式!$M$3)+S102+Q102+U102)*V102)</f>
        <v>4737611.4194315476</v>
      </c>
      <c r="AA102">
        <f>(((N102/$N$104*各种公式!$M$3)*Y102*(1+R102)+Y102*R102))+W102*T102-X102*U102</f>
        <v>66180.012098658801</v>
      </c>
      <c r="AB102">
        <f>Z102-AA102*'3、总属性战斗节奏拟合'!H102</f>
        <v>966674.33004996879</v>
      </c>
      <c r="AC102" s="145">
        <f>(V102/(1-L102/(L102+116666))-V102)*各种公式!$C$13</f>
        <v>86400.701975407326</v>
      </c>
      <c r="AD102" s="145">
        <f t="shared" si="13"/>
        <v>124555.28192307681</v>
      </c>
      <c r="AE102" s="145">
        <f>Y102*N102/各种公式!$J$5*各种公式!$M$5</f>
        <v>26535.69049665549</v>
      </c>
      <c r="AF102" s="130">
        <f t="shared" si="14"/>
        <v>26535.690496655494</v>
      </c>
      <c r="AG102" s="130">
        <f t="shared" si="15"/>
        <v>504001.2148331434</v>
      </c>
      <c r="AH102" s="130">
        <f t="shared" si="16"/>
        <v>31842.828595986597</v>
      </c>
      <c r="AI102" s="130">
        <f t="shared" si="17"/>
        <v>21228.552397324394</v>
      </c>
    </row>
    <row r="103" spans="2:35" x14ac:dyDescent="0.15">
      <c r="B103" s="1">
        <v>99</v>
      </c>
      <c r="C103" s="1">
        <f>'3、总属性战斗节奏拟合'!D103*'2、属性成长'!$Q104</f>
        <v>84165.359999999928</v>
      </c>
      <c r="D103" s="1">
        <f>'3、总属性战斗节奏拟合'!E103*'2、属性成长'!$Q104</f>
        <v>2635.199999999998</v>
      </c>
      <c r="E103" s="1">
        <f>'3、总属性战斗节奏拟合'!F103*'2、属性成长'!$Q104</f>
        <v>1171.1999999999991</v>
      </c>
      <c r="F103" s="1">
        <f>$C$5*各种公式!$C$13+D103+E103</f>
        <v>3826.2263999999968</v>
      </c>
      <c r="H103">
        <v>99</v>
      </c>
      <c r="I103" s="138">
        <f t="shared" si="12"/>
        <v>3309181.0454904428</v>
      </c>
      <c r="J103" s="138">
        <f t="shared" si="10"/>
        <v>135185.75999999989</v>
      </c>
      <c r="K103" s="138">
        <f t="shared" si="11"/>
        <v>60082.559999999954</v>
      </c>
      <c r="L103">
        <f>'3、总属性战斗节奏拟合'!J103</f>
        <v>61875</v>
      </c>
      <c r="M103">
        <f>'3、总属性战斗节奏拟合'!K103</f>
        <v>61875</v>
      </c>
      <c r="N103">
        <f>'3、总属性战斗节奏拟合'!L103</f>
        <v>61875</v>
      </c>
      <c r="O103" s="31">
        <f>'3、总属性战斗节奏拟合'!N103/各种公式!$J$4</f>
        <v>1.2375</v>
      </c>
      <c r="P103">
        <f>'3、总属性战斗节奏拟合'!M103</f>
        <v>61875</v>
      </c>
      <c r="Q103" s="31">
        <f>'3、总属性战斗节奏拟合'!O103/各种公式!$J$6*各种公式!$M$6</f>
        <v>0.37125000000000002</v>
      </c>
      <c r="R103" s="31">
        <f>'3、总属性战斗节奏拟合'!P103/各种公式!$J$6*各种公式!$M$6</f>
        <v>0.37125000000000002</v>
      </c>
      <c r="S103" s="31">
        <f>'3、总属性战斗节奏拟合'!Q103/各种公式!$J$8*各种公式!$M$8</f>
        <v>0.12375000000000001</v>
      </c>
      <c r="T103" s="31">
        <f>'3、总属性战斗节奏拟合'!R103/各种公式!$J$9*各种公式!$M$9</f>
        <v>0.24750000000000003</v>
      </c>
      <c r="U103" s="31">
        <f>'3、总属性战斗节奏拟合'!S103/各种公式!$J$10*各种公式!$M$10</f>
        <v>0.37125000000000002</v>
      </c>
      <c r="V103">
        <f>'3、总属性战斗节奏拟合'!D103</f>
        <v>4268994.4918416347</v>
      </c>
      <c r="W103">
        <f>'3、总属性战斗节奏拟合'!E103</f>
        <v>133661.33388963199</v>
      </c>
      <c r="X103">
        <f>'3、总属性战斗节奏拟合'!F103</f>
        <v>59405.037284280887</v>
      </c>
      <c r="Y103">
        <f>'3、总属性战斗节奏拟合'!G103</f>
        <v>74256.296605351105</v>
      </c>
      <c r="Z103">
        <f>(((L103/$L$104*各种公式!$M$3)+S103+Q103+U103)*V103)</f>
        <v>4965907.8426347822</v>
      </c>
      <c r="AA103">
        <f>(((N103/$N$104*各种公式!$M$3)*Y103*(1+R103)+Y103*R103))+W103*T103-X103*U103</f>
        <v>68836.422336497286</v>
      </c>
      <c r="AB103">
        <f>Z103-AA103*'3、总属性战斗节奏拟合'!H103</f>
        <v>1008501.9225095529</v>
      </c>
      <c r="AC103" s="145">
        <f>(V103/(1-L103/(L103+116666))-V103)*各种公式!$C$13</f>
        <v>90564.186372276803</v>
      </c>
      <c r="AD103" s="145">
        <f t="shared" si="13"/>
        <v>129020.31535179754</v>
      </c>
      <c r="AE103" s="145">
        <f>Y103*N103/各种公式!$J$5*各种公式!$M$5</f>
        <v>27567.650114736596</v>
      </c>
      <c r="AF103" s="130">
        <f t="shared" si="14"/>
        <v>27567.6501147366</v>
      </c>
      <c r="AG103" s="130">
        <f t="shared" si="15"/>
        <v>528288.0683654024</v>
      </c>
      <c r="AH103" s="130">
        <f t="shared" si="16"/>
        <v>33081.180137683921</v>
      </c>
      <c r="AI103" s="130">
        <f t="shared" si="17"/>
        <v>22054.120091789282</v>
      </c>
    </row>
    <row r="104" spans="2:35" x14ac:dyDescent="0.15">
      <c r="B104" s="1">
        <v>100</v>
      </c>
      <c r="C104" s="1">
        <f>'3、总属性战斗节奏拟合'!D104*'2、属性成长'!$Q105</f>
        <v>86303.999999999942</v>
      </c>
      <c r="D104" s="1">
        <f>'3、总属性战斗节奏拟合'!E104*'2、属性成长'!$Q105</f>
        <v>2678.3999999999983</v>
      </c>
      <c r="E104" s="1">
        <f>'3、总属性战斗节奏拟合'!F104*'2、属性成长'!$Q105</f>
        <v>1190.3999999999992</v>
      </c>
      <c r="F104" s="1">
        <f>$C$5*各种公式!$C$13+D104+E104</f>
        <v>3888.6263999999974</v>
      </c>
      <c r="H104">
        <v>100</v>
      </c>
      <c r="I104" s="138">
        <f t="shared" si="12"/>
        <v>3375888.8399999975</v>
      </c>
      <c r="J104" s="138">
        <f t="shared" si="10"/>
        <v>137401.9199999999</v>
      </c>
      <c r="K104" s="138">
        <f t="shared" si="11"/>
        <v>61067.519999999953</v>
      </c>
      <c r="L104">
        <f>'3、总属性战斗节奏拟合'!J104</f>
        <v>62500</v>
      </c>
      <c r="M104">
        <f>'3、总属性战斗节奏拟合'!K104</f>
        <v>62500</v>
      </c>
      <c r="N104">
        <f>'3、总属性战斗节奏拟合'!L104</f>
        <v>62500</v>
      </c>
      <c r="O104" s="31">
        <f>'3、总属性战斗节奏拟合'!N104/各种公式!$J$4</f>
        <v>1.25</v>
      </c>
      <c r="P104">
        <f>'3、总属性战斗节奏拟合'!M104</f>
        <v>62500</v>
      </c>
      <c r="Q104" s="31">
        <f>'3、总属性战斗节奏拟合'!O104/各种公式!$J$6*各种公式!$M$6</f>
        <v>0.375</v>
      </c>
      <c r="R104" s="31">
        <f>'3、总属性战斗节奏拟合'!P104/各种公式!$J$6*各种公式!$M$6</f>
        <v>0.375</v>
      </c>
      <c r="S104" s="31">
        <f>'3、总属性战斗节奏拟合'!Q104/各种公式!$J$8*各种公式!$M$8</f>
        <v>0.125</v>
      </c>
      <c r="T104" s="31">
        <f>'3、总属性战斗节奏拟合'!R104/各种公式!$J$9*各种公式!$M$9</f>
        <v>0.25</v>
      </c>
      <c r="U104" s="31">
        <f>'3、总属性战斗节奏拟合'!S104/各种公式!$J$10*各种公式!$M$10</f>
        <v>0.375</v>
      </c>
      <c r="V104">
        <f>'3、总属性战斗节奏拟合'!D104</f>
        <v>4427395.1999999965</v>
      </c>
      <c r="W104">
        <f>'3、总属性战斗节奏拟合'!E104</f>
        <v>137401.9199999999</v>
      </c>
      <c r="X104">
        <f>'3、总属性战斗节奏拟合'!F104</f>
        <v>61067.519999999953</v>
      </c>
      <c r="Y104">
        <f>'3、总属性战斗节奏拟合'!G104</f>
        <v>76334.399999999936</v>
      </c>
      <c r="Z104">
        <f>(((L104/$L$104*各种公式!$M$3)+S104+Q104+U104)*V104)</f>
        <v>5202189.3599999957</v>
      </c>
      <c r="AA104">
        <f>(((N104/$N$104*各种公式!$M$3)*Y104*(1+R104)+Y104*R104))+W104*T104-X104*U104</f>
        <v>71563.499999999942</v>
      </c>
      <c r="AB104">
        <f>Z104-AA104*'3、总属性战斗节奏拟合'!H104</f>
        <v>1051506.3599999989</v>
      </c>
      <c r="AC104" s="145">
        <f>(V104/(1-L104/(L104+116666))-V104)*各种公式!$C$13</f>
        <v>94873.296418836602</v>
      </c>
      <c r="AD104" s="145">
        <f t="shared" si="13"/>
        <v>133585.1999999999</v>
      </c>
      <c r="AE104" s="145">
        <f>Y104*N104/各种公式!$J$5*各种公式!$M$5</f>
        <v>28625.399999999976</v>
      </c>
      <c r="AF104" s="130">
        <f t="shared" si="14"/>
        <v>28625.399999999976</v>
      </c>
      <c r="AG104" s="130">
        <f t="shared" si="15"/>
        <v>553424.39999999956</v>
      </c>
      <c r="AH104" s="130">
        <f t="shared" si="16"/>
        <v>34350.479999999974</v>
      </c>
      <c r="AI104" s="130">
        <f t="shared" si="17"/>
        <v>22900.319999999982</v>
      </c>
    </row>
    <row r="105" spans="2:35" x14ac:dyDescent="0.15">
      <c r="S105" s="117"/>
      <c r="T105" s="117"/>
      <c r="U105" s="117"/>
      <c r="W105" s="116"/>
      <c r="X105" s="116"/>
      <c r="Y105">
        <f>SUM(Y5:Y104)</f>
        <v>2013486.581793478</v>
      </c>
      <c r="AA105">
        <f>SUM(AA5:AA104)</f>
        <v>1474961.9077168645</v>
      </c>
      <c r="AB105">
        <f>Z105-AA105*'3、总属性战斗节奏拟合'!H105</f>
        <v>0</v>
      </c>
      <c r="AC105" s="1">
        <f>SUM(AC5:AC104)/100/各种公式!J3</f>
        <v>0.34079871131791617</v>
      </c>
      <c r="AD105" s="145">
        <f>SUM(AD5:AD104)/100/各种公式!J5*各种公式!M5</f>
        <v>0.18079904294203591</v>
      </c>
      <c r="AE105" s="145">
        <f>SUM(AE5:AE104)/100</f>
        <v>6019.7222744115816</v>
      </c>
      <c r="AF105" s="145">
        <f>SUM(AF5:AF104)/100</f>
        <v>6019.7222744115816</v>
      </c>
      <c r="AG105" s="145">
        <f>SUM(AG5:AG104)/100*各种公式!C13</f>
        <v>3975.962245461601</v>
      </c>
      <c r="AH105" s="1">
        <f>SUM(AH5:AH104)/100</f>
        <v>7223.6667292938964</v>
      </c>
      <c r="AI105" s="1">
        <f>SUM(AI5:AI104)/100</f>
        <v>4815.777819529264</v>
      </c>
    </row>
    <row r="106" spans="2:35" x14ac:dyDescent="0.15">
      <c r="Y106">
        <f>(Y105+AA105)/100</f>
        <v>34884.484895103422</v>
      </c>
      <c r="AB106">
        <f>Z106-AA106*'3、总属性战斗节奏拟合'!H106</f>
        <v>0</v>
      </c>
      <c r="AC106" t="s">
        <v>401</v>
      </c>
      <c r="AD106" s="130" t="s">
        <v>400</v>
      </c>
      <c r="AE106" t="s">
        <v>417</v>
      </c>
      <c r="AF106" t="s">
        <v>418</v>
      </c>
      <c r="AG106" t="s">
        <v>418</v>
      </c>
      <c r="AH106" t="s">
        <v>418</v>
      </c>
      <c r="AI106" t="s">
        <v>418</v>
      </c>
    </row>
    <row r="107" spans="2:35" x14ac:dyDescent="0.15">
      <c r="AC107">
        <f>L104/(L104+116666)</f>
        <v>0.34883850730607369</v>
      </c>
    </row>
  </sheetData>
  <mergeCells count="3">
    <mergeCell ref="B1:E1"/>
    <mergeCell ref="B3:E3"/>
    <mergeCell ref="H1:K1"/>
  </mergeCells>
  <phoneticPr fontId="1" type="noConversion"/>
  <conditionalFormatting sqref="H5:AB5 AB6:AB106 H6:AA104">
    <cfRule type="expression" dxfId="115" priority="6">
      <formula>MOD($H5,10)=0</formula>
    </cfRule>
  </conditionalFormatting>
  <conditionalFormatting sqref="B5:E104">
    <cfRule type="expression" dxfId="114" priority="4">
      <formula>MOD($B5,10)=0</formula>
    </cfRule>
  </conditionalFormatting>
  <conditionalFormatting sqref="F5:F104">
    <cfRule type="expression" dxfId="113" priority="1">
      <formula>MOD($B5,10)=0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W103"/>
  <sheetViews>
    <sheetView workbookViewId="0">
      <selection activeCell="F91" sqref="F91"/>
    </sheetView>
  </sheetViews>
  <sheetFormatPr defaultRowHeight="13.5" x14ac:dyDescent="0.15"/>
  <cols>
    <col min="2" max="2" width="5.5" bestFit="1" customWidth="1"/>
    <col min="3" max="3" width="12.875" bestFit="1" customWidth="1"/>
    <col min="4" max="4" width="10.5" bestFit="1" customWidth="1"/>
    <col min="5" max="5" width="9.5" bestFit="1" customWidth="1"/>
    <col min="6" max="8" width="8.5" bestFit="1" customWidth="1"/>
    <col min="9" max="9" width="9.5" bestFit="1" customWidth="1"/>
    <col min="10" max="10" width="8.5" bestFit="1" customWidth="1"/>
    <col min="11" max="11" width="11.5" customWidth="1"/>
    <col min="12" max="12" width="9.5" bestFit="1" customWidth="1"/>
    <col min="13" max="13" width="14" bestFit="1" customWidth="1"/>
    <col min="14" max="15" width="11.75" bestFit="1" customWidth="1"/>
    <col min="16" max="16" width="10.625" customWidth="1"/>
    <col min="17" max="17" width="11.25" customWidth="1"/>
    <col min="18" max="18" width="12.375" customWidth="1"/>
  </cols>
  <sheetData>
    <row r="3" spans="1:23" x14ac:dyDescent="0.15">
      <c r="B3" s="1" t="s">
        <v>419</v>
      </c>
      <c r="C3" s="9" t="str">
        <f>各种公式!C12</f>
        <v>生命</v>
      </c>
      <c r="D3" s="9" t="str">
        <f>各种公式!D12</f>
        <v>攻击</v>
      </c>
      <c r="E3" s="48" t="str">
        <f>各种公式!E12</f>
        <v>防御</v>
      </c>
      <c r="F3" s="9" t="str">
        <f>各种公式!F12</f>
        <v>闪避值</v>
      </c>
      <c r="G3" s="9" t="str">
        <f>各种公式!G12</f>
        <v>命中值</v>
      </c>
      <c r="H3" s="9" t="str">
        <f>各种公式!H12</f>
        <v>暴击值</v>
      </c>
      <c r="I3" s="9" t="str">
        <f>各种公式!I12</f>
        <v>暴击倍数</v>
      </c>
      <c r="J3" s="9" t="str">
        <f>各种公式!J12</f>
        <v>韧性值</v>
      </c>
      <c r="K3" s="106" t="str">
        <f>各种公式!K12</f>
        <v>伤害减免</v>
      </c>
      <c r="L3" s="40" t="str">
        <f>各种公式!L12</f>
        <v>伤害加深</v>
      </c>
      <c r="M3" s="33" t="str">
        <f>各种公式!M12</f>
        <v>生命加成</v>
      </c>
      <c r="N3" s="33" t="str">
        <f>各种公式!N12</f>
        <v>攻击加成</v>
      </c>
      <c r="O3" s="33" t="str">
        <f>各种公式!O12</f>
        <v>防御加成</v>
      </c>
      <c r="W3" t="s">
        <v>459</v>
      </c>
    </row>
    <row r="4" spans="1:23" x14ac:dyDescent="0.15">
      <c r="A4">
        <f t="shared" ref="A4:A35" si="0">SUMPRODUCT(C4:O4,属性价值比)</f>
        <v>10895.105150646999</v>
      </c>
      <c r="B4" s="1">
        <f>'4、人物躶体&amp;总属性表'!H5</f>
        <v>1</v>
      </c>
      <c r="C4" s="68">
        <f>'4、人物躶体&amp;总属性表'!I5</f>
        <v>25425.628766174996</v>
      </c>
      <c r="D4" s="68">
        <f>'4、人物躶体&amp;总属性表'!J5</f>
        <v>6094.4400000000005</v>
      </c>
      <c r="E4" s="68">
        <f>'4、人物躶体&amp;总属性表'!K5</f>
        <v>2708.64</v>
      </c>
      <c r="F4" s="68">
        <f>'4、人物躶体&amp;总属性表'!L5</f>
        <v>625</v>
      </c>
      <c r="G4" s="68">
        <f>'4、人物躶体&amp;总属性表'!M5</f>
        <v>625</v>
      </c>
      <c r="H4" s="68">
        <f>'4、人物躶体&amp;总属性表'!N5</f>
        <v>625</v>
      </c>
      <c r="I4" s="68">
        <f>'4、人物躶体&amp;总属性表'!O5*各种公式!$J$4</f>
        <v>625</v>
      </c>
      <c r="J4" s="68">
        <f>'4、人物躶体&amp;总属性表'!P5</f>
        <v>625</v>
      </c>
      <c r="K4" s="68">
        <f>'4、人物躶体&amp;总属性表'!Q5/各种公式!$M$6*各种公式!$J$6</f>
        <v>250</v>
      </c>
      <c r="L4" s="68">
        <f>'4、人物躶体&amp;总属性表'!R5/各种公式!$M$6*各种公式!$J$6</f>
        <v>250</v>
      </c>
      <c r="M4" s="68">
        <f>'4、人物躶体&amp;总属性表'!S5/各种公式!$M$8*各种公式!$J$8</f>
        <v>125.00000000000003</v>
      </c>
      <c r="N4" s="68">
        <f>'4、人物躶体&amp;总属性表'!T5/各种公式!$M$9*各种公式!$J$9</f>
        <v>250.00000000000006</v>
      </c>
      <c r="O4" s="68">
        <f>'4、人物躶体&amp;总属性表'!U5/各种公式!$M$10*各种公式!$J$10</f>
        <v>250</v>
      </c>
      <c r="P4" s="1" t="s">
        <v>423</v>
      </c>
      <c r="Q4" s="1" t="s">
        <v>424</v>
      </c>
      <c r="R4" s="1" t="s">
        <v>425</v>
      </c>
      <c r="S4" s="5" t="s">
        <v>426</v>
      </c>
      <c r="T4" s="5" t="s">
        <v>439</v>
      </c>
      <c r="U4" s="5" t="s">
        <v>440</v>
      </c>
      <c r="V4" s="5" t="s">
        <v>441</v>
      </c>
      <c r="W4">
        <f>SUMPRODUCT(C4:O4,属性价值比,'5、系统属性规划'!$C$33:$O$33)</f>
        <v>2680.4147859154409</v>
      </c>
    </row>
    <row r="5" spans="1:23" x14ac:dyDescent="0.15">
      <c r="A5">
        <f t="shared" si="0"/>
        <v>12938.106236191999</v>
      </c>
      <c r="B5" s="1">
        <f>'4、人物躶体&amp;总属性表'!H6</f>
        <v>2</v>
      </c>
      <c r="C5" s="68">
        <f>'4、人物躶体&amp;总属性表'!I6</f>
        <v>29618.655904799994</v>
      </c>
      <c r="D5" s="68">
        <f>'4、人物躶体&amp;总属性表'!J6</f>
        <v>6648.48</v>
      </c>
      <c r="E5" s="68">
        <f>'4、人物躶体&amp;总属性表'!K6</f>
        <v>2954.88</v>
      </c>
      <c r="F5" s="68">
        <f>'4、人物躶体&amp;总属性表'!L6</f>
        <v>1250</v>
      </c>
      <c r="G5" s="68">
        <f>'4、人物躶体&amp;总属性表'!M6</f>
        <v>1250</v>
      </c>
      <c r="H5" s="68">
        <f>'4、人物躶体&amp;总属性表'!N6</f>
        <v>1250</v>
      </c>
      <c r="I5" s="68">
        <f>'4、人物躶体&amp;总属性表'!O6*各种公式!$J$4</f>
        <v>1250</v>
      </c>
      <c r="J5" s="68">
        <f>'4、人物躶体&amp;总属性表'!P6</f>
        <v>1250</v>
      </c>
      <c r="K5" s="68">
        <f>'4、人物躶体&amp;总属性表'!Q6/各种公式!$M$6*各种公式!$J$6</f>
        <v>500</v>
      </c>
      <c r="L5" s="68">
        <f>'4、人物躶体&amp;总属性表'!R6/各种公式!$M$6*各种公式!$J$6</f>
        <v>500</v>
      </c>
      <c r="M5" s="68">
        <f>'4、人物躶体&amp;总属性表'!S6/各种公式!$M$8*各种公式!$J$8</f>
        <v>250.00000000000006</v>
      </c>
      <c r="N5" s="68">
        <f>'4、人物躶体&amp;总属性表'!T6/各种公式!$M$9*各种公式!$J$9</f>
        <v>500.00000000000011</v>
      </c>
      <c r="O5" s="68">
        <f>'4、人物躶体&amp;总属性表'!U6/各种公式!$M$10*各种公式!$J$10</f>
        <v>500</v>
      </c>
      <c r="P5" s="1">
        <f t="shared" ref="P5:P36" si="1">C5/$C$4</f>
        <v>1.1649134098977798</v>
      </c>
      <c r="Q5" s="1">
        <f>D5/$D$4</f>
        <v>1.0909090909090908</v>
      </c>
      <c r="R5" s="1">
        <f>E5/$E$4</f>
        <v>1.0909090909090911</v>
      </c>
      <c r="S5" s="1">
        <f>P5/R5</f>
        <v>1.067837292406298</v>
      </c>
      <c r="T5" s="31">
        <f t="shared" ref="T5:T68" si="2">P5/$P$103</f>
        <v>8.7735874338800857E-3</v>
      </c>
      <c r="U5" s="31">
        <f t="shared" ref="U5:U68" si="3">Q5/$Q$103</f>
        <v>4.8387096774193589E-2</v>
      </c>
      <c r="V5" s="31">
        <f t="shared" ref="V5:V68" si="4">R5/$R$103</f>
        <v>4.8387096774193589E-2</v>
      </c>
      <c r="W5">
        <f>SUMPRODUCT(C5:O5,属性价值比,'5、系统属性规划'!$C$33:$O$33)</f>
        <v>3131.5029430886711</v>
      </c>
    </row>
    <row r="6" spans="1:23" x14ac:dyDescent="0.15">
      <c r="A6">
        <f t="shared" si="0"/>
        <v>14993.640931826998</v>
      </c>
      <c r="B6" s="1">
        <f>'4、人物躶体&amp;总属性表'!H7</f>
        <v>3</v>
      </c>
      <c r="C6" s="68">
        <f>'4、人物躶体&amp;总属性表'!I7</f>
        <v>34125.023295675004</v>
      </c>
      <c r="D6" s="68">
        <f>'4、人物躶体&amp;总属性表'!J7</f>
        <v>7202.5199999999995</v>
      </c>
      <c r="E6" s="68">
        <f>'4、人物躶体&amp;总属性表'!K7</f>
        <v>3201.12</v>
      </c>
      <c r="F6" s="68">
        <f>'4、人物躶体&amp;总属性表'!L7</f>
        <v>1875</v>
      </c>
      <c r="G6" s="68">
        <f>'4、人物躶体&amp;总属性表'!M7</f>
        <v>1875</v>
      </c>
      <c r="H6" s="68">
        <f>'4、人物躶体&amp;总属性表'!N7</f>
        <v>1875</v>
      </c>
      <c r="I6" s="68">
        <f>'4、人物躶体&amp;总属性表'!O7*各种公式!$J$4</f>
        <v>1875</v>
      </c>
      <c r="J6" s="68">
        <f>'4、人物躶体&amp;总属性表'!P7</f>
        <v>1875</v>
      </c>
      <c r="K6" s="68">
        <f>'4、人物躶体&amp;总属性表'!Q7/各种公式!$M$6*各种公式!$J$6</f>
        <v>750</v>
      </c>
      <c r="L6" s="68">
        <f>'4、人物躶体&amp;总属性表'!R7/各种公式!$M$6*各种公式!$J$6</f>
        <v>750</v>
      </c>
      <c r="M6" s="68">
        <f>'4、人物躶体&amp;总属性表'!S7/各种公式!$M$8*各种公式!$J$8</f>
        <v>375</v>
      </c>
      <c r="N6" s="68">
        <f>'4、人物躶体&amp;总属性表'!T7/各种公式!$M$9*各种公式!$J$9</f>
        <v>750</v>
      </c>
      <c r="O6" s="68">
        <f>'4、人物躶体&amp;总属性表'!U7/各种公式!$M$10*各种公式!$J$10</f>
        <v>750</v>
      </c>
      <c r="P6" s="1">
        <f t="shared" si="1"/>
        <v>1.3421506154087035</v>
      </c>
      <c r="Q6" s="1">
        <f t="shared" ref="Q6:Q69" si="5">D6/$D$4</f>
        <v>1.1818181818181817</v>
      </c>
      <c r="R6" s="1">
        <f t="shared" ref="R6:R69" si="6">E6/$E$4</f>
        <v>1.1818181818181819</v>
      </c>
      <c r="S6" s="1">
        <f t="shared" ref="S6:S69" si="7">P6/R6</f>
        <v>1.135665905345826</v>
      </c>
      <c r="T6" s="31">
        <f t="shared" si="2"/>
        <v>1.010845585060053E-2</v>
      </c>
      <c r="U6" s="31">
        <f t="shared" si="3"/>
        <v>5.2419354838709714E-2</v>
      </c>
      <c r="V6" s="31">
        <f t="shared" si="4"/>
        <v>5.2419354838709721E-2</v>
      </c>
      <c r="W6">
        <f>SUMPRODUCT(C6:O6,属性价值比,'5、系统属性规划'!$C$33:$O$33)</f>
        <v>3585.4342632312778</v>
      </c>
    </row>
    <row r="7" spans="1:23" x14ac:dyDescent="0.15">
      <c r="A7">
        <f t="shared" si="0"/>
        <v>17061.706945792001</v>
      </c>
      <c r="B7" s="1">
        <f>'4、人物躶体&amp;总属性表'!H8</f>
        <v>4</v>
      </c>
      <c r="C7" s="68">
        <f>'4、人物躶体&amp;总属性表'!I8</f>
        <v>38944.673644799994</v>
      </c>
      <c r="D7" s="68">
        <f>'4、人物躶体&amp;总属性表'!J8</f>
        <v>7756.5599999999986</v>
      </c>
      <c r="E7" s="68">
        <f>'4、人物躶体&amp;总属性表'!K8</f>
        <v>3447.36</v>
      </c>
      <c r="F7" s="68">
        <f>'4、人物躶体&amp;总属性表'!L8</f>
        <v>2500</v>
      </c>
      <c r="G7" s="68">
        <f>'4、人物躶体&amp;总属性表'!M8</f>
        <v>2500</v>
      </c>
      <c r="H7" s="68">
        <f>'4、人物躶体&amp;总属性表'!N8</f>
        <v>2500</v>
      </c>
      <c r="I7" s="68">
        <f>'4、人物躶体&amp;总属性表'!O8*各种公式!$J$4</f>
        <v>2500</v>
      </c>
      <c r="J7" s="68">
        <f>'4、人物躶体&amp;总属性表'!P8</f>
        <v>2500</v>
      </c>
      <c r="K7" s="68">
        <f>'4、人物躶体&amp;总属性表'!Q8/各种公式!$M$6*各种公式!$J$6</f>
        <v>1000</v>
      </c>
      <c r="L7" s="68">
        <f>'4、人物躶体&amp;总属性表'!R8/各种公式!$M$6*各种公式!$J$6</f>
        <v>1000</v>
      </c>
      <c r="M7" s="68">
        <f>'4、人物躶体&amp;总属性表'!S8/各种公式!$M$8*各种公式!$J$8</f>
        <v>500.00000000000011</v>
      </c>
      <c r="N7" s="68">
        <f>'4、人物躶体&amp;总属性表'!T8/各种公式!$M$9*各种公式!$J$9</f>
        <v>1000.0000000000002</v>
      </c>
      <c r="O7" s="68">
        <f>'4、人物躶体&amp;总属性表'!U8/各种公式!$M$10*各种公式!$J$10</f>
        <v>1000</v>
      </c>
      <c r="P7" s="1">
        <f t="shared" si="1"/>
        <v>1.5317093631371692</v>
      </c>
      <c r="Q7" s="1">
        <f t="shared" si="5"/>
        <v>1.2727272727272725</v>
      </c>
      <c r="R7" s="1">
        <f t="shared" si="6"/>
        <v>1.2727272727272729</v>
      </c>
      <c r="S7" s="1">
        <f t="shared" si="7"/>
        <v>1.2034859281792041</v>
      </c>
      <c r="T7" s="31">
        <f t="shared" si="2"/>
        <v>1.1536124407698217E-2</v>
      </c>
      <c r="U7" s="31">
        <f t="shared" si="3"/>
        <v>5.6451612903225847E-2</v>
      </c>
      <c r="V7" s="31">
        <f t="shared" si="4"/>
        <v>5.6451612903225853E-2</v>
      </c>
      <c r="W7">
        <f>SUMPRODUCT(C7:O7,属性价值比,'5、系统属性规划'!$C$33:$O$33)</f>
        <v>4042.2082264733172</v>
      </c>
    </row>
    <row r="8" spans="1:23" x14ac:dyDescent="0.15">
      <c r="A8">
        <f t="shared" si="0"/>
        <v>19142.302019374998</v>
      </c>
      <c r="B8" s="1">
        <f>'4、人物躶体&amp;总属性表'!H9</f>
        <v>5</v>
      </c>
      <c r="C8" s="68">
        <f>'4、人物躶体&amp;总属性表'!I9</f>
        <v>44077.550484375002</v>
      </c>
      <c r="D8" s="68">
        <f>'4、人物躶体&amp;总属性表'!J9</f>
        <v>8310.6</v>
      </c>
      <c r="E8" s="68">
        <f>'4、人物躶体&amp;总属性表'!K9</f>
        <v>3693.6</v>
      </c>
      <c r="F8" s="68">
        <f>'4、人物躶体&amp;总属性表'!L9</f>
        <v>3125</v>
      </c>
      <c r="G8" s="68">
        <f>'4、人物躶体&amp;总属性表'!M9</f>
        <v>3125</v>
      </c>
      <c r="H8" s="68">
        <f>'4、人物躶体&amp;总属性表'!N9</f>
        <v>3125</v>
      </c>
      <c r="I8" s="68">
        <f>'4、人物躶体&amp;总属性表'!O9*各种公式!$J$4</f>
        <v>3125</v>
      </c>
      <c r="J8" s="68">
        <f>'4、人物躶体&amp;总属性表'!P9</f>
        <v>3125</v>
      </c>
      <c r="K8" s="68">
        <f>'4、人物躶体&amp;总属性表'!Q9/各种公式!$M$6*各种公式!$J$6</f>
        <v>1250</v>
      </c>
      <c r="L8" s="68">
        <f>'4、人物躶体&amp;总属性表'!R9/各种公式!$M$6*各种公式!$J$6</f>
        <v>1250</v>
      </c>
      <c r="M8" s="68">
        <f>'4、人物躶体&amp;总属性表'!S9/各种公式!$M$8*各种公式!$J$8</f>
        <v>625</v>
      </c>
      <c r="N8" s="68">
        <f>'4、人物躶体&amp;总属性表'!T9/各种公式!$M$9*各种公式!$J$9</f>
        <v>1250</v>
      </c>
      <c r="O8" s="68">
        <f>'4、人物躶体&amp;总属性表'!U9/各种公式!$M$10*各种公式!$J$10</f>
        <v>1250</v>
      </c>
      <c r="P8" s="1">
        <f t="shared" si="1"/>
        <v>1.7335874321823499</v>
      </c>
      <c r="Q8" s="1">
        <f t="shared" si="5"/>
        <v>1.3636363636363635</v>
      </c>
      <c r="R8" s="1">
        <f t="shared" si="6"/>
        <v>1.3636363636363638</v>
      </c>
      <c r="S8" s="1">
        <f t="shared" si="7"/>
        <v>1.2712974502670564</v>
      </c>
      <c r="T8" s="31">
        <f t="shared" si="2"/>
        <v>1.3056576378378334E-2</v>
      </c>
      <c r="U8" s="31">
        <f t="shared" si="3"/>
        <v>6.0483870967741986E-2</v>
      </c>
      <c r="V8" s="31">
        <f t="shared" si="4"/>
        <v>6.0483870967741986E-2</v>
      </c>
      <c r="W8">
        <f>SUMPRODUCT(C8:O8,属性价值比,'5、系统属性规划'!$C$33:$O$33)</f>
        <v>4501.8243204415576</v>
      </c>
    </row>
    <row r="9" spans="1:23" x14ac:dyDescent="0.15">
      <c r="A9">
        <f t="shared" si="0"/>
        <v>21234.991323170398</v>
      </c>
      <c r="B9" s="1">
        <f>'4、人物躶体&amp;总属性表'!H10</f>
        <v>6</v>
      </c>
      <c r="C9" s="68">
        <f>'4、人物躶体&amp;总属性表'!I10</f>
        <v>49512.78307926</v>
      </c>
      <c r="D9" s="68">
        <f>'4、人物躶体&amp;总属性表'!J10</f>
        <v>8864.64</v>
      </c>
      <c r="E9" s="68">
        <f>'4、人物躶体&amp;总属性表'!K10</f>
        <v>3939.8399999999997</v>
      </c>
      <c r="F9" s="68">
        <f>'4、人物躶体&amp;总属性表'!L10</f>
        <v>3750</v>
      </c>
      <c r="G9" s="68">
        <f>'4、人物躶体&amp;总属性表'!M10</f>
        <v>3750</v>
      </c>
      <c r="H9" s="68">
        <f>'4、人物躶体&amp;总属性表'!N10</f>
        <v>3750</v>
      </c>
      <c r="I9" s="68">
        <f>'4、人物躶体&amp;总属性表'!O10*各种公式!$J$4</f>
        <v>3750</v>
      </c>
      <c r="J9" s="68">
        <f>'4、人物躶体&amp;总属性表'!P10</f>
        <v>3750</v>
      </c>
      <c r="K9" s="68">
        <f>'4、人物躶体&amp;总属性表'!Q10/各种公式!$M$6*各种公式!$J$6</f>
        <v>1500</v>
      </c>
      <c r="L9" s="68">
        <f>'4、人物躶体&amp;总属性表'!R10/各种公式!$M$6*各种公式!$J$6</f>
        <v>1500</v>
      </c>
      <c r="M9" s="68">
        <f>'4、人物躶体&amp;总属性表'!S10/各种公式!$M$8*各种公式!$J$8</f>
        <v>750</v>
      </c>
      <c r="N9" s="68">
        <f>'4、人物躶体&amp;总属性表'!T10/各种公式!$M$9*各种公式!$J$9</f>
        <v>1500</v>
      </c>
      <c r="O9" s="68">
        <f>'4、人物躶体&amp;总属性表'!U10/各种公式!$M$10*各种公式!$J$10</f>
        <v>1500</v>
      </c>
      <c r="P9" s="1">
        <f t="shared" si="1"/>
        <v>1.9473572722468664</v>
      </c>
      <c r="Q9" s="1">
        <f t="shared" si="5"/>
        <v>1.4545454545454544</v>
      </c>
      <c r="R9" s="1">
        <f t="shared" si="6"/>
        <v>1.4545454545454546</v>
      </c>
      <c r="S9" s="1">
        <f t="shared" si="7"/>
        <v>1.3388081246697205</v>
      </c>
      <c r="T9" s="31">
        <f t="shared" si="2"/>
        <v>1.4666591652129173E-2</v>
      </c>
      <c r="U9" s="31">
        <f t="shared" si="3"/>
        <v>6.4516129032258118E-2</v>
      </c>
      <c r="V9" s="31">
        <f t="shared" si="4"/>
        <v>6.4516129032258118E-2</v>
      </c>
      <c r="W9">
        <f>SUMPRODUCT(C9:O9,属性价值比,'5、系统属性规划'!$C$33:$O$33)</f>
        <v>4964.1839070855776</v>
      </c>
    </row>
    <row r="10" spans="1:23" x14ac:dyDescent="0.15">
      <c r="A10">
        <f t="shared" si="0"/>
        <v>23340.383015482719</v>
      </c>
      <c r="B10" s="1">
        <f>'4、人物躶体&amp;总属性表'!H11</f>
        <v>7</v>
      </c>
      <c r="C10" s="68">
        <f>'4、人物躶体&amp;总属性表'!I11</f>
        <v>55265.575387068035</v>
      </c>
      <c r="D10" s="68">
        <f>'4、人物躶体&amp;总属性表'!J11</f>
        <v>9418.6799999999985</v>
      </c>
      <c r="E10" s="68">
        <f>'4、人物躶体&amp;总属性表'!K11</f>
        <v>4186.08</v>
      </c>
      <c r="F10" s="68">
        <f>'4、人物躶体&amp;总属性表'!L11</f>
        <v>4375</v>
      </c>
      <c r="G10" s="68">
        <f>'4、人物躶体&amp;总属性表'!M11</f>
        <v>4375</v>
      </c>
      <c r="H10" s="68">
        <f>'4、人物躶体&amp;总属性表'!N11</f>
        <v>4375</v>
      </c>
      <c r="I10" s="68">
        <f>'4、人物躶体&amp;总属性表'!O11*各种公式!$J$4</f>
        <v>4375</v>
      </c>
      <c r="J10" s="68">
        <f>'4、人物躶体&amp;总属性表'!P11</f>
        <v>4375</v>
      </c>
      <c r="K10" s="68">
        <f>'4、人物躶体&amp;总属性表'!Q11/各种公式!$M$6*各种公式!$J$6</f>
        <v>1750</v>
      </c>
      <c r="L10" s="68">
        <f>'4、人物躶体&amp;总属性表'!R11/各种公式!$M$6*各种公式!$J$6</f>
        <v>1750</v>
      </c>
      <c r="M10" s="68">
        <f>'4、人物躶体&amp;总属性表'!S11/各种公式!$M$8*各种公式!$J$8</f>
        <v>874.99999999999977</v>
      </c>
      <c r="N10" s="68">
        <f>'4、人物躶体&amp;总属性表'!T11/各种公式!$M$9*各种公式!$J$9</f>
        <v>1749.9999999999995</v>
      </c>
      <c r="O10" s="68">
        <f>'4、人物躶体&amp;总属性表'!U11/各种公式!$M$10*各种公式!$J$10</f>
        <v>1750</v>
      </c>
      <c r="P10" s="1">
        <f t="shared" si="1"/>
        <v>2.1736168609757502</v>
      </c>
      <c r="Q10" s="1">
        <f t="shared" si="5"/>
        <v>1.545454545454545</v>
      </c>
      <c r="R10" s="1">
        <f t="shared" si="6"/>
        <v>1.5454545454545454</v>
      </c>
      <c r="S10" s="1">
        <f t="shared" si="7"/>
        <v>1.4064579688666619</v>
      </c>
      <c r="T10" s="31">
        <f t="shared" si="2"/>
        <v>1.6370673919188665E-2</v>
      </c>
      <c r="U10" s="31">
        <f t="shared" si="3"/>
        <v>6.854838709677423E-2</v>
      </c>
      <c r="V10" s="31">
        <f t="shared" si="4"/>
        <v>6.8548387096774244E-2</v>
      </c>
      <c r="W10">
        <f>SUMPRODUCT(C10:O10,属性价值比,'5、系统属性规划'!$C$33:$O$33)</f>
        <v>5429.4249429205829</v>
      </c>
    </row>
    <row r="11" spans="1:23" x14ac:dyDescent="0.15">
      <c r="A11">
        <f t="shared" si="0"/>
        <v>25458.211209747198</v>
      </c>
      <c r="B11" s="1">
        <f>'4、人物躶体&amp;总属性表'!H12</f>
        <v>8</v>
      </c>
      <c r="C11" s="68">
        <f>'4、人物躶体&amp;总属性表'!I12</f>
        <v>61329.28024367999</v>
      </c>
      <c r="D11" s="68">
        <f>'4、人物躶体&amp;总属性表'!J12</f>
        <v>9972.7199999999975</v>
      </c>
      <c r="E11" s="68">
        <f>'4、人物躶体&amp;总属性表'!K12</f>
        <v>4432.32</v>
      </c>
      <c r="F11" s="68">
        <f>'4、人物躶体&amp;总属性表'!L12</f>
        <v>5000</v>
      </c>
      <c r="G11" s="68">
        <f>'4、人物躶体&amp;总属性表'!M12</f>
        <v>5000</v>
      </c>
      <c r="H11" s="68">
        <f>'4、人物躶体&amp;总属性表'!N12</f>
        <v>5000</v>
      </c>
      <c r="I11" s="68">
        <f>'4、人物躶体&amp;总属性表'!O12*各种公式!$J$4</f>
        <v>5000</v>
      </c>
      <c r="J11" s="68">
        <f>'4、人物躶体&amp;总属性表'!P12</f>
        <v>5000</v>
      </c>
      <c r="K11" s="68">
        <f>'4、人物躶体&amp;总属性表'!Q12/各种公式!$M$6*各种公式!$J$6</f>
        <v>2000</v>
      </c>
      <c r="L11" s="68">
        <f>'4、人物躶体&amp;总属性表'!R12/各种公式!$M$6*各种公式!$J$6</f>
        <v>2000</v>
      </c>
      <c r="M11" s="68">
        <f>'4、人物躶体&amp;总属性表'!S12/各种公式!$M$8*各种公式!$J$8</f>
        <v>1000.0000000000002</v>
      </c>
      <c r="N11" s="68">
        <f>'4、人物躶体&amp;总属性表'!T12/各种公式!$M$9*各种公式!$J$9</f>
        <v>2000.0000000000005</v>
      </c>
      <c r="O11" s="68">
        <f>'4、人物躶体&amp;总属性表'!U12/各种公式!$M$10*各种公式!$J$10</f>
        <v>2000</v>
      </c>
      <c r="P11" s="1">
        <f t="shared" si="1"/>
        <v>2.4121047627844487</v>
      </c>
      <c r="Q11" s="1">
        <f t="shared" si="5"/>
        <v>1.6363636363636358</v>
      </c>
      <c r="R11" s="1">
        <f t="shared" si="6"/>
        <v>1.6363636363636362</v>
      </c>
      <c r="S11" s="1">
        <f t="shared" si="7"/>
        <v>1.4740640217016077</v>
      </c>
      <c r="T11" s="31">
        <f t="shared" si="2"/>
        <v>1.8166854168006327E-2</v>
      </c>
      <c r="U11" s="31">
        <f t="shared" si="3"/>
        <v>7.2580645161290355E-2</v>
      </c>
      <c r="V11" s="31">
        <f t="shared" si="4"/>
        <v>7.2580645161290369E-2</v>
      </c>
      <c r="W11">
        <f>SUMPRODUCT(C11:O11,属性价值比,'5、系统属性规划'!$C$33:$O$33)</f>
        <v>5897.4871134139212</v>
      </c>
    </row>
    <row r="12" spans="1:23" x14ac:dyDescent="0.15">
      <c r="A12">
        <f t="shared" si="0"/>
        <v>27588.107330738385</v>
      </c>
      <c r="B12" s="1">
        <f>'4、人物躶体&amp;总属性表'!H13</f>
        <v>9</v>
      </c>
      <c r="C12" s="68">
        <f>'4、人物躶体&amp;总属性表'!I13</f>
        <v>67694.683268459674</v>
      </c>
      <c r="D12" s="68">
        <f>'4、人物躶体&amp;总属性表'!J13</f>
        <v>10526.76</v>
      </c>
      <c r="E12" s="68">
        <f>'4、人物躶体&amp;总属性表'!K13</f>
        <v>4678.5599999999995</v>
      </c>
      <c r="F12" s="68">
        <f>'4、人物躶体&amp;总属性表'!L13</f>
        <v>5625</v>
      </c>
      <c r="G12" s="68">
        <f>'4、人物躶体&amp;总属性表'!M13</f>
        <v>5625</v>
      </c>
      <c r="H12" s="68">
        <f>'4、人物躶体&amp;总属性表'!N13</f>
        <v>5625</v>
      </c>
      <c r="I12" s="68">
        <f>'4、人物躶体&amp;总属性表'!O13*各种公式!$J$4</f>
        <v>5625</v>
      </c>
      <c r="J12" s="68">
        <f>'4、人物躶体&amp;总属性表'!P13</f>
        <v>5625</v>
      </c>
      <c r="K12" s="68">
        <f>'4、人物躶体&amp;总属性表'!Q13/各种公式!$M$6*各种公式!$J$6</f>
        <v>2250.0000000000005</v>
      </c>
      <c r="L12" s="68">
        <f>'4、人物躶体&amp;总属性表'!R13/各种公式!$M$6*各种公式!$J$6</f>
        <v>2250.0000000000005</v>
      </c>
      <c r="M12" s="68">
        <f>'4、人物躶体&amp;总属性表'!S13/各种公式!$M$8*各种公式!$J$8</f>
        <v>1125</v>
      </c>
      <c r="N12" s="68">
        <f>'4、人物躶体&amp;总属性表'!T13/各种公式!$M$9*各种公式!$J$9</f>
        <v>2250</v>
      </c>
      <c r="O12" s="68">
        <f>'4、人物躶体&amp;总属性表'!U13/各种公式!$M$10*各种公式!$J$10</f>
        <v>2250.0000000000005</v>
      </c>
      <c r="P12" s="1">
        <f t="shared" si="1"/>
        <v>2.6624585724510124</v>
      </c>
      <c r="Q12" s="1">
        <f t="shared" si="5"/>
        <v>1.7272727272727271</v>
      </c>
      <c r="R12" s="1">
        <f t="shared" si="6"/>
        <v>1.7272727272727271</v>
      </c>
      <c r="S12" s="1">
        <f t="shared" si="7"/>
        <v>1.5414233840505862</v>
      </c>
      <c r="T12" s="31">
        <f t="shared" si="2"/>
        <v>2.0052402930559682E-2</v>
      </c>
      <c r="U12" s="31">
        <f t="shared" si="3"/>
        <v>7.6612903225806508E-2</v>
      </c>
      <c r="V12" s="31">
        <f t="shared" si="4"/>
        <v>7.6612903225806495E-2</v>
      </c>
      <c r="W12">
        <f>SUMPRODUCT(C12:O12,属性价值比,'5、系统属性规划'!$C$33:$O$33)</f>
        <v>6368.2868098188019</v>
      </c>
    </row>
    <row r="13" spans="1:23" x14ac:dyDescent="0.15">
      <c r="A13">
        <f t="shared" si="0"/>
        <v>29730.252179483698</v>
      </c>
      <c r="B13" s="1">
        <f>'4、人物躶体&amp;总属性表'!H14</f>
        <v>10</v>
      </c>
      <c r="C13" s="68">
        <f>'4、人物躶体&amp;总属性表'!I14</f>
        <v>74366.304487092377</v>
      </c>
      <c r="D13" s="68">
        <f>'4、人物躶体&amp;总属性表'!J14</f>
        <v>11080.800000000001</v>
      </c>
      <c r="E13" s="68">
        <f>'4、人物躶体&amp;总属性表'!K14</f>
        <v>4924.8</v>
      </c>
      <c r="F13" s="68">
        <f>'4、人物躶体&amp;总属性表'!L14</f>
        <v>6250</v>
      </c>
      <c r="G13" s="68">
        <f>'4、人物躶体&amp;总属性表'!M14</f>
        <v>6250</v>
      </c>
      <c r="H13" s="68">
        <f>'4、人物躶体&amp;总属性表'!N14</f>
        <v>6250</v>
      </c>
      <c r="I13" s="68">
        <f>'4、人物躶体&amp;总属性表'!O14*各种公式!$J$4</f>
        <v>6250</v>
      </c>
      <c r="J13" s="68">
        <f>'4、人物躶体&amp;总属性表'!P14</f>
        <v>6250</v>
      </c>
      <c r="K13" s="68">
        <f>'4、人物躶体&amp;总属性表'!Q14/各种公式!$M$6*各种公式!$J$6</f>
        <v>2500</v>
      </c>
      <c r="L13" s="68">
        <f>'4、人物躶体&amp;总属性表'!R14/各种公式!$M$6*各种公式!$J$6</f>
        <v>2500</v>
      </c>
      <c r="M13" s="68">
        <f>'4、人物躶体&amp;总属性表'!S14/各种公式!$M$8*各种公式!$J$8</f>
        <v>1250</v>
      </c>
      <c r="N13" s="68">
        <f>'4、人物躶体&amp;总属性表'!T14/各种公式!$M$9*各种公式!$J$9</f>
        <v>2500</v>
      </c>
      <c r="O13" s="68">
        <f>'4、人物躶体&amp;总属性表'!U14/各种公式!$M$10*各种公式!$J$10</f>
        <v>2500</v>
      </c>
      <c r="P13" s="1">
        <f t="shared" si="1"/>
        <v>2.9248560643670549</v>
      </c>
      <c r="Q13" s="1">
        <f t="shared" si="5"/>
        <v>1.8181818181818181</v>
      </c>
      <c r="R13" s="1">
        <f t="shared" si="6"/>
        <v>1.8181818181818183</v>
      </c>
      <c r="S13" s="1">
        <f t="shared" si="7"/>
        <v>1.6086708354018802</v>
      </c>
      <c r="T13" s="31">
        <f t="shared" si="2"/>
        <v>2.2028659121101996E-2</v>
      </c>
      <c r="U13" s="31">
        <f t="shared" si="3"/>
        <v>8.0645161290322648E-2</v>
      </c>
      <c r="V13" s="31">
        <f t="shared" si="4"/>
        <v>8.0645161290322648E-2</v>
      </c>
      <c r="W13">
        <f>SUMPRODUCT(C13:O13,属性价值比,'5、系统属性规划'!$C$33:$O$33)</f>
        <v>6841.8650456007981</v>
      </c>
    </row>
    <row r="14" spans="1:23" x14ac:dyDescent="0.15">
      <c r="A14">
        <f t="shared" si="0"/>
        <v>31884.599286087014</v>
      </c>
      <c r="B14" s="1">
        <f>'4、人物躶体&amp;总属性表'!H15</f>
        <v>11</v>
      </c>
      <c r="C14" s="68">
        <f>'4、人物躶体&amp;总属性表'!I15</f>
        <v>81342.982152175478</v>
      </c>
      <c r="D14" s="68">
        <f>'4、人物躶体&amp;总属性表'!J15</f>
        <v>11634.839999999997</v>
      </c>
      <c r="E14" s="68">
        <f>'4、人物躶体&amp;总属性表'!K15</f>
        <v>5171.0399999999981</v>
      </c>
      <c r="F14" s="68">
        <f>'4、人物躶体&amp;总属性表'!L15</f>
        <v>6875</v>
      </c>
      <c r="G14" s="68">
        <f>'4、人物躶体&amp;总属性表'!M15</f>
        <v>6875</v>
      </c>
      <c r="H14" s="68">
        <f>'4、人物躶体&amp;总属性表'!N15</f>
        <v>6875</v>
      </c>
      <c r="I14" s="68">
        <f>'4、人物躶体&amp;总属性表'!O15*各种公式!$J$4</f>
        <v>6875.0000000000009</v>
      </c>
      <c r="J14" s="68">
        <f>'4、人物躶体&amp;总属性表'!P15</f>
        <v>6875</v>
      </c>
      <c r="K14" s="68">
        <f>'4、人物躶体&amp;总属性表'!Q15/各种公式!$M$6*各种公式!$J$6</f>
        <v>2750</v>
      </c>
      <c r="L14" s="68">
        <f>'4、人物躶体&amp;总属性表'!R15/各种公式!$M$6*各种公式!$J$6</f>
        <v>2750</v>
      </c>
      <c r="M14" s="68">
        <f>'4、人物躶体&amp;总属性表'!S15/各种公式!$M$8*各种公式!$J$8</f>
        <v>1375</v>
      </c>
      <c r="N14" s="68">
        <f>'4、人物躶体&amp;总属性表'!T15/各种公式!$M$9*各种公式!$J$9</f>
        <v>2750</v>
      </c>
      <c r="O14" s="68">
        <f>'4、人物躶体&amp;总属性表'!U15/各种公式!$M$10*各种公式!$J$10</f>
        <v>2750</v>
      </c>
      <c r="P14" s="1">
        <f t="shared" si="1"/>
        <v>3.1992515465493692</v>
      </c>
      <c r="Q14" s="1">
        <f t="shared" si="5"/>
        <v>1.9090909090909083</v>
      </c>
      <c r="R14" s="1">
        <f t="shared" si="6"/>
        <v>1.9090909090909085</v>
      </c>
      <c r="S14" s="1">
        <f t="shared" si="7"/>
        <v>1.6757984291449082</v>
      </c>
      <c r="T14" s="31">
        <f t="shared" si="2"/>
        <v>2.4095278608810933E-2</v>
      </c>
      <c r="U14" s="31">
        <f t="shared" si="3"/>
        <v>8.4677419354838745E-2</v>
      </c>
      <c r="V14" s="31">
        <f t="shared" si="4"/>
        <v>8.4677419354838745E-2</v>
      </c>
      <c r="W14">
        <f>SUMPRODUCT(C14:O14,属性价值比,'5、系统属性规划'!$C$33:$O$33)</f>
        <v>7318.2112793846109</v>
      </c>
    </row>
    <row r="15" spans="1:23" x14ac:dyDescent="0.15">
      <c r="A15">
        <f t="shared" si="0"/>
        <v>34051.099488444102</v>
      </c>
      <c r="B15" s="1">
        <f>'4、人物躶体&amp;总属性表'!H16</f>
        <v>12</v>
      </c>
      <c r="C15" s="68">
        <f>'4、人物躶体&amp;总属性表'!I16</f>
        <v>88623.487211102605</v>
      </c>
      <c r="D15" s="68">
        <f>'4、人物躶体&amp;总属性表'!J16</f>
        <v>12188.880000000001</v>
      </c>
      <c r="E15" s="68">
        <f>'4、人物躶体&amp;总属性表'!K16</f>
        <v>5417.28</v>
      </c>
      <c r="F15" s="68">
        <f>'4、人物躶体&amp;总属性表'!L16</f>
        <v>7500</v>
      </c>
      <c r="G15" s="68">
        <f>'4、人物躶体&amp;总属性表'!M16</f>
        <v>7500</v>
      </c>
      <c r="H15" s="68">
        <f>'4、人物躶体&amp;总属性表'!N16</f>
        <v>7500</v>
      </c>
      <c r="I15" s="68">
        <f>'4、人物躶体&amp;总属性表'!O16*各种公式!$J$4</f>
        <v>7500</v>
      </c>
      <c r="J15" s="68">
        <f>'4、人物躶体&amp;总属性表'!P16</f>
        <v>7500</v>
      </c>
      <c r="K15" s="68">
        <f>'4、人物躶体&amp;总属性表'!Q16/各种公式!$M$6*各种公式!$J$6</f>
        <v>3000</v>
      </c>
      <c r="L15" s="68">
        <f>'4、人物躶体&amp;总属性表'!R16/各种公式!$M$6*各种公式!$J$6</f>
        <v>3000</v>
      </c>
      <c r="M15" s="68">
        <f>'4、人物躶体&amp;总属性表'!S16/各种公式!$M$8*各种公式!$J$8</f>
        <v>1500</v>
      </c>
      <c r="N15" s="68">
        <f>'4、人物躶体&amp;总属性表'!T16/各种公式!$M$9*各种公式!$J$9</f>
        <v>3000</v>
      </c>
      <c r="O15" s="68">
        <f>'4、人物躶体&amp;总属性表'!U16/各种公式!$M$10*各种公式!$J$10</f>
        <v>3000</v>
      </c>
      <c r="P15" s="1">
        <f t="shared" si="1"/>
        <v>3.4855966798745572</v>
      </c>
      <c r="Q15" s="1">
        <f t="shared" si="5"/>
        <v>2</v>
      </c>
      <c r="R15" s="1">
        <f t="shared" si="6"/>
        <v>2</v>
      </c>
      <c r="S15" s="1">
        <f t="shared" si="7"/>
        <v>1.7427983399372786</v>
      </c>
      <c r="T15" s="31">
        <f t="shared" si="2"/>
        <v>2.6251897325832173E-2</v>
      </c>
      <c r="U15" s="31">
        <f t="shared" si="3"/>
        <v>8.8709677419354913E-2</v>
      </c>
      <c r="V15" s="31">
        <f t="shared" si="4"/>
        <v>8.8709677419354899E-2</v>
      </c>
      <c r="W15">
        <f>SUMPRODUCT(C15:O15,属性价值比,'5、系统属性规划'!$C$33:$O$33)</f>
        <v>7797.3143590861037</v>
      </c>
    </row>
    <row r="16" spans="1:23" x14ac:dyDescent="0.15">
      <c r="A16">
        <f t="shared" si="0"/>
        <v>36229.700988302902</v>
      </c>
      <c r="B16" s="1">
        <f>'4、人物躶体&amp;总属性表'!H17</f>
        <v>13</v>
      </c>
      <c r="C16" s="68">
        <f>'4、人物躶体&amp;总属性表'!I17</f>
        <v>96206.524707572564</v>
      </c>
      <c r="D16" s="68">
        <f>'4、人物躶体&amp;总属性表'!J17</f>
        <v>12742.92</v>
      </c>
      <c r="E16" s="68">
        <f>'4、人物躶体&amp;总属性表'!K17</f>
        <v>5663.5199999999995</v>
      </c>
      <c r="F16" s="68">
        <f>'4、人物躶体&amp;总属性表'!L17</f>
        <v>8125</v>
      </c>
      <c r="G16" s="68">
        <f>'4、人物躶体&amp;总属性表'!M17</f>
        <v>8125</v>
      </c>
      <c r="H16" s="68">
        <f>'4、人物躶体&amp;总属性表'!N17</f>
        <v>8125</v>
      </c>
      <c r="I16" s="68">
        <f>'4、人物躶体&amp;总属性表'!O17*各种公式!$J$4</f>
        <v>8125</v>
      </c>
      <c r="J16" s="68">
        <f>'4、人物躶体&amp;总属性表'!P17</f>
        <v>8125</v>
      </c>
      <c r="K16" s="68">
        <f>'4、人物躶体&amp;总属性表'!Q17/各种公式!$M$6*各种公式!$J$6</f>
        <v>3250</v>
      </c>
      <c r="L16" s="68">
        <f>'4、人物躶体&amp;总属性表'!R17/各种公式!$M$6*各种公式!$J$6</f>
        <v>3250</v>
      </c>
      <c r="M16" s="68">
        <f>'4、人物躶体&amp;总属性表'!S17/各种公式!$M$8*各种公式!$J$8</f>
        <v>1625</v>
      </c>
      <c r="N16" s="68">
        <f>'4、人物躶体&amp;总属性表'!T17/各种公式!$M$9*各种公式!$J$9</f>
        <v>3250</v>
      </c>
      <c r="O16" s="68">
        <f>'4、人物躶体&amp;总属性表'!U17/各种公式!$M$10*各种公式!$J$10</f>
        <v>3250</v>
      </c>
      <c r="P16" s="1">
        <f t="shared" si="1"/>
        <v>3.7838405332009324</v>
      </c>
      <c r="Q16" s="1">
        <f t="shared" si="5"/>
        <v>2.0909090909090908</v>
      </c>
      <c r="R16" s="1">
        <f t="shared" si="6"/>
        <v>2.0909090909090908</v>
      </c>
      <c r="S16" s="1">
        <f t="shared" si="7"/>
        <v>1.8096628637047938</v>
      </c>
      <c r="T16" s="31">
        <f t="shared" si="2"/>
        <v>2.849813168243201E-2</v>
      </c>
      <c r="U16" s="31">
        <f t="shared" si="3"/>
        <v>9.2741935483871052E-2</v>
      </c>
      <c r="V16" s="31">
        <f t="shared" si="4"/>
        <v>9.2741935483871038E-2</v>
      </c>
      <c r="W16">
        <f>SUMPRODUCT(C16:O16,属性价值比,'5、系统属性规划'!$C$33:$O$33)</f>
        <v>8279.1625346291949</v>
      </c>
    </row>
    <row r="17" spans="1:23" x14ac:dyDescent="0.15">
      <c r="A17">
        <f t="shared" si="0"/>
        <v>38420.349407323949</v>
      </c>
      <c r="B17" s="1">
        <f>'4、人物躶体&amp;总属性表'!H18</f>
        <v>14</v>
      </c>
      <c r="C17" s="68">
        <f>'4、人物躶体&amp;总属性表'!I18</f>
        <v>104090.73518309872</v>
      </c>
      <c r="D17" s="68">
        <f>'4、人物躶体&amp;总属性表'!J18</f>
        <v>13296.960000000001</v>
      </c>
      <c r="E17" s="68">
        <f>'4、人物躶体&amp;总属性表'!K18</f>
        <v>5909.76</v>
      </c>
      <c r="F17" s="68">
        <f>'4、人物躶体&amp;总属性表'!L18</f>
        <v>8750</v>
      </c>
      <c r="G17" s="68">
        <f>'4、人物躶体&amp;总属性表'!M18</f>
        <v>8750</v>
      </c>
      <c r="H17" s="68">
        <f>'4、人物躶体&amp;总属性表'!N18</f>
        <v>8750</v>
      </c>
      <c r="I17" s="68">
        <f>'4、人物躶体&amp;总属性表'!O18*各种公式!$J$4</f>
        <v>8750</v>
      </c>
      <c r="J17" s="68">
        <f>'4、人物躶体&amp;总属性表'!P18</f>
        <v>8750</v>
      </c>
      <c r="K17" s="68">
        <f>'4、人物躶体&amp;总属性表'!Q18/各种公式!$M$6*各种公式!$J$6</f>
        <v>3500</v>
      </c>
      <c r="L17" s="68">
        <f>'4、人物躶体&amp;总属性表'!R18/各种公式!$M$6*各种公式!$J$6</f>
        <v>3500</v>
      </c>
      <c r="M17" s="68">
        <f>'4、人物躶体&amp;总属性表'!S18/各种公式!$M$8*各种公式!$J$8</f>
        <v>1749.9999999999995</v>
      </c>
      <c r="N17" s="68">
        <f>'4、人物躶体&amp;总属性表'!T18/各种公式!$M$9*各种公式!$J$9</f>
        <v>3499.9999999999991</v>
      </c>
      <c r="O17" s="68">
        <f>'4、人物躶体&amp;总属性表'!U18/各种公式!$M$10*各种公式!$J$10</f>
        <v>3500</v>
      </c>
      <c r="P17" s="1">
        <f t="shared" si="1"/>
        <v>4.0939296384904313</v>
      </c>
      <c r="Q17" s="1">
        <f t="shared" si="5"/>
        <v>2.1818181818181817</v>
      </c>
      <c r="R17" s="1">
        <f t="shared" si="6"/>
        <v>2.1818181818181821</v>
      </c>
      <c r="S17" s="1">
        <f t="shared" si="7"/>
        <v>1.8763844176414475</v>
      </c>
      <c r="T17" s="31">
        <f t="shared" si="2"/>
        <v>3.0833578982150014E-2</v>
      </c>
      <c r="U17" s="31">
        <f t="shared" si="3"/>
        <v>9.6774193548387177E-2</v>
      </c>
      <c r="V17" s="31">
        <f t="shared" si="4"/>
        <v>9.6774193548387177E-2</v>
      </c>
      <c r="W17">
        <f>SUMPRODUCT(C17:O17,属性价值比,'5、系统属性规划'!$C$33:$O$33)</f>
        <v>8763.7434706627755</v>
      </c>
    </row>
    <row r="18" spans="1:23" x14ac:dyDescent="0.15">
      <c r="A18">
        <f t="shared" si="0"/>
        <v>40622.987843140712</v>
      </c>
      <c r="B18" s="1">
        <f>'4、人物躶体&amp;总属性表'!H19</f>
        <v>15</v>
      </c>
      <c r="C18" s="68">
        <f>'4、人物躶体&amp;总属性表'!I19</f>
        <v>112274.69607851775</v>
      </c>
      <c r="D18" s="68">
        <f>'4、人物躶体&amp;总属性表'!J19</f>
        <v>13851</v>
      </c>
      <c r="E18" s="68">
        <f>'4、人物躶体&amp;总属性表'!K19</f>
        <v>6156</v>
      </c>
      <c r="F18" s="68">
        <f>'4、人物躶体&amp;总属性表'!L19</f>
        <v>9375</v>
      </c>
      <c r="G18" s="68">
        <f>'4、人物躶体&amp;总属性表'!M19</f>
        <v>9375</v>
      </c>
      <c r="H18" s="68">
        <f>'4、人物躶体&amp;总属性表'!N19</f>
        <v>9375</v>
      </c>
      <c r="I18" s="68">
        <f>'4、人物躶体&amp;总属性表'!O19*各种公式!$J$4</f>
        <v>9375</v>
      </c>
      <c r="J18" s="68">
        <f>'4、人物躶体&amp;总属性表'!P19</f>
        <v>9375</v>
      </c>
      <c r="K18" s="68">
        <f>'4、人物躶体&amp;总属性表'!Q19/各种公式!$M$6*各种公式!$J$6</f>
        <v>3750</v>
      </c>
      <c r="L18" s="68">
        <f>'4、人物躶体&amp;总属性表'!R19/各种公式!$M$6*各种公式!$J$6</f>
        <v>3750</v>
      </c>
      <c r="M18" s="68">
        <f>'4、人物躶体&amp;总属性表'!S19/各种公式!$M$8*各种公式!$J$8</f>
        <v>1875.0000000000002</v>
      </c>
      <c r="N18" s="68">
        <f>'4、人物躶体&amp;总属性表'!T19/各种公式!$M$9*各种公式!$J$9</f>
        <v>3750.0000000000005</v>
      </c>
      <c r="O18" s="68">
        <f>'4、人物躶体&amp;总属性表'!U19/各种公式!$M$10*各种公式!$J$10</f>
        <v>3750</v>
      </c>
      <c r="P18" s="1">
        <f t="shared" si="1"/>
        <v>4.4158080459305094</v>
      </c>
      <c r="Q18" s="1">
        <f t="shared" si="5"/>
        <v>2.2727272727272725</v>
      </c>
      <c r="R18" s="1">
        <f t="shared" si="6"/>
        <v>2.2727272727272729</v>
      </c>
      <c r="S18" s="1">
        <f t="shared" si="7"/>
        <v>1.9429555402094238</v>
      </c>
      <c r="T18" s="31">
        <f t="shared" si="2"/>
        <v>3.32578178369516E-2</v>
      </c>
      <c r="U18" s="31">
        <f t="shared" si="3"/>
        <v>0.1008064516129033</v>
      </c>
      <c r="V18" s="31">
        <f t="shared" si="4"/>
        <v>0.1008064516129033</v>
      </c>
      <c r="W18">
        <f>SUMPRODUCT(C18:O18,属性价值比,'5、系统属性规划'!$C$33:$O$33)</f>
        <v>9251.0442592776144</v>
      </c>
    </row>
    <row r="19" spans="1:23" x14ac:dyDescent="0.15">
      <c r="A19">
        <f t="shared" si="0"/>
        <v>42837.556925419965</v>
      </c>
      <c r="B19" s="1">
        <f>'4、人物躶体&amp;总属性表'!H20</f>
        <v>16</v>
      </c>
      <c r="C19" s="68">
        <f>'4、人物躶体&amp;总属性表'!I20</f>
        <v>120756.92313549915</v>
      </c>
      <c r="D19" s="68">
        <f>'4、人物躶体&amp;总属性表'!J20</f>
        <v>14405.039999999999</v>
      </c>
      <c r="E19" s="68">
        <f>'4、人物躶体&amp;总属性表'!K20</f>
        <v>6402.24</v>
      </c>
      <c r="F19" s="68">
        <f>'4、人物躶体&amp;总属性表'!L20</f>
        <v>10000</v>
      </c>
      <c r="G19" s="68">
        <f>'4、人物躶体&amp;总属性表'!M20</f>
        <v>10000</v>
      </c>
      <c r="H19" s="68">
        <f>'4、人物躶体&amp;总属性表'!N20</f>
        <v>10000</v>
      </c>
      <c r="I19" s="68">
        <f>'4、人物躶体&amp;总属性表'!O20*各种公式!$J$4</f>
        <v>10000</v>
      </c>
      <c r="J19" s="68">
        <f>'4、人物躶体&amp;总属性表'!P20</f>
        <v>10000</v>
      </c>
      <c r="K19" s="68">
        <f>'4、人物躶体&amp;总属性表'!Q20/各种公式!$M$6*各种公式!$J$6</f>
        <v>4000</v>
      </c>
      <c r="L19" s="68">
        <f>'4、人物躶体&amp;总属性表'!R20/各种公式!$M$6*各种公式!$J$6</f>
        <v>4000</v>
      </c>
      <c r="M19" s="68">
        <f>'4、人物躶体&amp;总属性表'!S20/各种公式!$M$8*各种公式!$J$8</f>
        <v>2000.0000000000005</v>
      </c>
      <c r="N19" s="68">
        <f>'4、人物躶体&amp;总属性表'!T20/各种公式!$M$9*各种公式!$J$9</f>
        <v>4000.0000000000009</v>
      </c>
      <c r="O19" s="68">
        <f>'4、人物躶体&amp;总属性表'!U20/各种公式!$M$10*各种公式!$J$10</f>
        <v>4000</v>
      </c>
      <c r="P19" s="1">
        <f t="shared" si="1"/>
        <v>4.7494173790560579</v>
      </c>
      <c r="Q19" s="1">
        <f t="shared" si="5"/>
        <v>2.3636363636363633</v>
      </c>
      <c r="R19" s="1">
        <f t="shared" si="6"/>
        <v>2.3636363636363638</v>
      </c>
      <c r="S19" s="1">
        <f t="shared" si="7"/>
        <v>2.0093688911391014</v>
      </c>
      <c r="T19" s="31">
        <f t="shared" si="2"/>
        <v>3.577040858238071E-2</v>
      </c>
      <c r="U19" s="31">
        <f t="shared" si="3"/>
        <v>0.10483870967741943</v>
      </c>
      <c r="V19" s="31">
        <f t="shared" si="4"/>
        <v>0.10483870967741944</v>
      </c>
      <c r="W19">
        <f>SUMPRODUCT(C19:O19,属性价值比,'5、系统属性规划'!$C$33:$O$33)</f>
        <v>9741.0514327232668</v>
      </c>
    </row>
    <row r="20" spans="1:23" x14ac:dyDescent="0.15">
      <c r="A20">
        <f t="shared" si="0"/>
        <v>45063.994871922157</v>
      </c>
      <c r="B20" s="1">
        <f>'4、人物躶体&amp;总属性表'!H21</f>
        <v>17</v>
      </c>
      <c r="C20" s="68">
        <f>'4、人物躶体&amp;总属性表'!I21</f>
        <v>129535.87179805394</v>
      </c>
      <c r="D20" s="68">
        <f>'4、人物躶体&amp;总属性表'!J21</f>
        <v>14959.08</v>
      </c>
      <c r="E20" s="68">
        <f>'4、人物躶体&amp;总属性表'!K21</f>
        <v>6648.4800000000005</v>
      </c>
      <c r="F20" s="68">
        <f>'4、人物躶体&amp;总属性表'!L21</f>
        <v>10625</v>
      </c>
      <c r="G20" s="68">
        <f>'4、人物躶体&amp;总属性表'!M21</f>
        <v>10625</v>
      </c>
      <c r="H20" s="68">
        <f>'4、人物躶体&amp;总属性表'!N21</f>
        <v>10625</v>
      </c>
      <c r="I20" s="68">
        <f>'4、人物躶体&amp;总属性表'!O21*各种公式!$J$4</f>
        <v>10625</v>
      </c>
      <c r="J20" s="68">
        <f>'4、人物躶体&amp;总属性表'!P21</f>
        <v>10625</v>
      </c>
      <c r="K20" s="68">
        <f>'4、人物躶体&amp;总属性表'!Q21/各种公式!$M$6*各种公式!$J$6</f>
        <v>4250</v>
      </c>
      <c r="L20" s="68">
        <f>'4、人物躶体&amp;总属性表'!R21/各种公式!$M$6*各种公式!$J$6</f>
        <v>4250</v>
      </c>
      <c r="M20" s="68">
        <f>'4、人物躶体&amp;总属性表'!S21/各种公式!$M$8*各种公式!$J$8</f>
        <v>2125</v>
      </c>
      <c r="N20" s="68">
        <f>'4、人物躶体&amp;总属性表'!T21/各种公式!$M$9*各种公式!$J$9</f>
        <v>4250</v>
      </c>
      <c r="O20" s="68">
        <f>'4、人物躶体&amp;总属性表'!U21/各种公式!$M$10*各种公式!$J$10</f>
        <v>4250</v>
      </c>
      <c r="P20" s="1">
        <f t="shared" si="1"/>
        <v>5.0946968898712974</v>
      </c>
      <c r="Q20" s="1">
        <f t="shared" si="5"/>
        <v>2.4545454545454541</v>
      </c>
      <c r="R20" s="1">
        <f t="shared" si="6"/>
        <v>2.454545454545455</v>
      </c>
      <c r="S20" s="1">
        <f t="shared" si="7"/>
        <v>2.0756172514290467</v>
      </c>
      <c r="T20" s="31">
        <f t="shared" si="2"/>
        <v>3.8370893692712363E-2</v>
      </c>
      <c r="U20" s="31">
        <f t="shared" si="3"/>
        <v>0.10887096774193557</v>
      </c>
      <c r="V20" s="31">
        <f t="shared" si="4"/>
        <v>0.10887096774193558</v>
      </c>
      <c r="W20">
        <f>SUMPRODUCT(C20:O20,属性价值比,'5、系统属性规划'!$C$33:$O$33)</f>
        <v>10233.750976124971</v>
      </c>
    </row>
    <row r="21" spans="1:23" x14ac:dyDescent="0.15">
      <c r="A21">
        <f t="shared" si="0"/>
        <v>47302.237544561773</v>
      </c>
      <c r="B21" s="1">
        <f>'4、人物躶体&amp;总属性表'!H22</f>
        <v>18</v>
      </c>
      <c r="C21" s="68">
        <f>'4、人物躶体&amp;总属性表'!I22</f>
        <v>138609.93861404416</v>
      </c>
      <c r="D21" s="68">
        <f>'4、人物躶体&amp;总属性表'!J22</f>
        <v>15513.120000000004</v>
      </c>
      <c r="E21" s="68">
        <f>'4、人物躶体&amp;总属性表'!K22</f>
        <v>6894.720000000003</v>
      </c>
      <c r="F21" s="68">
        <f>'4、人物躶体&amp;总属性表'!L22</f>
        <v>11250</v>
      </c>
      <c r="G21" s="68">
        <f>'4、人物躶体&amp;总属性表'!M22</f>
        <v>11250</v>
      </c>
      <c r="H21" s="68">
        <f>'4、人物躶体&amp;总属性表'!N22</f>
        <v>11250</v>
      </c>
      <c r="I21" s="68">
        <f>'4、人物躶体&amp;总属性表'!O22*各种公式!$J$4</f>
        <v>11250</v>
      </c>
      <c r="J21" s="68">
        <f>'4、人物躶体&amp;总属性表'!P22</f>
        <v>11250</v>
      </c>
      <c r="K21" s="68">
        <f>'4、人物躶体&amp;总属性表'!Q22/各种公式!$M$6*各种公式!$J$6</f>
        <v>4500.0000000000009</v>
      </c>
      <c r="L21" s="68">
        <f>'4、人物躶体&amp;总属性表'!R22/各种公式!$M$6*各种公式!$J$6</f>
        <v>4500.0000000000009</v>
      </c>
      <c r="M21" s="68">
        <f>'4、人物躶体&amp;总属性表'!S22/各种公式!$M$8*各种公式!$J$8</f>
        <v>2250</v>
      </c>
      <c r="N21" s="68">
        <f>'4、人物躶体&amp;总属性表'!T22/各种公式!$M$9*各种公式!$J$9</f>
        <v>4500</v>
      </c>
      <c r="O21" s="68">
        <f>'4、人物躶体&amp;总属性表'!U22/各种公式!$M$10*各种公式!$J$10</f>
        <v>4500.0000000000009</v>
      </c>
      <c r="P21" s="1">
        <f t="shared" si="1"/>
        <v>5.4515835139716975</v>
      </c>
      <c r="Q21" s="1">
        <f t="shared" si="5"/>
        <v>2.5454545454545459</v>
      </c>
      <c r="R21" s="1">
        <f t="shared" si="6"/>
        <v>2.5454545454545467</v>
      </c>
      <c r="S21" s="1">
        <f t="shared" si="7"/>
        <v>2.141693523346023</v>
      </c>
      <c r="T21" s="31">
        <f t="shared" si="2"/>
        <v>4.1058798196105376E-2</v>
      </c>
      <c r="U21" s="31">
        <f t="shared" si="3"/>
        <v>0.11290322580645173</v>
      </c>
      <c r="V21" s="31">
        <f t="shared" si="4"/>
        <v>0.11290322580645175</v>
      </c>
      <c r="W21">
        <f>SUMPRODUCT(C21:O21,属性价值比,'5、系统属性规划'!$C$33:$O$33)</f>
        <v>10729.128340200572</v>
      </c>
    </row>
    <row r="22" spans="1:23" x14ac:dyDescent="0.15">
      <c r="A22">
        <f t="shared" si="0"/>
        <v>49552.218505467667</v>
      </c>
      <c r="B22" s="1">
        <f>'4、人物躶体&amp;总属性表'!H23</f>
        <v>19</v>
      </c>
      <c r="C22" s="68">
        <f>'4、人物躶体&amp;总属性表'!I23</f>
        <v>147977.46263669149</v>
      </c>
      <c r="D22" s="68">
        <f>'4、人物躶体&amp;总属性表'!J23</f>
        <v>16067.160000000003</v>
      </c>
      <c r="E22" s="68">
        <f>'4、人物躶体&amp;总属性表'!K23</f>
        <v>7140.9600000000019</v>
      </c>
      <c r="F22" s="68">
        <f>'4、人物躶体&amp;总属性表'!L23</f>
        <v>11875</v>
      </c>
      <c r="G22" s="68">
        <f>'4、人物躶体&amp;总属性表'!M23</f>
        <v>11875</v>
      </c>
      <c r="H22" s="68">
        <f>'4、人物躶体&amp;总属性表'!N23</f>
        <v>11875</v>
      </c>
      <c r="I22" s="68">
        <f>'4、人物躶体&amp;总属性表'!O23*各种公式!$J$4</f>
        <v>11875</v>
      </c>
      <c r="J22" s="68">
        <f>'4、人物躶体&amp;总属性表'!P23</f>
        <v>11875</v>
      </c>
      <c r="K22" s="68">
        <f>'4、人物躶体&amp;总属性表'!Q23/各种公式!$M$6*各种公式!$J$6</f>
        <v>4750</v>
      </c>
      <c r="L22" s="68">
        <f>'4、人物躶体&amp;总属性表'!R23/各种公式!$M$6*各种公式!$J$6</f>
        <v>4750</v>
      </c>
      <c r="M22" s="68">
        <f>'4、人物躶体&amp;总属性表'!S23/各种公式!$M$8*各种公式!$J$8</f>
        <v>2375</v>
      </c>
      <c r="N22" s="68">
        <f>'4、人物躶体&amp;总属性表'!T23/各种公式!$M$9*各种公式!$J$9</f>
        <v>4750</v>
      </c>
      <c r="O22" s="68">
        <f>'4、人物躶体&amp;总属性表'!U23/各种公式!$M$10*各种公式!$J$10</f>
        <v>4750</v>
      </c>
      <c r="P22" s="1">
        <f t="shared" si="1"/>
        <v>5.8200119256658631</v>
      </c>
      <c r="Q22" s="1">
        <f t="shared" si="5"/>
        <v>2.6363636363636367</v>
      </c>
      <c r="R22" s="1">
        <f t="shared" si="6"/>
        <v>2.6363636363636371</v>
      </c>
      <c r="S22" s="1">
        <f t="shared" si="7"/>
        <v>2.207590730424982</v>
      </c>
      <c r="T22" s="31">
        <f t="shared" si="2"/>
        <v>4.3833630089754855E-2</v>
      </c>
      <c r="U22" s="31">
        <f t="shared" si="3"/>
        <v>0.11693548387096786</v>
      </c>
      <c r="V22" s="31">
        <f t="shared" si="4"/>
        <v>0.11693548387096786</v>
      </c>
      <c r="W22">
        <f>SUMPRODUCT(C22:O22,属性价值比,'5、系统属性规划'!$C$33:$O$33)</f>
        <v>11227.168453977409</v>
      </c>
    </row>
    <row r="23" spans="1:23" x14ac:dyDescent="0.15">
      <c r="A23">
        <f t="shared" si="0"/>
        <v>51813.869073043476</v>
      </c>
      <c r="B23" s="1">
        <f>'4、人物躶体&amp;总属性表'!H24</f>
        <v>20</v>
      </c>
      <c r="C23" s="68">
        <f>'4、人物躶体&amp;总属性表'!I24</f>
        <v>157636.72682608696</v>
      </c>
      <c r="D23" s="68">
        <f>'4、人物躶体&amp;总属性表'!J24</f>
        <v>16621.2</v>
      </c>
      <c r="E23" s="68">
        <f>'4、人物躶体&amp;总属性表'!K24</f>
        <v>7387.2000000000007</v>
      </c>
      <c r="F23" s="68">
        <f>'4、人物躶体&amp;总属性表'!L24</f>
        <v>12500</v>
      </c>
      <c r="G23" s="68">
        <f>'4、人物躶体&amp;总属性表'!M24</f>
        <v>12500</v>
      </c>
      <c r="H23" s="68">
        <f>'4、人物躶体&amp;总属性表'!N24</f>
        <v>12500</v>
      </c>
      <c r="I23" s="68">
        <f>'4、人物躶体&amp;总属性表'!O24*各种公式!$J$4</f>
        <v>12500</v>
      </c>
      <c r="J23" s="68">
        <f>'4、人物躶体&amp;总属性表'!P24</f>
        <v>12500</v>
      </c>
      <c r="K23" s="68">
        <f>'4、人物躶体&amp;总属性表'!Q24/各种公式!$M$6*各种公式!$J$6</f>
        <v>5000</v>
      </c>
      <c r="L23" s="68">
        <f>'4、人物躶体&amp;总属性表'!R24/各种公式!$M$6*各种公式!$J$6</f>
        <v>5000</v>
      </c>
      <c r="M23" s="68">
        <f>'4、人物躶体&amp;总属性表'!S24/各种公式!$M$8*各种公式!$J$8</f>
        <v>2500</v>
      </c>
      <c r="N23" s="68">
        <f>'4、人物躶体&amp;总属性表'!T24/各种公式!$M$9*各种公式!$J$9</f>
        <v>5000</v>
      </c>
      <c r="O23" s="68">
        <f>'4、人物躶体&amp;总属性表'!U24/各种公式!$M$10*各种公式!$J$10</f>
        <v>5000</v>
      </c>
      <c r="P23" s="1">
        <f t="shared" si="1"/>
        <v>6.1999145930974615</v>
      </c>
      <c r="Q23" s="1">
        <f t="shared" si="5"/>
        <v>2.7272727272727271</v>
      </c>
      <c r="R23" s="1">
        <f t="shared" si="6"/>
        <v>2.7272727272727275</v>
      </c>
      <c r="S23" s="1">
        <f t="shared" si="7"/>
        <v>2.273302017469069</v>
      </c>
      <c r="T23" s="31">
        <f t="shared" si="2"/>
        <v>4.6694880755044972E-2</v>
      </c>
      <c r="U23" s="31">
        <f t="shared" si="3"/>
        <v>0.12096774193548397</v>
      </c>
      <c r="V23" s="31">
        <f t="shared" si="4"/>
        <v>0.12096774193548397</v>
      </c>
      <c r="W23">
        <f>SUMPRODUCT(C23:O23,属性价值比,'5、系统属性规划'!$C$33:$O$33)</f>
        <v>11727.855737509235</v>
      </c>
    </row>
    <row r="24" spans="1:23" x14ac:dyDescent="0.15">
      <c r="A24">
        <f t="shared" si="0"/>
        <v>54087.118378027983</v>
      </c>
      <c r="B24" s="1">
        <f>'4、人物躶体&amp;总属性表'!H25</f>
        <v>21</v>
      </c>
      <c r="C24" s="68">
        <f>'4、人物躶体&amp;总属性表'!I25</f>
        <v>167585.95945069948</v>
      </c>
      <c r="D24" s="68">
        <f>'4、人物躶体&amp;总属性表'!J25</f>
        <v>17175.240000000002</v>
      </c>
      <c r="E24" s="68">
        <f>'4、人物躶体&amp;总属性表'!K25</f>
        <v>7633.4400000000014</v>
      </c>
      <c r="F24" s="68">
        <f>'4、人物躶体&amp;总属性表'!L25</f>
        <v>13125</v>
      </c>
      <c r="G24" s="68">
        <f>'4、人物躶体&amp;总属性表'!M25</f>
        <v>13125</v>
      </c>
      <c r="H24" s="68">
        <f>'4、人物躶体&amp;总属性表'!N25</f>
        <v>13125</v>
      </c>
      <c r="I24" s="68">
        <f>'4、人物躶体&amp;总属性表'!O25*各种公式!$J$4</f>
        <v>13125</v>
      </c>
      <c r="J24" s="68">
        <f>'4、人物躶体&amp;总属性表'!P25</f>
        <v>13125</v>
      </c>
      <c r="K24" s="68">
        <f>'4、人物躶体&amp;总属性表'!Q25/各种公式!$M$6*各种公式!$J$6</f>
        <v>5250</v>
      </c>
      <c r="L24" s="68">
        <f>'4、人物躶体&amp;总属性表'!R25/各种公式!$M$6*各种公式!$J$6</f>
        <v>5250</v>
      </c>
      <c r="M24" s="68">
        <f>'4、人物躶体&amp;总属性表'!S25/各种公式!$M$8*各种公式!$J$8</f>
        <v>2625</v>
      </c>
      <c r="N24" s="68">
        <f>'4、人物躶体&amp;总属性表'!T25/各种公式!$M$9*各种公式!$J$9</f>
        <v>5250</v>
      </c>
      <c r="O24" s="68">
        <f>'4、人物躶体&amp;总属性表'!U25/各种公式!$M$10*各种公式!$J$10</f>
        <v>5250</v>
      </c>
      <c r="P24" s="1">
        <f t="shared" si="1"/>
        <v>6.5912218333671095</v>
      </c>
      <c r="Q24" s="1">
        <f t="shared" si="5"/>
        <v>2.8181818181818183</v>
      </c>
      <c r="R24" s="1">
        <f t="shared" si="6"/>
        <v>2.8181818181818188</v>
      </c>
      <c r="S24" s="1">
        <f t="shared" si="7"/>
        <v>2.3388206505496192</v>
      </c>
      <c r="T24" s="31">
        <f t="shared" si="2"/>
        <v>4.9642025372701432E-2</v>
      </c>
      <c r="U24" s="31">
        <f t="shared" si="3"/>
        <v>0.12500000000000011</v>
      </c>
      <c r="V24" s="31">
        <f t="shared" si="4"/>
        <v>0.12500000000000011</v>
      </c>
      <c r="W24">
        <f>SUMPRODUCT(C24:O24,属性价值比,'5、系统属性规划'!$C$33:$O$33)</f>
        <v>12231.174114593128</v>
      </c>
    </row>
    <row r="25" spans="1:23" x14ac:dyDescent="0.15">
      <c r="A25">
        <f t="shared" si="0"/>
        <v>56371.89341955541</v>
      </c>
      <c r="B25" s="1">
        <f>'4、人物躶体&amp;总属性表'!H26</f>
        <v>22</v>
      </c>
      <c r="C25" s="68">
        <f>'4、人物躶体&amp;总属性表'!I26</f>
        <v>177823.33548888523</v>
      </c>
      <c r="D25" s="68">
        <f>'4、人物躶体&amp;总属性表'!J26</f>
        <v>17729.280000000002</v>
      </c>
      <c r="E25" s="68">
        <f>'4、人物躶体&amp;总属性表'!K26</f>
        <v>7879.68</v>
      </c>
      <c r="F25" s="68">
        <f>'4、人物躶体&amp;总属性表'!L26</f>
        <v>13750</v>
      </c>
      <c r="G25" s="68">
        <f>'4、人物躶体&amp;总属性表'!M26</f>
        <v>13750</v>
      </c>
      <c r="H25" s="68">
        <f>'4、人物躶体&amp;总属性表'!N26</f>
        <v>13750</v>
      </c>
      <c r="I25" s="68">
        <f>'4、人物躶体&amp;总属性表'!O26*各种公式!$J$4</f>
        <v>13750.000000000002</v>
      </c>
      <c r="J25" s="68">
        <f>'4、人物躶体&amp;总属性表'!P26</f>
        <v>13750</v>
      </c>
      <c r="K25" s="68">
        <f>'4、人物躶体&amp;总属性表'!Q26/各种公式!$M$6*各种公式!$J$6</f>
        <v>5500</v>
      </c>
      <c r="L25" s="68">
        <f>'4、人物躶体&amp;总属性表'!R26/各种公式!$M$6*各种公式!$J$6</f>
        <v>5500</v>
      </c>
      <c r="M25" s="68">
        <f>'4、人物躶体&amp;总属性表'!S26/各种公式!$M$8*各种公式!$J$8</f>
        <v>2750</v>
      </c>
      <c r="N25" s="68">
        <f>'4、人物躶体&amp;总属性表'!T26/各种公式!$M$9*各种公式!$J$9</f>
        <v>5500</v>
      </c>
      <c r="O25" s="68">
        <f>'4、人物躶体&amp;总属性表'!U26/各种公式!$M$10*各种公式!$J$10</f>
        <v>5500</v>
      </c>
      <c r="P25" s="1">
        <f t="shared" si="1"/>
        <v>6.9938618676542879</v>
      </c>
      <c r="Q25" s="1">
        <f t="shared" si="5"/>
        <v>2.9090909090909092</v>
      </c>
      <c r="R25" s="1">
        <f t="shared" si="6"/>
        <v>2.9090909090909092</v>
      </c>
      <c r="S25" s="1">
        <f t="shared" si="7"/>
        <v>2.4041400170061613</v>
      </c>
      <c r="T25" s="31">
        <f t="shared" si="2"/>
        <v>5.2674523337944208E-2</v>
      </c>
      <c r="U25" s="31">
        <f t="shared" si="3"/>
        <v>0.12903225806451624</v>
      </c>
      <c r="V25" s="31">
        <f t="shared" si="4"/>
        <v>0.12903225806451624</v>
      </c>
      <c r="W25">
        <f>SUMPRODUCT(C25:O25,属性价值比,'5、系统属性规划'!$C$33:$O$33)</f>
        <v>12737.107025486381</v>
      </c>
    </row>
    <row r="26" spans="1:23" x14ac:dyDescent="0.15">
      <c r="A26">
        <f t="shared" si="0"/>
        <v>58666.701341619351</v>
      </c>
      <c r="B26" s="1">
        <f>'4、人物躶体&amp;总属性表'!H27</f>
        <v>23</v>
      </c>
      <c r="C26" s="68">
        <f>'4、人物躶体&amp;总属性表'!I27</f>
        <v>188311.53354048342</v>
      </c>
      <c r="D26" s="68">
        <f>'4、人物躶体&amp;总属性表'!J27</f>
        <v>18283.320000000007</v>
      </c>
      <c r="E26" s="68">
        <f>'4、人物躶体&amp;总属性表'!K27</f>
        <v>8125.9200000000028</v>
      </c>
      <c r="F26" s="68">
        <f>'4、人物躶体&amp;总属性表'!L27</f>
        <v>14375</v>
      </c>
      <c r="G26" s="68">
        <f>'4、人物躶体&amp;总属性表'!M27</f>
        <v>14375</v>
      </c>
      <c r="H26" s="68">
        <f>'4、人物躶体&amp;总属性表'!N27</f>
        <v>14375</v>
      </c>
      <c r="I26" s="68">
        <f>'4、人物躶体&amp;总属性表'!O27*各种公式!$J$4</f>
        <v>14374.999999999998</v>
      </c>
      <c r="J26" s="68">
        <f>'4、人物躶体&amp;总属性表'!P27</f>
        <v>14375</v>
      </c>
      <c r="K26" s="68">
        <f>'4、人物躶体&amp;总属性表'!Q27/各种公式!$M$6*各种公式!$J$6</f>
        <v>5750</v>
      </c>
      <c r="L26" s="68">
        <f>'4、人物躶体&amp;总属性表'!R27/各种公式!$M$6*各种公式!$J$6</f>
        <v>5750</v>
      </c>
      <c r="M26" s="68">
        <f>'4、人物躶体&amp;总属性表'!S27/各种公式!$M$8*各种公式!$J$8</f>
        <v>2875</v>
      </c>
      <c r="N26" s="68">
        <f>'4、人物躶体&amp;总属性表'!T27/各种公式!$M$9*各种公式!$J$9</f>
        <v>5750</v>
      </c>
      <c r="O26" s="68">
        <f>'4、人物躶体&amp;总属性表'!U27/各种公式!$M$10*各种公式!$J$10</f>
        <v>5750</v>
      </c>
      <c r="P26" s="1">
        <f t="shared" si="1"/>
        <v>7.4063668305817396</v>
      </c>
      <c r="Q26" s="1">
        <f t="shared" si="5"/>
        <v>3.0000000000000009</v>
      </c>
      <c r="R26" s="1">
        <f t="shared" si="6"/>
        <v>3.0000000000000013</v>
      </c>
      <c r="S26" s="1">
        <f t="shared" si="7"/>
        <v>2.4687889435272456</v>
      </c>
      <c r="T26" s="31">
        <f t="shared" si="2"/>
        <v>5.5781319369651867E-2</v>
      </c>
      <c r="U26" s="31">
        <f t="shared" si="3"/>
        <v>0.13306451612903242</v>
      </c>
      <c r="V26" s="31">
        <f t="shared" si="4"/>
        <v>0.13306451612903242</v>
      </c>
      <c r="W26">
        <f>SUMPRODUCT(C26:O26,属性价值比,'5、系统属性规划'!$C$33:$O$33)</f>
        <v>13245.315826104359</v>
      </c>
    </row>
    <row r="27" spans="1:23" x14ac:dyDescent="0.15">
      <c r="A27">
        <f t="shared" si="0"/>
        <v>60972.597741995698</v>
      </c>
      <c r="B27" s="1">
        <f>'4、人物躶体&amp;总属性表'!H28</f>
        <v>24</v>
      </c>
      <c r="C27" s="68">
        <f>'4、人物躶体&amp;总属性表'!I28</f>
        <v>199076.94354989222</v>
      </c>
      <c r="D27" s="68">
        <f>'4、人物躶体&amp;总属性表'!J28</f>
        <v>18837.360000000004</v>
      </c>
      <c r="E27" s="68">
        <f>'4、人物躶体&amp;总属性表'!K28</f>
        <v>8372.1600000000017</v>
      </c>
      <c r="F27" s="68">
        <f>'4、人物躶体&amp;总属性表'!L28</f>
        <v>15000</v>
      </c>
      <c r="G27" s="68">
        <f>'4、人物躶体&amp;总属性表'!M28</f>
        <v>15000</v>
      </c>
      <c r="H27" s="68">
        <f>'4、人物躶体&amp;总属性表'!N28</f>
        <v>15000</v>
      </c>
      <c r="I27" s="68">
        <f>'4、人物躶体&amp;总属性表'!O28*各种公式!$J$4</f>
        <v>15000</v>
      </c>
      <c r="J27" s="68">
        <f>'4、人物躶体&amp;总属性表'!P28</f>
        <v>15000</v>
      </c>
      <c r="K27" s="68">
        <f>'4、人物躶体&amp;总属性表'!Q28/各种公式!$M$6*各种公式!$J$6</f>
        <v>6000</v>
      </c>
      <c r="L27" s="68">
        <f>'4、人物躶体&amp;总属性表'!R28/各种公式!$M$6*各种公式!$J$6</f>
        <v>6000</v>
      </c>
      <c r="M27" s="68">
        <f>'4、人物躶体&amp;总属性表'!S28/各种公式!$M$8*各种公式!$J$8</f>
        <v>3000</v>
      </c>
      <c r="N27" s="68">
        <f>'4、人物躶体&amp;总属性表'!T28/各种公式!$M$9*各种公式!$J$9</f>
        <v>6000</v>
      </c>
      <c r="O27" s="68">
        <f>'4、人物躶体&amp;总属性表'!U28/各种公式!$M$10*各种公式!$J$10</f>
        <v>6000</v>
      </c>
      <c r="P27" s="1">
        <f t="shared" si="1"/>
        <v>7.8297746490633253</v>
      </c>
      <c r="Q27" s="1">
        <f t="shared" si="5"/>
        <v>3.0909090909090913</v>
      </c>
      <c r="R27" s="1">
        <f t="shared" si="6"/>
        <v>3.0909090909090917</v>
      </c>
      <c r="S27" s="1">
        <f t="shared" si="7"/>
        <v>2.5331623864616635</v>
      </c>
      <c r="T27" s="31">
        <f t="shared" si="2"/>
        <v>5.897023065187549E-2</v>
      </c>
      <c r="U27" s="31">
        <f t="shared" si="3"/>
        <v>0.13709677419354852</v>
      </c>
      <c r="V27" s="31">
        <f t="shared" si="4"/>
        <v>0.13709677419354852</v>
      </c>
      <c r="W27">
        <f>SUMPRODUCT(C27:O27,属性价值比,'5、系统属性规划'!$C$33:$O$33)</f>
        <v>13756.039971519105</v>
      </c>
    </row>
    <row r="28" spans="1:23" x14ac:dyDescent="0.15">
      <c r="A28">
        <f t="shared" si="0"/>
        <v>63289.477632697381</v>
      </c>
      <c r="B28" s="1">
        <f>'4、人物躶体&amp;总属性表'!H29</f>
        <v>25</v>
      </c>
      <c r="C28" s="68">
        <f>'4、人物躶体&amp;总属性表'!I29</f>
        <v>210116.94081743428</v>
      </c>
      <c r="D28" s="68">
        <f>'4、人物躶体&amp;总属性表'!J29</f>
        <v>19391.400000000009</v>
      </c>
      <c r="E28" s="68">
        <f>'4、人物躶体&amp;总属性表'!K29</f>
        <v>8618.4000000000033</v>
      </c>
      <c r="F28" s="68">
        <f>'4、人物躶体&amp;总属性表'!L29</f>
        <v>15625</v>
      </c>
      <c r="G28" s="68">
        <f>'4、人物躶体&amp;总属性表'!M29</f>
        <v>15625</v>
      </c>
      <c r="H28" s="68">
        <f>'4、人物躶体&amp;总属性表'!N29</f>
        <v>15625</v>
      </c>
      <c r="I28" s="68">
        <f>'4、人物躶体&amp;总属性表'!O29*各种公式!$J$4</f>
        <v>15625</v>
      </c>
      <c r="J28" s="68">
        <f>'4、人物躶体&amp;总属性表'!P29</f>
        <v>15625</v>
      </c>
      <c r="K28" s="68">
        <f>'4、人物躶体&amp;总属性表'!Q29/各种公式!$M$6*各种公式!$J$6</f>
        <v>6250</v>
      </c>
      <c r="L28" s="68">
        <f>'4、人物躶体&amp;总属性表'!R29/各种公式!$M$6*各种公式!$J$6</f>
        <v>6250</v>
      </c>
      <c r="M28" s="68">
        <f>'4、人物躶体&amp;总属性表'!S29/各种公式!$M$8*各种公式!$J$8</f>
        <v>3125</v>
      </c>
      <c r="N28" s="68">
        <f>'4、人物躶体&amp;总属性表'!T29/各种公式!$M$9*各种公式!$J$9</f>
        <v>6250</v>
      </c>
      <c r="O28" s="68">
        <f>'4、人物躶体&amp;总属性表'!U29/各种公式!$M$10*各种公式!$J$10</f>
        <v>6250</v>
      </c>
      <c r="P28" s="1">
        <f t="shared" si="1"/>
        <v>8.2639820926262999</v>
      </c>
      <c r="Q28" s="1">
        <f t="shared" si="5"/>
        <v>3.181818181818183</v>
      </c>
      <c r="R28" s="1">
        <f t="shared" si="6"/>
        <v>3.181818181818183</v>
      </c>
      <c r="S28" s="1">
        <f t="shared" si="7"/>
        <v>2.5972515148254076</v>
      </c>
      <c r="T28" s="31">
        <f t="shared" si="2"/>
        <v>6.224047970057997E-2</v>
      </c>
      <c r="U28" s="31">
        <f t="shared" si="3"/>
        <v>0.1411290322580647</v>
      </c>
      <c r="V28" s="31">
        <f t="shared" si="4"/>
        <v>0.14112903225806467</v>
      </c>
      <c r="W28">
        <f>SUMPRODUCT(C28:O28,属性价值比,'5、系统属性规划'!$C$33:$O$33)</f>
        <v>14269.255645930149</v>
      </c>
    </row>
    <row r="29" spans="1:23" x14ac:dyDescent="0.15">
      <c r="A29">
        <f t="shared" si="0"/>
        <v>65615.67619654561</v>
      </c>
      <c r="B29" s="1">
        <f>'4、人物躶体&amp;总属性表'!H30</f>
        <v>26</v>
      </c>
      <c r="C29" s="68">
        <f>'4、人物躶体&amp;总属性表'!I30</f>
        <v>221389.90491364009</v>
      </c>
      <c r="D29" s="68">
        <f>'4、人物躶体&amp;总属性表'!J30</f>
        <v>19945.440000000006</v>
      </c>
      <c r="E29" s="68">
        <f>'4、人物躶体&amp;总属性表'!K30</f>
        <v>8864.6400000000031</v>
      </c>
      <c r="F29" s="68">
        <f>'4、人物躶体&amp;总属性表'!L30</f>
        <v>16250</v>
      </c>
      <c r="G29" s="68">
        <f>'4、人物躶体&amp;总属性表'!M30</f>
        <v>16250</v>
      </c>
      <c r="H29" s="68">
        <f>'4、人物躶体&amp;总属性表'!N30</f>
        <v>16250</v>
      </c>
      <c r="I29" s="68">
        <f>'4、人物躶体&amp;总属性表'!O30*各种公式!$J$4</f>
        <v>16250</v>
      </c>
      <c r="J29" s="68">
        <f>'4、人物躶体&amp;总属性表'!P30</f>
        <v>16250</v>
      </c>
      <c r="K29" s="68">
        <f>'4、人物躶体&amp;总属性表'!Q30/各种公式!$M$6*各种公式!$J$6</f>
        <v>6500</v>
      </c>
      <c r="L29" s="68">
        <f>'4、人物躶体&amp;总属性表'!R30/各种公式!$M$6*各种公式!$J$6</f>
        <v>6500</v>
      </c>
      <c r="M29" s="68">
        <f>'4、人物躶体&amp;总属性表'!S30/各种公式!$M$8*各种公式!$J$8</f>
        <v>3250</v>
      </c>
      <c r="N29" s="68">
        <f>'4、人物躶体&amp;总属性表'!T30/各种公式!$M$9*各种公式!$J$9</f>
        <v>6500</v>
      </c>
      <c r="O29" s="68">
        <f>'4、人物躶体&amp;总属性表'!U30/各种公式!$M$10*各种公式!$J$10</f>
        <v>6500</v>
      </c>
      <c r="P29" s="1">
        <f t="shared" si="1"/>
        <v>8.7073522133763834</v>
      </c>
      <c r="Q29" s="1">
        <f t="shared" si="5"/>
        <v>3.2727272727272734</v>
      </c>
      <c r="R29" s="1">
        <f t="shared" si="6"/>
        <v>3.2727272727272738</v>
      </c>
      <c r="S29" s="1">
        <f t="shared" si="7"/>
        <v>2.6605798429761163</v>
      </c>
      <c r="T29" s="31">
        <f t="shared" si="2"/>
        <v>6.5579737783558148E-2</v>
      </c>
      <c r="U29" s="31">
        <f t="shared" si="3"/>
        <v>0.14516129032258079</v>
      </c>
      <c r="V29" s="31">
        <f t="shared" si="4"/>
        <v>0.14516129032258079</v>
      </c>
      <c r="W29">
        <f>SUMPRODUCT(C29:O29,属性价值比,'5、系统属性规划'!$C$33:$O$33)</f>
        <v>14784.5851970474</v>
      </c>
    </row>
    <row r="30" spans="1:23" x14ac:dyDescent="0.15">
      <c r="A30">
        <f t="shared" si="0"/>
        <v>67952.358891505457</v>
      </c>
      <c r="B30" s="1">
        <f>'4、人物躶体&amp;总属性表'!H31</f>
        <v>27</v>
      </c>
      <c r="C30" s="68">
        <f>'4、人物躶体&amp;总属性表'!I31</f>
        <v>232924.97228763651</v>
      </c>
      <c r="D30" s="68">
        <f>'4、人物躶体&amp;总属性表'!J31</f>
        <v>20499.480000000003</v>
      </c>
      <c r="E30" s="68">
        <f>'4、人物躶体&amp;总属性表'!K31</f>
        <v>9110.8800000000028</v>
      </c>
      <c r="F30" s="68">
        <f>'4、人物躶体&amp;总属性表'!L31</f>
        <v>16875</v>
      </c>
      <c r="G30" s="68">
        <f>'4、人物躶体&amp;总属性表'!M31</f>
        <v>16875</v>
      </c>
      <c r="H30" s="68">
        <f>'4、人物躶体&amp;总属性表'!N31</f>
        <v>16875</v>
      </c>
      <c r="I30" s="68">
        <f>'4、人物躶体&amp;总属性表'!O31*各种公式!$J$4</f>
        <v>16875</v>
      </c>
      <c r="J30" s="68">
        <f>'4、人物躶体&amp;总属性表'!P31</f>
        <v>16875</v>
      </c>
      <c r="K30" s="68">
        <f>'4、人物躶体&amp;总属性表'!Q31/各种公式!$M$6*各种公式!$J$6</f>
        <v>6750</v>
      </c>
      <c r="L30" s="68">
        <f>'4、人物躶体&amp;总属性表'!R31/各种公式!$M$6*各种公式!$J$6</f>
        <v>6750</v>
      </c>
      <c r="M30" s="68">
        <f>'4、人物躶体&amp;总属性表'!S31/各种公式!$M$8*各种公式!$J$8</f>
        <v>3375</v>
      </c>
      <c r="N30" s="68">
        <f>'4、人物躶体&amp;总属性表'!T31/各种公式!$M$9*各种公式!$J$9</f>
        <v>6750</v>
      </c>
      <c r="O30" s="68">
        <f>'4、人物躶体&amp;总属性表'!U31/各种公式!$M$10*各种公式!$J$10</f>
        <v>6750</v>
      </c>
      <c r="P30" s="1">
        <f t="shared" si="1"/>
        <v>9.1610309593408523</v>
      </c>
      <c r="Q30" s="1">
        <f t="shared" si="5"/>
        <v>3.3636363636363638</v>
      </c>
      <c r="R30" s="1">
        <f t="shared" si="6"/>
        <v>3.3636363636363646</v>
      </c>
      <c r="S30" s="1">
        <f t="shared" si="7"/>
        <v>2.7235497446689014</v>
      </c>
      <c r="T30" s="31">
        <f t="shared" si="2"/>
        <v>6.8996635649779481E-2</v>
      </c>
      <c r="U30" s="31">
        <f t="shared" si="3"/>
        <v>0.14919354838709692</v>
      </c>
      <c r="V30" s="31">
        <f t="shared" si="4"/>
        <v>0.14919354838709692</v>
      </c>
      <c r="W30">
        <f>SUMPRODUCT(C30:O30,属性价值比,'5、系统属性规划'!$C$33:$O$33)</f>
        <v>15302.293000968803</v>
      </c>
    </row>
    <row r="31" spans="1:23" x14ac:dyDescent="0.15">
      <c r="A31">
        <f t="shared" si="0"/>
        <v>70299.389788955508</v>
      </c>
      <c r="B31" s="1">
        <f>'4、人物躶体&amp;总属性表'!H32</f>
        <v>28</v>
      </c>
      <c r="C31" s="68">
        <f>'4、人物躶体&amp;总属性表'!I32</f>
        <v>244718.74472388739</v>
      </c>
      <c r="D31" s="68">
        <f>'4、人物躶体&amp;总属性表'!J32</f>
        <v>21053.520000000008</v>
      </c>
      <c r="E31" s="68">
        <f>'4、人物躶体&amp;总属性表'!K32</f>
        <v>9357.1200000000026</v>
      </c>
      <c r="F31" s="68">
        <f>'4、人物躶体&amp;总属性表'!L32</f>
        <v>17500</v>
      </c>
      <c r="G31" s="68">
        <f>'4、人物躶体&amp;总属性表'!M32</f>
        <v>17500</v>
      </c>
      <c r="H31" s="68">
        <f>'4、人物躶体&amp;总属性表'!N32</f>
        <v>17500</v>
      </c>
      <c r="I31" s="68">
        <f>'4、人物躶体&amp;总属性表'!O32*各种公式!$J$4</f>
        <v>17500</v>
      </c>
      <c r="J31" s="68">
        <f>'4、人物躶体&amp;总属性表'!P32</f>
        <v>17500</v>
      </c>
      <c r="K31" s="68">
        <f>'4、人物躶体&amp;总属性表'!Q32/各种公式!$M$6*各种公式!$J$6</f>
        <v>7000</v>
      </c>
      <c r="L31" s="68">
        <f>'4、人物躶体&amp;总属性表'!R32/各种公式!$M$6*各种公式!$J$6</f>
        <v>7000</v>
      </c>
      <c r="M31" s="68">
        <f>'4、人物躶体&amp;总属性表'!S32/各种公式!$M$8*各种公式!$J$8</f>
        <v>3499.9999999999991</v>
      </c>
      <c r="N31" s="68">
        <f>'4、人物躶体&amp;总属性表'!T32/各种公式!$M$9*各种公式!$J$9</f>
        <v>6999.9999999999982</v>
      </c>
      <c r="O31" s="68">
        <f>'4、人物躶体&amp;总属性表'!U32/各种公式!$M$10*各种公式!$J$10</f>
        <v>7000</v>
      </c>
      <c r="P31" s="1">
        <f t="shared" si="1"/>
        <v>9.6248846773633829</v>
      </c>
      <c r="Q31" s="1">
        <f t="shared" si="5"/>
        <v>3.4545454545454555</v>
      </c>
      <c r="R31" s="1">
        <f t="shared" si="6"/>
        <v>3.4545454545454555</v>
      </c>
      <c r="S31" s="1">
        <f t="shared" si="7"/>
        <v>2.7861508276578206</v>
      </c>
      <c r="T31" s="31">
        <f t="shared" si="2"/>
        <v>7.249016668566835E-2</v>
      </c>
      <c r="U31" s="31">
        <f t="shared" si="3"/>
        <v>0.15322580645161307</v>
      </c>
      <c r="V31" s="31">
        <f t="shared" si="4"/>
        <v>0.15322580645161304</v>
      </c>
      <c r="W31">
        <f>SUMPRODUCT(C31:O31,属性价值比,'5、系统属性规划'!$C$33:$O$33)</f>
        <v>15822.348223224461</v>
      </c>
    </row>
    <row r="32" spans="1:23" x14ac:dyDescent="0.15">
      <c r="A32">
        <f t="shared" si="0"/>
        <v>72656.629856928252</v>
      </c>
      <c r="B32" s="1">
        <f>'4、人物躶体&amp;总属性表'!H33</f>
        <v>29</v>
      </c>
      <c r="C32" s="68">
        <f>'4、人物躶体&amp;总属性表'!I33</f>
        <v>256767.74642320591</v>
      </c>
      <c r="D32" s="68">
        <f>'4、人物躶体&amp;总属性表'!J33</f>
        <v>21607.560000000005</v>
      </c>
      <c r="E32" s="68">
        <f>'4、人物躶体&amp;总属性表'!K33</f>
        <v>9603.3600000000024</v>
      </c>
      <c r="F32" s="68">
        <f>'4、人物躶体&amp;总属性表'!L33</f>
        <v>18125</v>
      </c>
      <c r="G32" s="68">
        <f>'4、人物躶体&amp;总属性表'!M33</f>
        <v>18125</v>
      </c>
      <c r="H32" s="68">
        <f>'4、人物躶体&amp;总属性表'!N33</f>
        <v>18125</v>
      </c>
      <c r="I32" s="68">
        <f>'4、人物躶体&amp;总属性表'!O33*各种公式!$J$4</f>
        <v>18125</v>
      </c>
      <c r="J32" s="68">
        <f>'4、人物躶体&amp;总属性表'!P33</f>
        <v>18125</v>
      </c>
      <c r="K32" s="68">
        <f>'4、人物躶体&amp;总属性表'!Q33/各种公式!$M$6*各种公式!$J$6</f>
        <v>7250</v>
      </c>
      <c r="L32" s="68">
        <f>'4、人物躶体&amp;总属性表'!R33/各种公式!$M$6*各种公式!$J$6</f>
        <v>7250</v>
      </c>
      <c r="M32" s="68">
        <f>'4、人物躶体&amp;总属性表'!S33/各种公式!$M$8*各种公式!$J$8</f>
        <v>3624.9999999999995</v>
      </c>
      <c r="N32" s="68">
        <f>'4、人物躶体&amp;总属性表'!T33/各种公式!$M$9*各种公式!$J$9</f>
        <v>7249.9999999999991</v>
      </c>
      <c r="O32" s="68">
        <f>'4、人物躶体&amp;总属性表'!U33/各种公式!$M$10*各种公式!$J$10</f>
        <v>7250</v>
      </c>
      <c r="P32" s="1">
        <f t="shared" si="1"/>
        <v>10.098776662892092</v>
      </c>
      <c r="Q32" s="1">
        <f t="shared" si="5"/>
        <v>3.5454545454545459</v>
      </c>
      <c r="R32" s="1">
        <f t="shared" si="6"/>
        <v>3.5454545454545463</v>
      </c>
      <c r="S32" s="1">
        <f t="shared" si="7"/>
        <v>2.8483729049182815</v>
      </c>
      <c r="T32" s="31">
        <f t="shared" si="2"/>
        <v>7.6059301295953258E-2</v>
      </c>
      <c r="U32" s="31">
        <f t="shared" si="3"/>
        <v>0.1572580645161292</v>
      </c>
      <c r="V32" s="31">
        <f t="shared" si="4"/>
        <v>0.1572580645161292</v>
      </c>
      <c r="W32">
        <f>SUMPRODUCT(C32:O32,属性价值比,'5、系统属性规划'!$C$33:$O$33)</f>
        <v>16344.719325371847</v>
      </c>
    </row>
    <row r="33" spans="1:23" x14ac:dyDescent="0.15">
      <c r="A33">
        <f t="shared" si="0"/>
        <v>75558.611268168039</v>
      </c>
      <c r="B33" s="1">
        <f>'4、人物躶体&amp;总属性表'!H34</f>
        <v>30</v>
      </c>
      <c r="C33" s="68">
        <f>'4、人物躶体&amp;总属性表'!I34</f>
        <v>272431.78170420078</v>
      </c>
      <c r="D33" s="68">
        <f>'4、人物躶体&amp;总属性表'!J34</f>
        <v>22438.62000000001</v>
      </c>
      <c r="E33" s="68">
        <f>'4、人物躶体&amp;总属性表'!K34</f>
        <v>9972.720000000003</v>
      </c>
      <c r="F33" s="68">
        <f>'4、人物躶体&amp;总属性表'!L34</f>
        <v>18750</v>
      </c>
      <c r="G33" s="68">
        <f>'4、人物躶体&amp;总属性表'!M34</f>
        <v>18750</v>
      </c>
      <c r="H33" s="68">
        <f>'4、人物躶体&amp;总属性表'!N34</f>
        <v>18750</v>
      </c>
      <c r="I33" s="68">
        <f>'4、人物躶体&amp;总属性表'!O34*各种公式!$J$4</f>
        <v>18750</v>
      </c>
      <c r="J33" s="68">
        <f>'4、人物躶体&amp;总属性表'!P34</f>
        <v>18750</v>
      </c>
      <c r="K33" s="68">
        <f>'4、人物躶体&amp;总属性表'!Q34/各种公式!$M$6*各种公式!$J$6</f>
        <v>7500</v>
      </c>
      <c r="L33" s="68">
        <f>'4、人物躶体&amp;总属性表'!R34/各种公式!$M$6*各种公式!$J$6</f>
        <v>7500</v>
      </c>
      <c r="M33" s="68">
        <f>'4、人物躶体&amp;总属性表'!S34/各种公式!$M$8*各种公式!$J$8</f>
        <v>3750.0000000000005</v>
      </c>
      <c r="N33" s="68">
        <f>'4、人物躶体&amp;总属性表'!T34/各种公式!$M$9*各种公式!$J$9</f>
        <v>7500.0000000000009</v>
      </c>
      <c r="O33" s="68">
        <f>'4、人物躶体&amp;总属性表'!U34/各种公式!$M$10*各种公式!$J$10</f>
        <v>7500</v>
      </c>
      <c r="P33" s="1">
        <f t="shared" si="1"/>
        <v>10.714849343927755</v>
      </c>
      <c r="Q33" s="1">
        <f t="shared" si="5"/>
        <v>3.681818181818183</v>
      </c>
      <c r="R33" s="1">
        <f t="shared" si="6"/>
        <v>3.681818181818183</v>
      </c>
      <c r="S33" s="1">
        <f t="shared" si="7"/>
        <v>2.9102059946470438</v>
      </c>
      <c r="T33" s="31">
        <f t="shared" si="2"/>
        <v>8.0699274951304689E-2</v>
      </c>
      <c r="U33" s="31">
        <f t="shared" si="3"/>
        <v>0.16330645161290341</v>
      </c>
      <c r="V33" s="31">
        <f t="shared" si="4"/>
        <v>0.16330645161290339</v>
      </c>
      <c r="W33">
        <f>SUMPRODUCT(C33:O33,属性价值比,'5、系统属性规划'!$C$33:$O$33)</f>
        <v>17001.725637598</v>
      </c>
    </row>
    <row r="34" spans="1:23" x14ac:dyDescent="0.15">
      <c r="A34">
        <f t="shared" si="0"/>
        <v>78476.194878554728</v>
      </c>
      <c r="B34" s="1">
        <f>'4、人物躶体&amp;总属性表'!H35</f>
        <v>31</v>
      </c>
      <c r="C34" s="68">
        <f>'4、人物躶体&amp;总属性表'!I35</f>
        <v>288485.87196386803</v>
      </c>
      <c r="D34" s="68">
        <f>'4、人物躶体&amp;总属性表'!J35</f>
        <v>23269.680000000004</v>
      </c>
      <c r="E34" s="68">
        <f>'4、人物躶体&amp;总属性表'!K35</f>
        <v>10342.08</v>
      </c>
      <c r="F34" s="68">
        <f>'4、人物躶体&amp;总属性表'!L35</f>
        <v>19375</v>
      </c>
      <c r="G34" s="68">
        <f>'4、人物躶体&amp;总属性表'!M35</f>
        <v>19375</v>
      </c>
      <c r="H34" s="68">
        <f>'4、人物躶体&amp;总属性表'!N35</f>
        <v>19375</v>
      </c>
      <c r="I34" s="68">
        <f>'4、人物躶体&amp;总属性表'!O35*各种公式!$J$4</f>
        <v>19375</v>
      </c>
      <c r="J34" s="68">
        <f>'4、人物躶体&amp;总属性表'!P35</f>
        <v>19375</v>
      </c>
      <c r="K34" s="68">
        <f>'4、人物躶体&amp;总属性表'!Q35/各种公式!$M$6*各种公式!$J$6</f>
        <v>7750</v>
      </c>
      <c r="L34" s="68">
        <f>'4、人物躶体&amp;总属性表'!R35/各种公式!$M$6*各种公式!$J$6</f>
        <v>7750</v>
      </c>
      <c r="M34" s="68">
        <f>'4、人物躶体&amp;总属性表'!S35/各种公式!$M$8*各种公式!$J$8</f>
        <v>3875.0000000000005</v>
      </c>
      <c r="N34" s="68">
        <f>'4、人物躶体&amp;总属性表'!T35/各种公式!$M$9*各种公式!$J$9</f>
        <v>7750.0000000000009</v>
      </c>
      <c r="O34" s="68">
        <f>'4、人物躶体&amp;总属性表'!U35/各种公式!$M$10*各种公式!$J$10</f>
        <v>7750</v>
      </c>
      <c r="P34" s="1">
        <f t="shared" si="1"/>
        <v>11.34626304100119</v>
      </c>
      <c r="Q34" s="1">
        <f t="shared" si="5"/>
        <v>3.8181818181818183</v>
      </c>
      <c r="R34" s="1">
        <f t="shared" si="6"/>
        <v>3.8181818181818183</v>
      </c>
      <c r="S34" s="1">
        <f t="shared" si="7"/>
        <v>2.9716403202622166</v>
      </c>
      <c r="T34" s="31">
        <f t="shared" si="2"/>
        <v>8.5454790023201208E-2</v>
      </c>
      <c r="U34" s="31">
        <f t="shared" si="3"/>
        <v>0.16935483870967757</v>
      </c>
      <c r="V34" s="31">
        <f t="shared" si="4"/>
        <v>0.16935483870967755</v>
      </c>
      <c r="W34">
        <f>SUMPRODUCT(C34:O34,属性价值比,'5、系统属性规划'!$C$33:$O$33)</f>
        <v>17662.271201048396</v>
      </c>
    </row>
    <row r="35" spans="1:23" x14ac:dyDescent="0.15">
      <c r="A35">
        <f t="shared" si="0"/>
        <v>81409.069924585987</v>
      </c>
      <c r="B35" s="1">
        <f>'4、人物躶体&amp;总属性表'!H36</f>
        <v>32</v>
      </c>
      <c r="C35" s="68">
        <f>'4、人物躶体&amp;总属性表'!I36</f>
        <v>304922.24811464932</v>
      </c>
      <c r="D35" s="68">
        <f>'4、人物躶体&amp;总属性表'!J36</f>
        <v>24100.740000000013</v>
      </c>
      <c r="E35" s="68">
        <f>'4、人物躶体&amp;总属性表'!K36</f>
        <v>10711.440000000006</v>
      </c>
      <c r="F35" s="68">
        <f>'4、人物躶体&amp;总属性表'!L36</f>
        <v>20000</v>
      </c>
      <c r="G35" s="68">
        <f>'4、人物躶体&amp;总属性表'!M36</f>
        <v>20000</v>
      </c>
      <c r="H35" s="68">
        <f>'4、人物躶体&amp;总属性表'!N36</f>
        <v>20000</v>
      </c>
      <c r="I35" s="68">
        <f>'4、人物躶体&amp;总属性表'!O36*各种公式!$J$4</f>
        <v>20000</v>
      </c>
      <c r="J35" s="68">
        <f>'4、人物躶体&amp;总属性表'!P36</f>
        <v>20000</v>
      </c>
      <c r="K35" s="68">
        <f>'4、人物躶体&amp;总属性表'!Q36/各种公式!$M$6*各种公式!$J$6</f>
        <v>8000</v>
      </c>
      <c r="L35" s="68">
        <f>'4、人物躶体&amp;总属性表'!R36/各种公式!$M$6*各种公式!$J$6</f>
        <v>8000</v>
      </c>
      <c r="M35" s="68">
        <f>'4、人物躶体&amp;总属性表'!S36/各种公式!$M$8*各种公式!$J$8</f>
        <v>4000.0000000000009</v>
      </c>
      <c r="N35" s="68">
        <f>'4、人物躶体&amp;总属性表'!T36/各种公式!$M$9*各种公式!$J$9</f>
        <v>8000.0000000000018</v>
      </c>
      <c r="O35" s="68">
        <f>'4、人物躶体&amp;总属性表'!U36/各种公式!$M$10*各种公式!$J$10</f>
        <v>8000</v>
      </c>
      <c r="P35" s="1">
        <f t="shared" si="1"/>
        <v>11.992712192836814</v>
      </c>
      <c r="Q35" s="1">
        <f t="shared" si="5"/>
        <v>3.9545454545454564</v>
      </c>
      <c r="R35" s="1">
        <f t="shared" si="6"/>
        <v>3.9545454545454568</v>
      </c>
      <c r="S35" s="1">
        <f t="shared" si="7"/>
        <v>3.0326398648552848</v>
      </c>
      <c r="T35" s="31">
        <f t="shared" si="2"/>
        <v>9.0323545165856098E-2</v>
      </c>
      <c r="U35" s="31">
        <f t="shared" si="3"/>
        <v>0.17540322580645185</v>
      </c>
      <c r="V35" s="31">
        <f t="shared" si="4"/>
        <v>0.17540322580645185</v>
      </c>
      <c r="W35">
        <f>SUMPRODUCT(C35:O35,属性价值比,'5、系统属性规划'!$C$33:$O$33)</f>
        <v>18326.285521166756</v>
      </c>
    </row>
    <row r="36" spans="1:23" x14ac:dyDescent="0.15">
      <c r="A36">
        <f t="shared" ref="A36:A67" si="8">SUMPRODUCT(C36:O36,属性价值比)</f>
        <v>84357.115564108419</v>
      </c>
      <c r="B36" s="1">
        <f>'4、人物躶体&amp;总属性表'!H37</f>
        <v>33</v>
      </c>
      <c r="C36" s="68">
        <f>'4、人物躶体&amp;总属性表'!I37</f>
        <v>321737.88910271024</v>
      </c>
      <c r="D36" s="68">
        <f>'4、人物躶体&amp;总属性表'!J37</f>
        <v>24931.800000000007</v>
      </c>
      <c r="E36" s="68">
        <f>'4、人物躶体&amp;总属性表'!K37</f>
        <v>11080.800000000003</v>
      </c>
      <c r="F36" s="68">
        <f>'4、人物躶体&amp;总属性表'!L37</f>
        <v>20625</v>
      </c>
      <c r="G36" s="68">
        <f>'4、人物躶体&amp;总属性表'!M37</f>
        <v>20625</v>
      </c>
      <c r="H36" s="68">
        <f>'4、人物躶体&amp;总属性表'!N37</f>
        <v>20625</v>
      </c>
      <c r="I36" s="68">
        <f>'4、人物躶体&amp;总属性表'!O37*各种公式!$J$4</f>
        <v>20625</v>
      </c>
      <c r="J36" s="68">
        <f>'4、人物躶体&amp;总属性表'!P37</f>
        <v>20625</v>
      </c>
      <c r="K36" s="68">
        <f>'4、人物躶体&amp;总属性表'!Q37/各种公式!$M$6*各种公式!$J$6</f>
        <v>8250</v>
      </c>
      <c r="L36" s="68">
        <f>'4、人物躶体&amp;总属性表'!R37/各种公式!$M$6*各种公式!$J$6</f>
        <v>8250</v>
      </c>
      <c r="M36" s="68">
        <f>'4、人物躶体&amp;总属性表'!S37/各种公式!$M$8*各种公式!$J$8</f>
        <v>4125</v>
      </c>
      <c r="N36" s="68">
        <f>'4、人物躶体&amp;总属性表'!T37/各种公式!$M$9*各种公式!$J$9</f>
        <v>8250</v>
      </c>
      <c r="O36" s="68">
        <f>'4、人物躶体&amp;总属性表'!U37/各种公式!$M$10*各种公式!$J$10</f>
        <v>8250</v>
      </c>
      <c r="P36" s="1">
        <f t="shared" si="1"/>
        <v>12.654077980196679</v>
      </c>
      <c r="Q36" s="1">
        <f t="shared" si="5"/>
        <v>4.0909090909090917</v>
      </c>
      <c r="R36" s="1">
        <f t="shared" si="6"/>
        <v>4.0909090909090926</v>
      </c>
      <c r="S36" s="1">
        <f t="shared" si="7"/>
        <v>3.0932190618258533</v>
      </c>
      <c r="T36" s="31">
        <f t="shared" si="2"/>
        <v>9.5304645487885947E-2</v>
      </c>
      <c r="U36" s="31">
        <f t="shared" si="3"/>
        <v>0.18145161290322601</v>
      </c>
      <c r="V36" s="31">
        <f t="shared" si="4"/>
        <v>0.18145161290322601</v>
      </c>
      <c r="W36">
        <f>SUMPRODUCT(C36:O36,属性价值比,'5、系统属性规划'!$C$33:$O$33)</f>
        <v>18993.741185744351</v>
      </c>
    </row>
    <row r="37" spans="1:23" x14ac:dyDescent="0.15">
      <c r="A37">
        <f t="shared" si="8"/>
        <v>87320.117192694874</v>
      </c>
      <c r="B37" s="1">
        <f>'4、人物躶体&amp;总属性表'!H38</f>
        <v>34</v>
      </c>
      <c r="C37" s="68">
        <f>'4、人物躶体&amp;总属性表'!I38</f>
        <v>338927.42981737189</v>
      </c>
      <c r="D37" s="68">
        <f>'4、人物躶体&amp;总属性表'!J38</f>
        <v>25762.86</v>
      </c>
      <c r="E37" s="68">
        <f>'4、人物躶体&amp;总属性表'!K38</f>
        <v>11450.16</v>
      </c>
      <c r="F37" s="68">
        <f>'4、人物躶体&amp;总属性表'!L38</f>
        <v>21250</v>
      </c>
      <c r="G37" s="68">
        <f>'4、人物躶体&amp;总属性表'!M38</f>
        <v>21250</v>
      </c>
      <c r="H37" s="68">
        <f>'4、人物躶体&amp;总属性表'!N38</f>
        <v>21250</v>
      </c>
      <c r="I37" s="68">
        <f>'4、人物躶体&amp;总属性表'!O38*各种公式!$J$4</f>
        <v>21250</v>
      </c>
      <c r="J37" s="68">
        <f>'4、人物躶体&amp;总属性表'!P38</f>
        <v>21250</v>
      </c>
      <c r="K37" s="68">
        <f>'4、人物躶体&amp;总属性表'!Q38/各种公式!$M$6*各种公式!$J$6</f>
        <v>8500</v>
      </c>
      <c r="L37" s="68">
        <f>'4、人物躶体&amp;总属性表'!R38/各种公式!$M$6*各种公式!$J$6</f>
        <v>8500</v>
      </c>
      <c r="M37" s="68">
        <f>'4、人物躶体&amp;总属性表'!S38/各种公式!$M$8*各种公式!$J$8</f>
        <v>4250</v>
      </c>
      <c r="N37" s="68">
        <f>'4、人物躶体&amp;总属性表'!T38/各种公式!$M$9*各种公式!$J$9</f>
        <v>8500</v>
      </c>
      <c r="O37" s="68">
        <f>'4、人物躶体&amp;总属性表'!U38/各种公式!$M$10*各种公式!$J$10</f>
        <v>8500</v>
      </c>
      <c r="P37" s="1">
        <f t="shared" ref="P37:P68" si="9">C37/$C$4</f>
        <v>13.330149391163307</v>
      </c>
      <c r="Q37" s="1">
        <f t="shared" si="5"/>
        <v>4.2272727272727266</v>
      </c>
      <c r="R37" s="1">
        <f t="shared" si="6"/>
        <v>4.2272727272727275</v>
      </c>
      <c r="S37" s="1">
        <f t="shared" si="7"/>
        <v>3.1533686731784165</v>
      </c>
      <c r="T37" s="31">
        <f t="shared" si="2"/>
        <v>0.10039650174541059</v>
      </c>
      <c r="U37" s="31">
        <f t="shared" si="3"/>
        <v>0.18750000000000014</v>
      </c>
      <c r="V37" s="31">
        <f t="shared" si="4"/>
        <v>0.18750000000000014</v>
      </c>
      <c r="W37">
        <f>SUMPRODUCT(C37:O37,属性价值比,'5、系统属性规划'!$C$33:$O$33)</f>
        <v>19664.589513247629</v>
      </c>
    </row>
    <row r="38" spans="1:23" x14ac:dyDescent="0.15">
      <c r="A38">
        <f t="shared" si="8"/>
        <v>90297.855998878003</v>
      </c>
      <c r="B38" s="1">
        <f>'4、人物躶体&amp;总属性表'!H39</f>
        <v>35</v>
      </c>
      <c r="C38" s="68">
        <f>'4、人物躶体&amp;总属性表'!I39</f>
        <v>356485.39997194981</v>
      </c>
      <c r="D38" s="68">
        <f>'4、人物躶体&amp;总属性表'!J39</f>
        <v>26593.920000000009</v>
      </c>
      <c r="E38" s="68">
        <f>'4、人物躶体&amp;总属性表'!K39</f>
        <v>11819.520000000002</v>
      </c>
      <c r="F38" s="68">
        <f>'4、人物躶体&amp;总属性表'!L39</f>
        <v>21875</v>
      </c>
      <c r="G38" s="68">
        <f>'4、人物躶体&amp;总属性表'!M39</f>
        <v>21875</v>
      </c>
      <c r="H38" s="68">
        <f>'4、人物躶体&amp;总属性表'!N39</f>
        <v>21875</v>
      </c>
      <c r="I38" s="68">
        <f>'4、人物躶体&amp;总属性表'!O39*各种公式!$J$4</f>
        <v>21875</v>
      </c>
      <c r="J38" s="68">
        <f>'4、人物躶体&amp;总属性表'!P39</f>
        <v>21875</v>
      </c>
      <c r="K38" s="68">
        <f>'4、人物躶体&amp;总属性表'!Q39/各种公式!$M$6*各种公式!$J$6</f>
        <v>8750.0000000000018</v>
      </c>
      <c r="L38" s="68">
        <f>'4、人物躶体&amp;总属性表'!R39/各种公式!$M$6*各种公式!$J$6</f>
        <v>8750.0000000000018</v>
      </c>
      <c r="M38" s="68">
        <f>'4、人物躶体&amp;总属性表'!S39/各种公式!$M$8*各种公式!$J$8</f>
        <v>4375</v>
      </c>
      <c r="N38" s="68">
        <f>'4、人物躶体&amp;总属性表'!T39/各种公式!$M$9*各种公式!$J$9</f>
        <v>8750</v>
      </c>
      <c r="O38" s="68">
        <f>'4、人物躶体&amp;总属性表'!U39/各种公式!$M$10*各种公式!$J$10</f>
        <v>8750.0000000000018</v>
      </c>
      <c r="P38" s="1">
        <f t="shared" si="9"/>
        <v>14.02071127720548</v>
      </c>
      <c r="Q38" s="1">
        <f t="shared" si="5"/>
        <v>4.3636363636363651</v>
      </c>
      <c r="R38" s="1">
        <f t="shared" si="6"/>
        <v>4.3636363636363651</v>
      </c>
      <c r="S38" s="1">
        <f t="shared" si="7"/>
        <v>3.2130796676929214</v>
      </c>
      <c r="T38" s="31">
        <f t="shared" si="2"/>
        <v>0.10559749353949406</v>
      </c>
      <c r="U38" s="31">
        <f t="shared" si="3"/>
        <v>0.19354838709677444</v>
      </c>
      <c r="V38" s="31">
        <f t="shared" si="4"/>
        <v>0.19354838709677441</v>
      </c>
      <c r="W38">
        <f>SUMPRODUCT(C38:O38,属性价值比,'5、系统属性规划'!$C$33:$O$33)</f>
        <v>20338.78086780497</v>
      </c>
    </row>
    <row r="39" spans="1:23" x14ac:dyDescent="0.15">
      <c r="A39">
        <f t="shared" si="8"/>
        <v>93290.10910753363</v>
      </c>
      <c r="B39" s="1">
        <f>'4、人物躶体&amp;总属性表'!H40</f>
        <v>36</v>
      </c>
      <c r="C39" s="68">
        <f>'4、人物躶体&amp;总属性表'!I40</f>
        <v>374406.22768834064</v>
      </c>
      <c r="D39" s="68">
        <f>'4、人物躶体&amp;总属性表'!J40</f>
        <v>27424.98</v>
      </c>
      <c r="E39" s="68">
        <f>'4、人物躶体&amp;总属性表'!K40</f>
        <v>12188.880000000003</v>
      </c>
      <c r="F39" s="68">
        <f>'4、人物躶体&amp;总属性表'!L40</f>
        <v>22500</v>
      </c>
      <c r="G39" s="68">
        <f>'4、人物躶体&amp;总属性表'!M40</f>
        <v>22500</v>
      </c>
      <c r="H39" s="68">
        <f>'4、人物躶体&amp;总属性表'!N40</f>
        <v>22500</v>
      </c>
      <c r="I39" s="68">
        <f>'4、人物躶体&amp;总属性表'!O40*各种公式!$J$4</f>
        <v>22500</v>
      </c>
      <c r="J39" s="68">
        <f>'4、人物躶体&amp;总属性表'!P40</f>
        <v>22500</v>
      </c>
      <c r="K39" s="68">
        <f>'4、人物躶体&amp;总属性表'!Q40/各种公式!$M$6*各种公式!$J$6</f>
        <v>9000.0000000000018</v>
      </c>
      <c r="L39" s="68">
        <f>'4、人物躶体&amp;总属性表'!R40/各种公式!$M$6*各种公式!$J$6</f>
        <v>9000.0000000000018</v>
      </c>
      <c r="M39" s="68">
        <f>'4、人物躶体&amp;总属性表'!S40/各种公式!$M$8*各种公式!$J$8</f>
        <v>4500</v>
      </c>
      <c r="N39" s="68">
        <f>'4、人物躶体&amp;总属性表'!T40/各种公式!$M$9*各种公式!$J$9</f>
        <v>9000</v>
      </c>
      <c r="O39" s="68">
        <f>'4、人物躶体&amp;总属性表'!U40/各种公式!$M$10*各种公式!$J$10</f>
        <v>9000.0000000000018</v>
      </c>
      <c r="P39" s="1">
        <f t="shared" si="9"/>
        <v>14.725544494161429</v>
      </c>
      <c r="Q39" s="1">
        <f t="shared" si="5"/>
        <v>4.4999999999999991</v>
      </c>
      <c r="R39" s="1">
        <f t="shared" si="6"/>
        <v>4.5000000000000009</v>
      </c>
      <c r="S39" s="1">
        <f t="shared" si="7"/>
        <v>3.2723432209247614</v>
      </c>
      <c r="T39" s="31">
        <f t="shared" si="2"/>
        <v>0.11090597037796451</v>
      </c>
      <c r="U39" s="31">
        <f t="shared" si="3"/>
        <v>0.19959677419354852</v>
      </c>
      <c r="V39" s="31">
        <f t="shared" si="4"/>
        <v>0.19959677419354857</v>
      </c>
      <c r="W39">
        <f>SUMPRODUCT(C39:O39,属性价值比,'5、系统属性规划'!$C$33:$O$33)</f>
        <v>21016.264691732253</v>
      </c>
    </row>
    <row r="40" spans="1:23" x14ac:dyDescent="0.15">
      <c r="A40">
        <f t="shared" si="8"/>
        <v>96296.649723264491</v>
      </c>
      <c r="B40" s="1">
        <f>'4、人物躶体&amp;总属性表'!H41</f>
        <v>37</v>
      </c>
      <c r="C40" s="68">
        <f>'4、人物躶体&amp;总属性表'!I41</f>
        <v>392684.24308161181</v>
      </c>
      <c r="D40" s="68">
        <f>'4、人物躶体&amp;总属性表'!J41</f>
        <v>28256.040000000008</v>
      </c>
      <c r="E40" s="68">
        <f>'4、人物躶体&amp;总属性表'!K41</f>
        <v>12558.240000000003</v>
      </c>
      <c r="F40" s="68">
        <f>'4、人物躶体&amp;总属性表'!L41</f>
        <v>23125</v>
      </c>
      <c r="G40" s="68">
        <f>'4、人物躶体&amp;总属性表'!M41</f>
        <v>23125</v>
      </c>
      <c r="H40" s="68">
        <f>'4、人物躶体&amp;总属性表'!N41</f>
        <v>23125</v>
      </c>
      <c r="I40" s="68">
        <f>'4、人物躶体&amp;总属性表'!O41*各种公式!$J$4</f>
        <v>23125</v>
      </c>
      <c r="J40" s="68">
        <f>'4、人物躶体&amp;总属性表'!P41</f>
        <v>23125</v>
      </c>
      <c r="K40" s="68">
        <f>'4、人物躶体&amp;总属性表'!Q41/各种公式!$M$6*各种公式!$J$6</f>
        <v>9250.0000000000018</v>
      </c>
      <c r="L40" s="68">
        <f>'4、人物躶体&amp;总属性表'!R41/各种公式!$M$6*各种公式!$J$6</f>
        <v>9250.0000000000018</v>
      </c>
      <c r="M40" s="68">
        <f>'4、人物躶体&amp;总属性表'!S41/各种公式!$M$8*各种公式!$J$8</f>
        <v>4625</v>
      </c>
      <c r="N40" s="68">
        <f>'4、人物躶体&amp;总属性表'!T41/各种公式!$M$9*各种公式!$J$9</f>
        <v>9250</v>
      </c>
      <c r="O40" s="68">
        <f>'4、人物躶体&amp;总属性表'!U41/各种公式!$M$10*各种公式!$J$10</f>
        <v>9250.0000000000018</v>
      </c>
      <c r="P40" s="1">
        <f t="shared" si="9"/>
        <v>15.444426043222167</v>
      </c>
      <c r="Q40" s="1">
        <f t="shared" si="5"/>
        <v>4.6363636363636376</v>
      </c>
      <c r="R40" s="1">
        <f t="shared" si="6"/>
        <v>4.6363636363636376</v>
      </c>
      <c r="S40" s="1">
        <f t="shared" si="7"/>
        <v>3.3311507152047803</v>
      </c>
      <c r="T40" s="31">
        <f t="shared" si="2"/>
        <v>0.11632025273723531</v>
      </c>
      <c r="U40" s="31">
        <f t="shared" si="3"/>
        <v>0.20564516129032281</v>
      </c>
      <c r="V40" s="31">
        <f t="shared" si="4"/>
        <v>0.20564516129032279</v>
      </c>
      <c r="W40">
        <f>SUMPRODUCT(C40:O40,属性价值比,'5、系统属性规划'!$C$33:$O$33)</f>
        <v>21696.989538058457</v>
      </c>
    </row>
    <row r="41" spans="1:23" x14ac:dyDescent="0.15">
      <c r="A41">
        <f t="shared" si="8"/>
        <v>99317.247273783534</v>
      </c>
      <c r="B41" s="1">
        <f>'4、人物躶体&amp;总属性表'!H42</f>
        <v>38</v>
      </c>
      <c r="C41" s="68">
        <f>'4、人物躶体&amp;总属性表'!I42</f>
        <v>411313.68184458802</v>
      </c>
      <c r="D41" s="68">
        <f>'4、人物躶体&amp;总属性表'!J42</f>
        <v>29087.100000000006</v>
      </c>
      <c r="E41" s="68">
        <f>'4、人物躶体&amp;总属性表'!K42</f>
        <v>12927.600000000002</v>
      </c>
      <c r="F41" s="68">
        <f>'4、人物躶体&amp;总属性表'!L42</f>
        <v>23750</v>
      </c>
      <c r="G41" s="68">
        <f>'4、人物躶体&amp;总属性表'!M42</f>
        <v>23750</v>
      </c>
      <c r="H41" s="68">
        <f>'4、人物躶体&amp;总属性表'!N42</f>
        <v>23750</v>
      </c>
      <c r="I41" s="68">
        <f>'4、人物躶体&amp;总属性表'!O42*各种公式!$J$4</f>
        <v>23750</v>
      </c>
      <c r="J41" s="68">
        <f>'4、人物躶体&amp;总属性表'!P42</f>
        <v>23750</v>
      </c>
      <c r="K41" s="68">
        <f>'4、人物躶体&amp;总属性表'!Q42/各种公式!$M$6*各种公式!$J$6</f>
        <v>9500</v>
      </c>
      <c r="L41" s="68">
        <f>'4、人物躶体&amp;总属性表'!R42/各种公式!$M$6*各种公式!$J$6</f>
        <v>9500</v>
      </c>
      <c r="M41" s="68">
        <f>'4、人物躶体&amp;总属性表'!S42/各种公式!$M$8*各种公式!$J$8</f>
        <v>4750</v>
      </c>
      <c r="N41" s="68">
        <f>'4、人物躶体&amp;总属性表'!T42/各种公式!$M$9*各种公式!$J$9</f>
        <v>9500</v>
      </c>
      <c r="O41" s="68">
        <f>'4、人物躶体&amp;总属性表'!U42/各种公式!$M$10*各种公式!$J$10</f>
        <v>9500</v>
      </c>
      <c r="P41" s="1">
        <f t="shared" si="9"/>
        <v>16.177129211914693</v>
      </c>
      <c r="Q41" s="1">
        <f t="shared" si="5"/>
        <v>4.7727272727272734</v>
      </c>
      <c r="R41" s="1">
        <f t="shared" si="6"/>
        <v>4.7727272727272734</v>
      </c>
      <c r="S41" s="1">
        <f t="shared" si="7"/>
        <v>3.3894937396392684</v>
      </c>
      <c r="T41" s="31">
        <f t="shared" si="2"/>
        <v>0.12183863312412514</v>
      </c>
      <c r="U41" s="31">
        <f t="shared" si="3"/>
        <v>0.211693548387097</v>
      </c>
      <c r="V41" s="31">
        <f t="shared" si="4"/>
        <v>0.21169354838709695</v>
      </c>
      <c r="W41">
        <f>SUMPRODUCT(C41:O41,属性价值比,'5、系统属性规划'!$C$33:$O$33)</f>
        <v>22380.903103051169</v>
      </c>
    </row>
    <row r="42" spans="1:23" x14ac:dyDescent="0.15">
      <c r="A42">
        <f t="shared" si="8"/>
        <v>102351.66755329762</v>
      </c>
      <c r="B42" s="1">
        <f>'4、人物躶体&amp;总属性表'!H43</f>
        <v>39</v>
      </c>
      <c r="C42" s="68">
        <f>'4、人物躶体&amp;总属性表'!I43</f>
        <v>430288.68883244053</v>
      </c>
      <c r="D42" s="68">
        <f>'4、人物躶体&amp;总属性表'!J43</f>
        <v>29918.16</v>
      </c>
      <c r="E42" s="68">
        <f>'4、人物躶体&amp;总属性表'!K43</f>
        <v>13296.960000000001</v>
      </c>
      <c r="F42" s="68">
        <f>'4、人物躶体&amp;总属性表'!L43</f>
        <v>24375</v>
      </c>
      <c r="G42" s="68">
        <f>'4、人物躶体&amp;总属性表'!M43</f>
        <v>24375</v>
      </c>
      <c r="H42" s="68">
        <f>'4、人物躶体&amp;总属性表'!N43</f>
        <v>24375</v>
      </c>
      <c r="I42" s="68">
        <f>'4、人物躶体&amp;总属性表'!O43*各种公式!$J$4</f>
        <v>24375</v>
      </c>
      <c r="J42" s="68">
        <f>'4、人物躶体&amp;总属性表'!P43</f>
        <v>24375</v>
      </c>
      <c r="K42" s="68">
        <f>'4、人物躶体&amp;总属性表'!Q43/各种公式!$M$6*各种公式!$J$6</f>
        <v>9750</v>
      </c>
      <c r="L42" s="68">
        <f>'4、人物躶体&amp;总属性表'!R43/各种公式!$M$6*各种公式!$J$6</f>
        <v>9750</v>
      </c>
      <c r="M42" s="68">
        <f>'4、人物躶体&amp;总属性表'!S43/各种公式!$M$8*各种公式!$J$8</f>
        <v>4875</v>
      </c>
      <c r="N42" s="68">
        <f>'4、人物躶体&amp;总属性表'!T43/各种公式!$M$9*各种公式!$J$9</f>
        <v>9750</v>
      </c>
      <c r="O42" s="68">
        <f>'4、人物躶体&amp;总属性表'!U43/各种公式!$M$10*各种公式!$J$10</f>
        <v>9750</v>
      </c>
      <c r="P42" s="1">
        <f t="shared" si="9"/>
        <v>16.923423715085285</v>
      </c>
      <c r="Q42" s="1">
        <f t="shared" si="5"/>
        <v>4.9090909090909083</v>
      </c>
      <c r="R42" s="1">
        <f t="shared" si="6"/>
        <v>4.9090909090909101</v>
      </c>
      <c r="S42" s="1">
        <f t="shared" si="7"/>
        <v>3.4473640901099647</v>
      </c>
      <c r="T42" s="31">
        <f t="shared" si="2"/>
        <v>0.12745937713767877</v>
      </c>
      <c r="U42" s="31">
        <f t="shared" si="3"/>
        <v>0.21774193548387114</v>
      </c>
      <c r="V42" s="31">
        <f t="shared" si="4"/>
        <v>0.21774193548387116</v>
      </c>
      <c r="W42">
        <f>SUMPRODUCT(C42:O42,属性价值比,'5、系统属性规划'!$C$33:$O$33)</f>
        <v>23067.952258742185</v>
      </c>
    </row>
    <row r="43" spans="1:23" x14ac:dyDescent="0.15">
      <c r="A43">
        <f t="shared" si="8"/>
        <v>105961.83208089901</v>
      </c>
      <c r="B43" s="1">
        <f>'4、人物躶体&amp;总属性表'!H44</f>
        <v>40</v>
      </c>
      <c r="C43" s="68">
        <f>'4、人物躶体&amp;总属性表'!I44</f>
        <v>453653.80202247505</v>
      </c>
      <c r="D43" s="68">
        <f>'4、人物躶体&amp;总属性表'!J44</f>
        <v>31026.240000000009</v>
      </c>
      <c r="E43" s="68">
        <f>'4、人物躶体&amp;总属性表'!K44</f>
        <v>13789.440000000006</v>
      </c>
      <c r="F43" s="68">
        <f>'4、人物躶体&amp;总属性表'!L44</f>
        <v>25000</v>
      </c>
      <c r="G43" s="68">
        <f>'4、人物躶体&amp;总属性表'!M44</f>
        <v>25000</v>
      </c>
      <c r="H43" s="68">
        <f>'4、人物躶体&amp;总属性表'!N44</f>
        <v>25000</v>
      </c>
      <c r="I43" s="68">
        <f>'4、人物躶体&amp;总属性表'!O44*各种公式!$J$4</f>
        <v>25000</v>
      </c>
      <c r="J43" s="68">
        <f>'4、人物躶体&amp;总属性表'!P44</f>
        <v>25000</v>
      </c>
      <c r="K43" s="68">
        <f>'4、人物躶体&amp;总属性表'!Q44/各种公式!$M$6*各种公式!$J$6</f>
        <v>10000</v>
      </c>
      <c r="L43" s="68">
        <f>'4、人物躶体&amp;总属性表'!R44/各种公式!$M$6*各种公式!$J$6</f>
        <v>10000</v>
      </c>
      <c r="M43" s="68">
        <f>'4、人物躶体&amp;总属性表'!S44/各种公式!$M$8*各种公式!$J$8</f>
        <v>5000</v>
      </c>
      <c r="N43" s="68">
        <f>'4、人物躶体&amp;总属性表'!T44/各种公式!$M$9*各种公式!$J$9</f>
        <v>10000</v>
      </c>
      <c r="O43" s="68">
        <f>'4、人物躶体&amp;总属性表'!U44/各种公式!$M$10*各种公式!$J$10</f>
        <v>10000</v>
      </c>
      <c r="P43" s="1">
        <f t="shared" si="9"/>
        <v>17.842382825395205</v>
      </c>
      <c r="Q43" s="1">
        <f t="shared" si="5"/>
        <v>5.0909090909090917</v>
      </c>
      <c r="R43" s="1">
        <f t="shared" si="6"/>
        <v>5.0909090909090935</v>
      </c>
      <c r="S43" s="1">
        <f t="shared" si="7"/>
        <v>3.5047537692740565</v>
      </c>
      <c r="T43" s="31">
        <f t="shared" si="2"/>
        <v>0.13438055087811346</v>
      </c>
      <c r="U43" s="31">
        <f t="shared" si="3"/>
        <v>0.22580645161290347</v>
      </c>
      <c r="V43" s="31">
        <f t="shared" si="4"/>
        <v>0.2258064516129035</v>
      </c>
      <c r="W43">
        <f>SUMPRODUCT(C43:O43,属性价值比,'5、系统属性规划'!$C$33:$O$33)</f>
        <v>23896.66941955626</v>
      </c>
    </row>
    <row r="44" spans="1:23" x14ac:dyDescent="0.15">
      <c r="A44">
        <f t="shared" si="8"/>
        <v>109590.60150520533</v>
      </c>
      <c r="B44" s="1">
        <f>'4、人物躶体&amp;总属性表'!H45</f>
        <v>41</v>
      </c>
      <c r="C44" s="68">
        <f>'4、人物躶体&amp;总属性表'!I45</f>
        <v>477484.03763013281</v>
      </c>
      <c r="D44" s="68">
        <f>'4、人物躶体&amp;总属性表'!J45</f>
        <v>32134.320000000007</v>
      </c>
      <c r="E44" s="68">
        <f>'4、人物躶体&amp;总属性表'!K45</f>
        <v>14281.920000000004</v>
      </c>
      <c r="F44" s="68">
        <f>'4、人物躶体&amp;总属性表'!L45</f>
        <v>25625</v>
      </c>
      <c r="G44" s="68">
        <f>'4、人物躶体&amp;总属性表'!M45</f>
        <v>25625</v>
      </c>
      <c r="H44" s="68">
        <f>'4、人物躶体&amp;总属性表'!N45</f>
        <v>25625</v>
      </c>
      <c r="I44" s="68">
        <f>'4、人物躶体&amp;总属性表'!O45*各种公式!$J$4</f>
        <v>25624.999999999996</v>
      </c>
      <c r="J44" s="68">
        <f>'4、人物躶体&amp;总属性表'!P45</f>
        <v>25625</v>
      </c>
      <c r="K44" s="68">
        <f>'4、人物躶体&amp;总属性表'!Q45/各种公式!$M$6*各种公式!$J$6</f>
        <v>10250</v>
      </c>
      <c r="L44" s="68">
        <f>'4、人物躶体&amp;总属性表'!R45/各种公式!$M$6*各种公式!$J$6</f>
        <v>10250</v>
      </c>
      <c r="M44" s="68">
        <f>'4、人物躶体&amp;总属性表'!S45/各种公式!$M$8*各种公式!$J$8</f>
        <v>5125</v>
      </c>
      <c r="N44" s="68">
        <f>'4、人物躶体&amp;总属性表'!T45/各种公式!$M$9*各种公式!$J$9</f>
        <v>10250</v>
      </c>
      <c r="O44" s="68">
        <f>'4、人物躶体&amp;总属性表'!U45/各种公式!$M$10*各种公式!$J$10</f>
        <v>10250</v>
      </c>
      <c r="P44" s="1">
        <f t="shared" si="9"/>
        <v>18.779635383702058</v>
      </c>
      <c r="Q44" s="1">
        <f t="shared" si="5"/>
        <v>5.2727272727272734</v>
      </c>
      <c r="R44" s="1">
        <f t="shared" si="6"/>
        <v>5.2727272727272743</v>
      </c>
      <c r="S44" s="1">
        <f t="shared" si="7"/>
        <v>3.5616549865641822</v>
      </c>
      <c r="T44" s="31">
        <f t="shared" si="2"/>
        <v>0.14143950238306224</v>
      </c>
      <c r="U44" s="31">
        <f t="shared" si="3"/>
        <v>0.23387096774193572</v>
      </c>
      <c r="V44" s="31">
        <f t="shared" si="4"/>
        <v>0.23387096774193572</v>
      </c>
      <c r="W44">
        <f>SUMPRODUCT(C44:O44,属性价值比,'5、系统属性规划'!$C$33:$O$33)</f>
        <v>24729.606972817575</v>
      </c>
    </row>
    <row r="45" spans="1:23" x14ac:dyDescent="0.15">
      <c r="A45">
        <f t="shared" si="8"/>
        <v>113237.66278598996</v>
      </c>
      <c r="B45" s="1">
        <f>'4、人物躶体&amp;总属性表'!H46</f>
        <v>42</v>
      </c>
      <c r="C45" s="68">
        <f>'4、人物躶体&amp;总属性表'!I46</f>
        <v>501771.5696497485</v>
      </c>
      <c r="D45" s="68">
        <f>'4、人物躶体&amp;总属性表'!J46</f>
        <v>33242.400000000016</v>
      </c>
      <c r="E45" s="68">
        <f>'4、人物躶体&amp;总属性表'!K46</f>
        <v>14774.400000000005</v>
      </c>
      <c r="F45" s="68">
        <f>'4、人物躶体&amp;总属性表'!L46</f>
        <v>26250</v>
      </c>
      <c r="G45" s="68">
        <f>'4、人物躶体&amp;总属性表'!M46</f>
        <v>26250</v>
      </c>
      <c r="H45" s="68">
        <f>'4、人物躶体&amp;总属性表'!N46</f>
        <v>26250</v>
      </c>
      <c r="I45" s="68">
        <f>'4、人物躶体&amp;总属性表'!O46*各种公式!$J$4</f>
        <v>26250</v>
      </c>
      <c r="J45" s="68">
        <f>'4、人物躶体&amp;总属性表'!P46</f>
        <v>26250</v>
      </c>
      <c r="K45" s="68">
        <f>'4、人物躶体&amp;总属性表'!Q46/各种公式!$M$6*各种公式!$J$6</f>
        <v>10500</v>
      </c>
      <c r="L45" s="68">
        <f>'4、人物躶体&amp;总属性表'!R46/各种公式!$M$6*各种公式!$J$6</f>
        <v>10500</v>
      </c>
      <c r="M45" s="68">
        <f>'4、人物躶体&amp;总属性表'!S46/各种公式!$M$8*各种公式!$J$8</f>
        <v>5250</v>
      </c>
      <c r="N45" s="68">
        <f>'4、人物躶体&amp;总属性表'!T46/各种公式!$M$9*各种公式!$J$9</f>
        <v>10500</v>
      </c>
      <c r="O45" s="68">
        <f>'4、人物躶体&amp;总属性表'!U46/各种公式!$M$10*各种公式!$J$10</f>
        <v>10500</v>
      </c>
      <c r="P45" s="1">
        <f t="shared" si="9"/>
        <v>19.734873590118671</v>
      </c>
      <c r="Q45" s="1">
        <f t="shared" si="5"/>
        <v>5.4545454545454568</v>
      </c>
      <c r="R45" s="1">
        <f t="shared" si="6"/>
        <v>5.4545454545454568</v>
      </c>
      <c r="S45" s="1">
        <f t="shared" si="7"/>
        <v>3.6180601581884213</v>
      </c>
      <c r="T45" s="31">
        <f t="shared" si="2"/>
        <v>0.14863391344655438</v>
      </c>
      <c r="U45" s="31">
        <f t="shared" si="3"/>
        <v>0.24193548387096805</v>
      </c>
      <c r="V45" s="31">
        <f t="shared" si="4"/>
        <v>0.24193548387096803</v>
      </c>
      <c r="W45">
        <f>SUMPRODUCT(C45:O45,属性价值比,'5、系统属性规划'!$C$33:$O$33)</f>
        <v>25566.693907510642</v>
      </c>
    </row>
    <row r="46" spans="1:23" x14ac:dyDescent="0.15">
      <c r="A46">
        <f t="shared" si="8"/>
        <v>116902.69845894308</v>
      </c>
      <c r="B46" s="1">
        <f>'4、人物躶体&amp;总属性表'!H47</f>
        <v>43</v>
      </c>
      <c r="C46" s="68">
        <f>'4、人物躶体&amp;总属性表'!I47</f>
        <v>526508.46147357661</v>
      </c>
      <c r="D46" s="68">
        <f>'4、人物躶体&amp;总属性表'!J47</f>
        <v>34350.480000000003</v>
      </c>
      <c r="E46" s="68">
        <f>'4、人物躶体&amp;总属性表'!K47</f>
        <v>15266.880000000006</v>
      </c>
      <c r="F46" s="68">
        <f>'4、人物躶体&amp;总属性表'!L47</f>
        <v>26875</v>
      </c>
      <c r="G46" s="68">
        <f>'4、人物躶体&amp;总属性表'!M47</f>
        <v>26875</v>
      </c>
      <c r="H46" s="68">
        <f>'4、人物躶体&amp;总属性表'!N47</f>
        <v>26875</v>
      </c>
      <c r="I46" s="68">
        <f>'4、人物躶体&amp;总属性表'!O47*各种公式!$J$4</f>
        <v>26875</v>
      </c>
      <c r="J46" s="68">
        <f>'4、人物躶体&amp;总属性表'!P47</f>
        <v>26875</v>
      </c>
      <c r="K46" s="68">
        <f>'4、人物躶体&amp;总属性表'!Q47/各种公式!$M$6*各种公式!$J$6</f>
        <v>10750</v>
      </c>
      <c r="L46" s="68">
        <f>'4、人物躶体&amp;总属性表'!R47/各种公式!$M$6*各种公式!$J$6</f>
        <v>10750</v>
      </c>
      <c r="M46" s="68">
        <f>'4、人物躶体&amp;总属性表'!S47/各种公式!$M$8*各种公式!$J$8</f>
        <v>5375</v>
      </c>
      <c r="N46" s="68">
        <f>'4、人物躶体&amp;总属性表'!T47/各种公式!$M$9*各种公式!$J$9</f>
        <v>10750</v>
      </c>
      <c r="O46" s="68">
        <f>'4、人物躶体&amp;总属性表'!U47/各种公式!$M$10*各种公式!$J$10</f>
        <v>10750</v>
      </c>
      <c r="P46" s="1">
        <f t="shared" si="9"/>
        <v>20.707785294734482</v>
      </c>
      <c r="Q46" s="1">
        <f t="shared" si="5"/>
        <v>5.6363636363636367</v>
      </c>
      <c r="R46" s="1">
        <f t="shared" si="6"/>
        <v>5.6363636363636394</v>
      </c>
      <c r="S46" s="1">
        <f t="shared" si="7"/>
        <v>3.6739619071303093</v>
      </c>
      <c r="T46" s="31">
        <f t="shared" si="2"/>
        <v>0.15596143310026081</v>
      </c>
      <c r="U46" s="31">
        <f t="shared" si="3"/>
        <v>0.25000000000000022</v>
      </c>
      <c r="V46" s="31">
        <f t="shared" si="4"/>
        <v>0.25000000000000033</v>
      </c>
      <c r="W46">
        <f>SUMPRODUCT(C46:O46,属性价值比,'5、系统属性规划'!$C$33:$O$33)</f>
        <v>26407.858209047226</v>
      </c>
    </row>
    <row r="47" spans="1:23" x14ac:dyDescent="0.15">
      <c r="A47">
        <f t="shared" si="8"/>
        <v>120585.38682684969</v>
      </c>
      <c r="B47" s="1">
        <f>'4、人物躶体&amp;总属性表'!H48</f>
        <v>44</v>
      </c>
      <c r="C47" s="68">
        <f>'4、人物躶体&amp;总属性表'!I48</f>
        <v>551686.67067124194</v>
      </c>
      <c r="D47" s="68">
        <f>'4、人物躶体&amp;总属性表'!J48</f>
        <v>35458.560000000005</v>
      </c>
      <c r="E47" s="68">
        <f>'4、人物躶体&amp;总属性表'!K48</f>
        <v>15759.360000000004</v>
      </c>
      <c r="F47" s="68">
        <f>'4、人物躶体&amp;总属性表'!L48</f>
        <v>27500</v>
      </c>
      <c r="G47" s="68">
        <f>'4、人物躶体&amp;总属性表'!M48</f>
        <v>27500</v>
      </c>
      <c r="H47" s="68">
        <f>'4、人物躶体&amp;总属性表'!N48</f>
        <v>27500</v>
      </c>
      <c r="I47" s="68">
        <f>'4、人物躶体&amp;总属性表'!O48*各种公式!$J$4</f>
        <v>27500.000000000004</v>
      </c>
      <c r="J47" s="68">
        <f>'4、人物躶体&amp;总属性表'!P48</f>
        <v>27500</v>
      </c>
      <c r="K47" s="68">
        <f>'4、人物躶体&amp;总属性表'!Q48/各种公式!$M$6*各种公式!$J$6</f>
        <v>11000</v>
      </c>
      <c r="L47" s="68">
        <f>'4、人物躶体&amp;总属性表'!R48/各种公式!$M$6*各种公式!$J$6</f>
        <v>11000</v>
      </c>
      <c r="M47" s="68">
        <f>'4、人物躶体&amp;总属性表'!S48/各种公式!$M$8*各种公式!$J$8</f>
        <v>5500</v>
      </c>
      <c r="N47" s="68">
        <f>'4、人物躶体&amp;总属性表'!T48/各种公式!$M$9*各种公式!$J$9</f>
        <v>11000</v>
      </c>
      <c r="O47" s="68">
        <f>'4、人物躶体&amp;总属性表'!U48/各种公式!$M$10*各种公式!$J$10</f>
        <v>11000</v>
      </c>
      <c r="P47" s="1">
        <f t="shared" si="9"/>
        <v>21.69805418559319</v>
      </c>
      <c r="Q47" s="1">
        <f t="shared" si="5"/>
        <v>5.8181818181818183</v>
      </c>
      <c r="R47" s="1">
        <f t="shared" si="6"/>
        <v>5.8181818181818201</v>
      </c>
      <c r="S47" s="1">
        <f t="shared" si="7"/>
        <v>3.7293530631488281</v>
      </c>
      <c r="T47" s="31">
        <f t="shared" si="2"/>
        <v>0.16341967902925453</v>
      </c>
      <c r="U47" s="31">
        <f t="shared" si="3"/>
        <v>0.25806451612903247</v>
      </c>
      <c r="V47" s="31">
        <f t="shared" si="4"/>
        <v>0.25806451612903253</v>
      </c>
      <c r="W47">
        <f>SUMPRODUCT(C47:O47,属性价值比,'5、系统属性规划'!$C$33:$O$33)</f>
        <v>27253.026902633748</v>
      </c>
    </row>
    <row r="48" spans="1:23" x14ac:dyDescent="0.15">
      <c r="A48">
        <f t="shared" si="8"/>
        <v>124285.40215076762</v>
      </c>
      <c r="B48" s="1">
        <f>'4、人物躶体&amp;总属性表'!H49</f>
        <v>45</v>
      </c>
      <c r="C48" s="68">
        <f>'4、人物躶体&amp;总属性表'!I49</f>
        <v>577298.05376919033</v>
      </c>
      <c r="D48" s="68">
        <f>'4、人物躶体&amp;总属性表'!J49</f>
        <v>36566.640000000007</v>
      </c>
      <c r="E48" s="68">
        <f>'4、人物躶体&amp;总属性表'!K49</f>
        <v>16251.840000000002</v>
      </c>
      <c r="F48" s="68">
        <f>'4、人物躶体&amp;总属性表'!L49</f>
        <v>28125</v>
      </c>
      <c r="G48" s="68">
        <f>'4、人物躶体&amp;总属性表'!M49</f>
        <v>28125</v>
      </c>
      <c r="H48" s="68">
        <f>'4、人物躶体&amp;总属性表'!N49</f>
        <v>28125</v>
      </c>
      <c r="I48" s="68">
        <f>'4、人物躶体&amp;总属性表'!O49*各种公式!$J$4</f>
        <v>28125</v>
      </c>
      <c r="J48" s="68">
        <f>'4、人物躶体&amp;总属性表'!P49</f>
        <v>28125</v>
      </c>
      <c r="K48" s="68">
        <f>'4、人物躶体&amp;总属性表'!Q49/各种公式!$M$6*各种公式!$J$6</f>
        <v>11250</v>
      </c>
      <c r="L48" s="68">
        <f>'4、人物躶体&amp;总属性表'!R49/各种公式!$M$6*各种公式!$J$6</f>
        <v>11250</v>
      </c>
      <c r="M48" s="68">
        <f>'4、人物躶体&amp;总属性表'!S49/各种公式!$M$8*各种公式!$J$8</f>
        <v>5625</v>
      </c>
      <c r="N48" s="68">
        <f>'4、人物躶体&amp;总属性表'!T49/各种公式!$M$9*各种公式!$J$9</f>
        <v>11250</v>
      </c>
      <c r="O48" s="68">
        <f>'4、人物躶体&amp;总属性表'!U49/各种公式!$M$10*各种公式!$J$10</f>
        <v>11250</v>
      </c>
      <c r="P48" s="1">
        <f t="shared" si="9"/>
        <v>22.70535997667044</v>
      </c>
      <c r="Q48" s="1">
        <f t="shared" si="5"/>
        <v>6.0000000000000009</v>
      </c>
      <c r="R48" s="1">
        <f t="shared" si="6"/>
        <v>6.0000000000000009</v>
      </c>
      <c r="S48" s="1">
        <f t="shared" si="7"/>
        <v>3.7842266627784062</v>
      </c>
      <c r="T48" s="31">
        <f t="shared" si="2"/>
        <v>0.17100623898777154</v>
      </c>
      <c r="U48" s="31">
        <f t="shared" si="3"/>
        <v>0.26612903225806478</v>
      </c>
      <c r="V48" s="31">
        <f t="shared" si="4"/>
        <v>0.26612903225806472</v>
      </c>
      <c r="W48">
        <f>SUMPRODUCT(C48:O48,属性价值比,'5、系统属性规划'!$C$33:$O$33)</f>
        <v>28102.12609663872</v>
      </c>
    </row>
    <row r="49" spans="1:23" x14ac:dyDescent="0.15">
      <c r="A49">
        <f t="shared" si="8"/>
        <v>128002.41484120558</v>
      </c>
      <c r="B49" s="1">
        <f>'4、人物躶体&amp;总属性表'!H50</f>
        <v>46</v>
      </c>
      <c r="C49" s="68">
        <f>'4、人物躶体&amp;总属性表'!I50</f>
        <v>603334.37103013904</v>
      </c>
      <c r="D49" s="68">
        <f>'4、人物躶体&amp;总属性表'!J50</f>
        <v>37674.720000000016</v>
      </c>
      <c r="E49" s="68">
        <f>'4、人物躶体&amp;总属性表'!K50</f>
        <v>16744.320000000007</v>
      </c>
      <c r="F49" s="68">
        <f>'4、人物躶体&amp;总属性表'!L50</f>
        <v>28750</v>
      </c>
      <c r="G49" s="68">
        <f>'4、人物躶体&amp;总属性表'!M50</f>
        <v>28750</v>
      </c>
      <c r="H49" s="68">
        <f>'4、人物躶体&amp;总属性表'!N50</f>
        <v>28750</v>
      </c>
      <c r="I49" s="68">
        <f>'4、人物躶体&amp;总属性表'!O50*各种公式!$J$4</f>
        <v>28749.999999999996</v>
      </c>
      <c r="J49" s="68">
        <f>'4、人物躶体&amp;总属性表'!P50</f>
        <v>28750</v>
      </c>
      <c r="K49" s="68">
        <f>'4、人物躶体&amp;总属性表'!Q50/各种公式!$M$6*各种公式!$J$6</f>
        <v>11500</v>
      </c>
      <c r="L49" s="68">
        <f>'4、人物躶体&amp;总属性表'!R50/各种公式!$M$6*各种公式!$J$6</f>
        <v>11500</v>
      </c>
      <c r="M49" s="68">
        <f>'4、人物躶体&amp;总属性表'!S50/各种公式!$M$8*各种公式!$J$8</f>
        <v>5750</v>
      </c>
      <c r="N49" s="68">
        <f>'4、人物躶体&amp;总属性表'!T50/各种公式!$M$9*各种公式!$J$9</f>
        <v>11500</v>
      </c>
      <c r="O49" s="68">
        <f>'4、人物躶体&amp;总属性表'!U50/各种公式!$M$10*各种公式!$J$10</f>
        <v>11500</v>
      </c>
      <c r="P49" s="1">
        <f t="shared" si="9"/>
        <v>23.729378595851497</v>
      </c>
      <c r="Q49" s="1">
        <f t="shared" si="5"/>
        <v>6.1818181818181843</v>
      </c>
      <c r="R49" s="1">
        <f t="shared" si="6"/>
        <v>6.1818181818181843</v>
      </c>
      <c r="S49" s="1">
        <f t="shared" si="7"/>
        <v>3.8385759493289169</v>
      </c>
      <c r="T49" s="31">
        <f t="shared" si="2"/>
        <v>0.17871867221497126</v>
      </c>
      <c r="U49" s="31">
        <f t="shared" si="3"/>
        <v>0.27419354838709714</v>
      </c>
      <c r="V49" s="31">
        <f t="shared" si="4"/>
        <v>0.27419354838709709</v>
      </c>
      <c r="W49">
        <f>SUMPRODUCT(C49:O49,属性价值比,'5、系统属性规划'!$C$33:$O$33)</f>
        <v>28955.081025960146</v>
      </c>
    </row>
    <row r="50" spans="1:23" x14ac:dyDescent="0.15">
      <c r="A50">
        <f t="shared" si="8"/>
        <v>131736.09164930112</v>
      </c>
      <c r="B50" s="1">
        <f>'4、人物躶体&amp;总属性表'!H51</f>
        <v>47</v>
      </c>
      <c r="C50" s="68">
        <f>'4、人物躶体&amp;总属性表'!I51</f>
        <v>629787.29123252782</v>
      </c>
      <c r="D50" s="68">
        <f>'4、人物躶体&amp;总属性表'!J51</f>
        <v>38782.80000000001</v>
      </c>
      <c r="E50" s="68">
        <f>'4、人物躶体&amp;总属性表'!K51</f>
        <v>17236.800000000007</v>
      </c>
      <c r="F50" s="68">
        <f>'4、人物躶体&amp;总属性表'!L51</f>
        <v>29375</v>
      </c>
      <c r="G50" s="68">
        <f>'4、人物躶体&amp;总属性表'!M51</f>
        <v>29375</v>
      </c>
      <c r="H50" s="68">
        <f>'4、人物躶体&amp;总属性表'!N51</f>
        <v>29375</v>
      </c>
      <c r="I50" s="68">
        <f>'4、人物躶体&amp;总属性表'!O51*各种公式!$J$4</f>
        <v>29375</v>
      </c>
      <c r="J50" s="68">
        <f>'4、人物躶体&amp;总属性表'!P51</f>
        <v>29375</v>
      </c>
      <c r="K50" s="68">
        <f>'4、人物躶体&amp;总属性表'!Q51/各种公式!$M$6*各种公式!$J$6</f>
        <v>11750</v>
      </c>
      <c r="L50" s="68">
        <f>'4、人物躶体&amp;总属性表'!R51/各种公式!$M$6*各种公式!$J$6</f>
        <v>11750</v>
      </c>
      <c r="M50" s="68">
        <f>'4、人物躶体&amp;总属性表'!S51/各种公式!$M$8*各种公式!$J$8</f>
        <v>5875</v>
      </c>
      <c r="N50" s="68">
        <f>'4、人物躶体&amp;总属性表'!T51/各种公式!$M$9*各种公式!$J$9</f>
        <v>11750</v>
      </c>
      <c r="O50" s="68">
        <f>'4、人物躶体&amp;总属性表'!U51/各种公式!$M$10*各种公式!$J$10</f>
        <v>11750</v>
      </c>
      <c r="P50" s="1">
        <f t="shared" si="9"/>
        <v>24.769782372908939</v>
      </c>
      <c r="Q50" s="1">
        <f t="shared" si="5"/>
        <v>6.3636363636363651</v>
      </c>
      <c r="R50" s="1">
        <f t="shared" si="6"/>
        <v>6.363636363636366</v>
      </c>
      <c r="S50" s="1">
        <f t="shared" si="7"/>
        <v>3.8923943728856889</v>
      </c>
      <c r="T50" s="31">
        <f t="shared" si="2"/>
        <v>0.18655451085069744</v>
      </c>
      <c r="U50" s="31">
        <f t="shared" si="3"/>
        <v>0.28225806451612934</v>
      </c>
      <c r="V50" s="31">
        <f t="shared" si="4"/>
        <v>0.28225806451612934</v>
      </c>
      <c r="W50">
        <f>SUMPRODUCT(C50:O50,属性价值比,'5、系统属性规划'!$C$33:$O$33)</f>
        <v>29811.816095392929</v>
      </c>
    </row>
    <row r="51" spans="1:23" x14ac:dyDescent="0.15">
      <c r="A51">
        <f t="shared" si="8"/>
        <v>135486.09585799885</v>
      </c>
      <c r="B51" s="1">
        <f>'4、人物躶体&amp;总属性表'!H52</f>
        <v>48</v>
      </c>
      <c r="C51" s="68">
        <f>'4、人物躶体&amp;总属性表'!I52</f>
        <v>656648.39644997043</v>
      </c>
      <c r="D51" s="68">
        <f>'4、人物躶体&amp;总属性表'!J52</f>
        <v>39890.880000000019</v>
      </c>
      <c r="E51" s="68">
        <f>'4、人物躶体&amp;总属性表'!K52</f>
        <v>17729.280000000006</v>
      </c>
      <c r="F51" s="68">
        <f>'4、人物躶体&amp;总属性表'!L52</f>
        <v>30000</v>
      </c>
      <c r="G51" s="68">
        <f>'4、人物躶体&amp;总属性表'!M52</f>
        <v>30000</v>
      </c>
      <c r="H51" s="68">
        <f>'4、人物躶体&amp;总属性表'!N52</f>
        <v>30000</v>
      </c>
      <c r="I51" s="68">
        <f>'4、人物躶体&amp;总属性表'!O52*各种公式!$J$4</f>
        <v>30000</v>
      </c>
      <c r="J51" s="68">
        <f>'4、人物躶体&amp;总属性表'!P52</f>
        <v>30000</v>
      </c>
      <c r="K51" s="68">
        <f>'4、人物躶体&amp;总属性表'!Q52/各种公式!$M$6*各种公式!$J$6</f>
        <v>12000</v>
      </c>
      <c r="L51" s="68">
        <f>'4、人物躶体&amp;总属性表'!R52/各种公式!$M$6*各种公式!$J$6</f>
        <v>12000</v>
      </c>
      <c r="M51" s="68">
        <f>'4、人物躶体&amp;总属性表'!S52/各种公式!$M$8*各种公式!$J$8</f>
        <v>6000</v>
      </c>
      <c r="N51" s="68">
        <f>'4、人物躶体&amp;总属性表'!T52/各种公式!$M$9*各种公式!$J$9</f>
        <v>12000</v>
      </c>
      <c r="O51" s="68">
        <f>'4、人物躶体&amp;总属性表'!U52/各种公式!$M$10*各种公式!$J$10</f>
        <v>12000</v>
      </c>
      <c r="P51" s="1">
        <f t="shared" si="9"/>
        <v>25.826240227480358</v>
      </c>
      <c r="Q51" s="1">
        <f t="shared" si="5"/>
        <v>6.5454545454545476</v>
      </c>
      <c r="R51" s="1">
        <f t="shared" si="6"/>
        <v>6.5454545454545476</v>
      </c>
      <c r="S51" s="1">
        <f t="shared" si="7"/>
        <v>3.9456755903094978</v>
      </c>
      <c r="T51" s="31">
        <f t="shared" si="2"/>
        <v>0.19451126135123897</v>
      </c>
      <c r="U51" s="31">
        <f t="shared" si="3"/>
        <v>0.29032258064516164</v>
      </c>
      <c r="V51" s="31">
        <f t="shared" si="4"/>
        <v>0.29032258064516159</v>
      </c>
      <c r="W51">
        <f>SUMPRODUCT(C51:O51,属性价值比,'5、系统属性规划'!$C$33:$O$33)</f>
        <v>30672.254922996341</v>
      </c>
    </row>
    <row r="52" spans="1:23" x14ac:dyDescent="0.15">
      <c r="A52">
        <f t="shared" si="8"/>
        <v>139252.08747322817</v>
      </c>
      <c r="B52" s="1">
        <f>'4、人物躶体&amp;总属性表'!H53</f>
        <v>49</v>
      </c>
      <c r="C52" s="68">
        <f>'4、人物躶体&amp;总属性表'!I53</f>
        <v>683909.1868307034</v>
      </c>
      <c r="D52" s="68">
        <f>'4、人物躶体&amp;总属性表'!J53</f>
        <v>40998.960000000021</v>
      </c>
      <c r="E52" s="68">
        <f>'4、人物躶体&amp;总属性表'!K53</f>
        <v>18221.760000000009</v>
      </c>
      <c r="F52" s="68">
        <f>'4、人物躶体&amp;总属性表'!L53</f>
        <v>30625</v>
      </c>
      <c r="G52" s="68">
        <f>'4、人物躶体&amp;总属性表'!M53</f>
        <v>30625</v>
      </c>
      <c r="H52" s="68">
        <f>'4、人物躶体&amp;总属性表'!N53</f>
        <v>30625</v>
      </c>
      <c r="I52" s="68">
        <f>'4、人物躶体&amp;总属性表'!O53*各种公式!$J$4</f>
        <v>30625.000000000004</v>
      </c>
      <c r="J52" s="68">
        <f>'4、人物躶体&amp;总属性表'!P53</f>
        <v>30625</v>
      </c>
      <c r="K52" s="68">
        <f>'4、人物躶体&amp;总属性表'!Q53/各种公式!$M$6*各种公式!$J$6</f>
        <v>12250</v>
      </c>
      <c r="L52" s="68">
        <f>'4、人物躶体&amp;总属性表'!R53/各种公式!$M$6*各种公式!$J$6</f>
        <v>12250</v>
      </c>
      <c r="M52" s="68">
        <f>'4、人物躶体&amp;总属性表'!S53/各种公式!$M$8*各种公式!$J$8</f>
        <v>6125</v>
      </c>
      <c r="N52" s="68">
        <f>'4、人物躶体&amp;总属性表'!T53/各种公式!$M$9*各种公式!$J$9</f>
        <v>12250</v>
      </c>
      <c r="O52" s="68">
        <f>'4、人物躶体&amp;总属性表'!U53/各种公式!$M$10*各种公式!$J$10</f>
        <v>12250</v>
      </c>
      <c r="P52" s="1">
        <f t="shared" si="9"/>
        <v>26.898417857045978</v>
      </c>
      <c r="Q52" s="1">
        <f t="shared" si="5"/>
        <v>6.7272727272727302</v>
      </c>
      <c r="R52" s="1">
        <f t="shared" si="6"/>
        <v>6.7272727272727311</v>
      </c>
      <c r="S52" s="1">
        <f t="shared" si="7"/>
        <v>3.9984134652365619</v>
      </c>
      <c r="T52" s="31">
        <f t="shared" si="2"/>
        <v>0.20258640590509017</v>
      </c>
      <c r="U52" s="31">
        <f t="shared" si="3"/>
        <v>0.29838709677419395</v>
      </c>
      <c r="V52" s="31">
        <f t="shared" si="4"/>
        <v>0.29838709677419395</v>
      </c>
      <c r="W52">
        <f>SUMPRODUCT(C52:O52,属性价值比,'5、系统属性规划'!$C$33:$O$33)</f>
        <v>31536.32038346136</v>
      </c>
    </row>
    <row r="53" spans="1:23" x14ac:dyDescent="0.15">
      <c r="A53">
        <f t="shared" si="8"/>
        <v>143621.11633228604</v>
      </c>
      <c r="B53" s="1">
        <f>'4、人物躶体&amp;总属性表'!H54</f>
        <v>50</v>
      </c>
      <c r="C53" s="68">
        <f>'4、人物躶体&amp;总属性表'!I54</f>
        <v>716242.40830715036</v>
      </c>
      <c r="D53" s="68">
        <f>'4、人物躶体&amp;总属性表'!J54</f>
        <v>42384.060000000012</v>
      </c>
      <c r="E53" s="68">
        <f>'4、人物躶体&amp;总属性表'!K54</f>
        <v>18837.360000000004</v>
      </c>
      <c r="F53" s="68">
        <f>'4、人物躶体&amp;总属性表'!L54</f>
        <v>31250</v>
      </c>
      <c r="G53" s="68">
        <f>'4、人物躶体&amp;总属性表'!M54</f>
        <v>31250</v>
      </c>
      <c r="H53" s="68">
        <f>'4、人物躶体&amp;总属性表'!N54</f>
        <v>31250</v>
      </c>
      <c r="I53" s="68">
        <f>'4、人物躶体&amp;总属性表'!O54*各种公式!$J$4</f>
        <v>31250</v>
      </c>
      <c r="J53" s="68">
        <f>'4、人物躶体&amp;总属性表'!P54</f>
        <v>31250</v>
      </c>
      <c r="K53" s="68">
        <f>'4、人物躶体&amp;总属性表'!Q54/各种公式!$M$6*各种公式!$J$6</f>
        <v>12500</v>
      </c>
      <c r="L53" s="68">
        <f>'4、人物躶体&amp;总属性表'!R54/各种公式!$M$6*各种公式!$J$6</f>
        <v>12500</v>
      </c>
      <c r="M53" s="68">
        <f>'4、人物躶体&amp;总属性表'!S54/各种公式!$M$8*各种公式!$J$8</f>
        <v>6250</v>
      </c>
      <c r="N53" s="68">
        <f>'4、人物躶体&amp;总属性表'!T54/各种公式!$M$9*各种公式!$J$9</f>
        <v>12500</v>
      </c>
      <c r="O53" s="68">
        <f>'4、人物躶体&amp;总属性表'!U54/各种公式!$M$10*各种公式!$J$10</f>
        <v>12500</v>
      </c>
      <c r="P53" s="1">
        <f t="shared" si="9"/>
        <v>28.170096200728139</v>
      </c>
      <c r="Q53" s="1">
        <f t="shared" si="5"/>
        <v>6.9545454545454559</v>
      </c>
      <c r="R53" s="1">
        <f t="shared" si="6"/>
        <v>6.9545454545454568</v>
      </c>
      <c r="S53" s="1">
        <f t="shared" si="7"/>
        <v>4.0506020680785548</v>
      </c>
      <c r="T53" s="31">
        <f t="shared" si="2"/>
        <v>0.21216409729508479</v>
      </c>
      <c r="U53" s="31">
        <f t="shared" si="3"/>
        <v>0.30846774193548421</v>
      </c>
      <c r="V53" s="31">
        <f t="shared" si="4"/>
        <v>0.30846774193548421</v>
      </c>
      <c r="W53">
        <f>SUMPRODUCT(C53:O53,属性价值比,'5、系统属性规划'!$C$33:$O$33)</f>
        <v>32548.245076816827</v>
      </c>
    </row>
    <row r="54" spans="1:23" x14ac:dyDescent="0.15">
      <c r="A54">
        <f t="shared" si="8"/>
        <v>148010.21742321039</v>
      </c>
      <c r="B54" s="1">
        <f>'4、人物躶体&amp;总属性表'!H55</f>
        <v>51</v>
      </c>
      <c r="C54" s="68">
        <f>'4、人物躶体&amp;总属性表'!I55</f>
        <v>749077.43558025884</v>
      </c>
      <c r="D54" s="68">
        <f>'4、人物躶体&amp;总属性表'!J55</f>
        <v>43769.160000000011</v>
      </c>
      <c r="E54" s="68">
        <f>'4、人物躶体&amp;总属性表'!K55</f>
        <v>19452.960000000006</v>
      </c>
      <c r="F54" s="68">
        <f>'4、人物躶体&amp;总属性表'!L55</f>
        <v>31875</v>
      </c>
      <c r="G54" s="68">
        <f>'4、人物躶体&amp;总属性表'!M55</f>
        <v>31875</v>
      </c>
      <c r="H54" s="68">
        <f>'4、人物躶体&amp;总属性表'!N55</f>
        <v>31875</v>
      </c>
      <c r="I54" s="68">
        <f>'4、人物躶体&amp;总属性表'!O55*各种公式!$J$4</f>
        <v>31874.999999999996</v>
      </c>
      <c r="J54" s="68">
        <f>'4、人物躶体&amp;总属性表'!P55</f>
        <v>31875</v>
      </c>
      <c r="K54" s="68">
        <f>'4、人物躶体&amp;总属性表'!Q55/各种公式!$M$6*各种公式!$J$6</f>
        <v>12750</v>
      </c>
      <c r="L54" s="68">
        <f>'4、人物躶体&amp;总属性表'!R55/各种公式!$M$6*各种公式!$J$6</f>
        <v>12750</v>
      </c>
      <c r="M54" s="68">
        <f>'4、人物躶体&amp;总属性表'!S55/各种公式!$M$8*各种公式!$J$8</f>
        <v>6375</v>
      </c>
      <c r="N54" s="68">
        <f>'4、人物躶体&amp;总属性表'!T55/各种公式!$M$9*各种公式!$J$9</f>
        <v>12750</v>
      </c>
      <c r="O54" s="68">
        <f>'4、人物躶体&amp;总属性表'!U55/各种公式!$M$10*各种公式!$J$10</f>
        <v>12750</v>
      </c>
      <c r="P54" s="1">
        <f t="shared" si="9"/>
        <v>29.461510764162284</v>
      </c>
      <c r="Q54" s="1">
        <f t="shared" si="5"/>
        <v>7.1818181818181825</v>
      </c>
      <c r="R54" s="1">
        <f t="shared" si="6"/>
        <v>7.1818181818181843</v>
      </c>
      <c r="S54" s="1">
        <f t="shared" si="7"/>
        <v>4.1022356760225955</v>
      </c>
      <c r="T54" s="31">
        <f t="shared" si="2"/>
        <v>0.22189043273719269</v>
      </c>
      <c r="U54" s="31">
        <f t="shared" si="3"/>
        <v>0.31854838709677452</v>
      </c>
      <c r="V54" s="31">
        <f t="shared" si="4"/>
        <v>0.31854838709677452</v>
      </c>
      <c r="W54">
        <f>SUMPRODUCT(C54:O54,属性价值比,'5、系统属性规划'!$C$33:$O$33)</f>
        <v>33564.723017476601</v>
      </c>
    </row>
    <row r="55" spans="1:23" x14ac:dyDescent="0.15">
      <c r="A55">
        <f t="shared" si="8"/>
        <v>152418.96433335566</v>
      </c>
      <c r="B55" s="1">
        <f>'4、人物躶体&amp;总属性表'!H56</f>
        <v>52</v>
      </c>
      <c r="C55" s="68">
        <f>'4、人物躶体&amp;总属性表'!I56</f>
        <v>782403.60833389161</v>
      </c>
      <c r="D55" s="68">
        <f>'4、人物躶体&amp;总属性表'!J56</f>
        <v>45154.26</v>
      </c>
      <c r="E55" s="68">
        <f>'4、人物躶体&amp;总属性表'!K56</f>
        <v>20068.560000000005</v>
      </c>
      <c r="F55" s="68">
        <f>'4、人物躶体&amp;总属性表'!L56</f>
        <v>32500</v>
      </c>
      <c r="G55" s="68">
        <f>'4、人物躶体&amp;总属性表'!M56</f>
        <v>32500</v>
      </c>
      <c r="H55" s="68">
        <f>'4、人物躶体&amp;总属性表'!N56</f>
        <v>32500</v>
      </c>
      <c r="I55" s="68">
        <f>'4、人物躶体&amp;总属性表'!O56*各种公式!$J$4</f>
        <v>32500</v>
      </c>
      <c r="J55" s="68">
        <f>'4、人物躶体&amp;总属性表'!P56</f>
        <v>32500</v>
      </c>
      <c r="K55" s="68">
        <f>'4、人物躶体&amp;总属性表'!Q56/各种公式!$M$6*各种公式!$J$6</f>
        <v>13000</v>
      </c>
      <c r="L55" s="68">
        <f>'4、人物躶体&amp;总属性表'!R56/各种公式!$M$6*各种公式!$J$6</f>
        <v>13000</v>
      </c>
      <c r="M55" s="68">
        <f>'4、人物躶体&amp;总属性表'!S56/各种公式!$M$8*各种公式!$J$8</f>
        <v>6500</v>
      </c>
      <c r="N55" s="68">
        <f>'4、人物躶体&amp;总属性表'!T56/各种公式!$M$9*各种公式!$J$9</f>
        <v>13000</v>
      </c>
      <c r="O55" s="68">
        <f>'4、人物躶体&amp;总属性表'!U56/各种公式!$M$10*各种公式!$J$10</f>
        <v>13000</v>
      </c>
      <c r="P55" s="1">
        <f t="shared" si="9"/>
        <v>30.772242272913338</v>
      </c>
      <c r="Q55" s="1">
        <f t="shared" si="5"/>
        <v>7.4090909090909092</v>
      </c>
      <c r="R55" s="1">
        <f t="shared" si="6"/>
        <v>7.4090909090909109</v>
      </c>
      <c r="S55" s="1">
        <f t="shared" si="7"/>
        <v>4.153308773031247</v>
      </c>
      <c r="T55" s="31">
        <f t="shared" si="2"/>
        <v>0.23176225445085813</v>
      </c>
      <c r="U55" s="31">
        <f t="shared" si="3"/>
        <v>0.32862903225806483</v>
      </c>
      <c r="V55" s="31">
        <f t="shared" si="4"/>
        <v>0.32862903225806483</v>
      </c>
      <c r="W55">
        <f>SUMPRODUCT(C55:O55,属性价值比,'5、系统属性规划'!$C$33:$O$33)</f>
        <v>34585.657476674198</v>
      </c>
    </row>
    <row r="56" spans="1:23" x14ac:dyDescent="0.15">
      <c r="A56">
        <f t="shared" si="8"/>
        <v>156846.9271560185</v>
      </c>
      <c r="B56" s="1">
        <f>'4、人物躶体&amp;总属性表'!H57</f>
        <v>53</v>
      </c>
      <c r="C56" s="68">
        <f>'4、人物躶体&amp;总属性表'!I57</f>
        <v>816210.17890046258</v>
      </c>
      <c r="D56" s="68">
        <f>'4、人物躶体&amp;总属性表'!J57</f>
        <v>46539.360000000008</v>
      </c>
      <c r="E56" s="68">
        <f>'4、人物躶体&amp;总属性表'!K57</f>
        <v>20684.160000000003</v>
      </c>
      <c r="F56" s="68">
        <f>'4、人物躶体&amp;总属性表'!L57</f>
        <v>33125</v>
      </c>
      <c r="G56" s="68">
        <f>'4、人物躶体&amp;总属性表'!M57</f>
        <v>33125</v>
      </c>
      <c r="H56" s="68">
        <f>'4、人物躶体&amp;总属性表'!N57</f>
        <v>33125</v>
      </c>
      <c r="I56" s="68">
        <f>'4、人物躶体&amp;总属性表'!O57*各种公式!$J$4</f>
        <v>33125</v>
      </c>
      <c r="J56" s="68">
        <f>'4、人物躶体&amp;总属性表'!P57</f>
        <v>33125</v>
      </c>
      <c r="K56" s="68">
        <f>'4、人物躶体&amp;总属性表'!Q57/各种公式!$M$6*各种公式!$J$6</f>
        <v>13250</v>
      </c>
      <c r="L56" s="68">
        <f>'4、人物躶体&amp;总属性表'!R57/各种公式!$M$6*各种公式!$J$6</f>
        <v>13250</v>
      </c>
      <c r="M56" s="68">
        <f>'4、人物躶体&amp;总属性表'!S57/各种公式!$M$8*各种公式!$J$8</f>
        <v>6625</v>
      </c>
      <c r="N56" s="68">
        <f>'4、人物躶体&amp;总属性表'!T57/各种公式!$M$9*各种公式!$J$9</f>
        <v>13250</v>
      </c>
      <c r="O56" s="68">
        <f>'4、人物躶体&amp;总属性表'!U57/各种公式!$M$10*各种公式!$J$10</f>
        <v>13250</v>
      </c>
      <c r="P56" s="1">
        <f t="shared" si="9"/>
        <v>32.101868016979324</v>
      </c>
      <c r="Q56" s="1">
        <f t="shared" si="5"/>
        <v>7.6363636363636367</v>
      </c>
      <c r="R56" s="1">
        <f t="shared" si="6"/>
        <v>7.6363636363636376</v>
      </c>
      <c r="S56" s="1">
        <f t="shared" si="7"/>
        <v>4.2038160498425299</v>
      </c>
      <c r="T56" s="31">
        <f t="shared" si="2"/>
        <v>0.24177637878042904</v>
      </c>
      <c r="U56" s="31">
        <f t="shared" si="3"/>
        <v>0.33870967741935515</v>
      </c>
      <c r="V56" s="31">
        <f t="shared" si="4"/>
        <v>0.33870967741935515</v>
      </c>
      <c r="W56">
        <f>SUMPRODUCT(C56:O56,属性价值比,'5、系统属性规划'!$C$33:$O$33)</f>
        <v>35610.950933040251</v>
      </c>
    </row>
    <row r="57" spans="1:23" x14ac:dyDescent="0.15">
      <c r="A57">
        <f t="shared" si="8"/>
        <v>161293.67272940991</v>
      </c>
      <c r="B57" s="1">
        <f>'4、人物躶体&amp;总属性表'!H58</f>
        <v>54</v>
      </c>
      <c r="C57" s="68">
        <f>'4、人物躶体&amp;总属性表'!I58</f>
        <v>850486.3182352474</v>
      </c>
      <c r="D57" s="68">
        <f>'4、人物躶体&amp;总属性表'!J58</f>
        <v>47924.460000000014</v>
      </c>
      <c r="E57" s="68">
        <f>'4、人物躶体&amp;总属性表'!K58</f>
        <v>21299.760000000006</v>
      </c>
      <c r="F57" s="68">
        <f>'4、人物躶体&amp;总属性表'!L58</f>
        <v>33750</v>
      </c>
      <c r="G57" s="68">
        <f>'4、人物躶体&amp;总属性表'!M58</f>
        <v>33750</v>
      </c>
      <c r="H57" s="68">
        <f>'4、人物躶体&amp;总属性表'!N58</f>
        <v>33750</v>
      </c>
      <c r="I57" s="68">
        <f>'4、人物躶体&amp;总属性表'!O58*各种公式!$J$4</f>
        <v>33750</v>
      </c>
      <c r="J57" s="68">
        <f>'4、人物躶体&amp;总属性表'!P58</f>
        <v>33750</v>
      </c>
      <c r="K57" s="68">
        <f>'4、人物躶体&amp;总属性表'!Q58/各种公式!$M$6*各种公式!$J$6</f>
        <v>13500</v>
      </c>
      <c r="L57" s="68">
        <f>'4、人物躶体&amp;总属性表'!R58/各种公式!$M$6*各种公式!$J$6</f>
        <v>13500</v>
      </c>
      <c r="M57" s="68">
        <f>'4、人物躶体&amp;总属性表'!S58/各种公式!$M$8*各种公式!$J$8</f>
        <v>6750</v>
      </c>
      <c r="N57" s="68">
        <f>'4、人物躶体&amp;总属性表'!T58/各种公式!$M$9*各种公式!$J$9</f>
        <v>13500</v>
      </c>
      <c r="O57" s="68">
        <f>'4、人物躶体&amp;总属性表'!U58/各种公式!$M$10*各种公式!$J$10</f>
        <v>13500</v>
      </c>
      <c r="P57" s="1">
        <f t="shared" si="9"/>
        <v>33.449962085763339</v>
      </c>
      <c r="Q57" s="1">
        <f t="shared" si="5"/>
        <v>7.8636363636363651</v>
      </c>
      <c r="R57" s="1">
        <f t="shared" si="6"/>
        <v>7.863636363636366</v>
      </c>
      <c r="S57" s="1">
        <f t="shared" si="7"/>
        <v>4.2537524039699033</v>
      </c>
      <c r="T57" s="31">
        <f t="shared" si="2"/>
        <v>0.25192959796485714</v>
      </c>
      <c r="U57" s="31">
        <f t="shared" si="3"/>
        <v>0.34879032258064552</v>
      </c>
      <c r="V57" s="31">
        <f t="shared" si="4"/>
        <v>0.34879032258064552</v>
      </c>
      <c r="W57">
        <f>SUMPRODUCT(C57:O57,属性价值比,'5、系统属性规划'!$C$33:$O$33)</f>
        <v>36640.505126811637</v>
      </c>
    </row>
    <row r="58" spans="1:23" x14ac:dyDescent="0.15">
      <c r="A58">
        <f t="shared" si="8"/>
        <v>165758.76487562797</v>
      </c>
      <c r="B58" s="1">
        <f>'4、人物躶体&amp;总属性表'!H59</f>
        <v>55</v>
      </c>
      <c r="C58" s="68">
        <f>'4、人物躶体&amp;总属性表'!I59</f>
        <v>885221.12189069903</v>
      </c>
      <c r="D58" s="68">
        <f>'4、人物躶体&amp;总属性表'!J59</f>
        <v>49309.560000000005</v>
      </c>
      <c r="E58" s="68">
        <f>'4、人物躶体&amp;总属性表'!K59</f>
        <v>21915.360000000004</v>
      </c>
      <c r="F58" s="68">
        <f>'4、人物躶体&amp;总属性表'!L59</f>
        <v>34375</v>
      </c>
      <c r="G58" s="68">
        <f>'4、人物躶体&amp;总属性表'!M59</f>
        <v>34375</v>
      </c>
      <c r="H58" s="68">
        <f>'4、人物躶体&amp;总属性表'!N59</f>
        <v>34375</v>
      </c>
      <c r="I58" s="68">
        <f>'4、人物躶体&amp;总属性表'!O59*各种公式!$J$4</f>
        <v>34375</v>
      </c>
      <c r="J58" s="68">
        <f>'4、人物躶体&amp;总属性表'!P59</f>
        <v>34375</v>
      </c>
      <c r="K58" s="68">
        <f>'4、人物躶体&amp;总属性表'!Q59/各种公式!$M$6*各种公式!$J$6</f>
        <v>13750</v>
      </c>
      <c r="L58" s="68">
        <f>'4、人物躶体&amp;总属性表'!R59/各种公式!$M$6*各种公式!$J$6</f>
        <v>13750</v>
      </c>
      <c r="M58" s="68">
        <f>'4、人物躶体&amp;总属性表'!S59/各种公式!$M$8*各种公式!$J$8</f>
        <v>6875</v>
      </c>
      <c r="N58" s="68">
        <f>'4、人物躶体&amp;总属性表'!T59/各种公式!$M$9*各种公式!$J$9</f>
        <v>13750</v>
      </c>
      <c r="O58" s="68">
        <f>'4、人物躶体&amp;总属性表'!U59/各种公式!$M$10*各种公式!$J$10</f>
        <v>13750</v>
      </c>
      <c r="P58" s="1">
        <f t="shared" si="9"/>
        <v>34.81609560304576</v>
      </c>
      <c r="Q58" s="1">
        <f t="shared" si="5"/>
        <v>8.0909090909090917</v>
      </c>
      <c r="R58" s="1">
        <f t="shared" si="6"/>
        <v>8.0909090909090935</v>
      </c>
      <c r="S58" s="1">
        <f t="shared" si="7"/>
        <v>4.3031129397022836</v>
      </c>
      <c r="T58" s="31">
        <f t="shared" si="2"/>
        <v>0.2622186819073995</v>
      </c>
      <c r="U58" s="31">
        <f t="shared" si="3"/>
        <v>0.35887096774193583</v>
      </c>
      <c r="V58" s="31">
        <f t="shared" si="4"/>
        <v>0.35887096774193589</v>
      </c>
      <c r="W58">
        <f>SUMPRODUCT(C58:O58,属性价值比,'5、系统属性规划'!$C$33:$O$33)</f>
        <v>37674.221114040869</v>
      </c>
    </row>
    <row r="59" spans="1:23" x14ac:dyDescent="0.15">
      <c r="A59">
        <f t="shared" si="8"/>
        <v>170241.76463963039</v>
      </c>
      <c r="B59" s="1">
        <f>'4、人物躶体&amp;总属性表'!H60</f>
        <v>56</v>
      </c>
      <c r="C59" s="68">
        <f>'4、人物躶体&amp;总属性表'!I60</f>
        <v>920403.6159907598</v>
      </c>
      <c r="D59" s="68">
        <f>'4、人物躶体&amp;总属性表'!J60</f>
        <v>50694.660000000011</v>
      </c>
      <c r="E59" s="68">
        <f>'4、人物躶体&amp;总属性表'!K60</f>
        <v>22530.960000000006</v>
      </c>
      <c r="F59" s="68">
        <f>'4、人物躶体&amp;总属性表'!L60</f>
        <v>35000</v>
      </c>
      <c r="G59" s="68">
        <f>'4、人物躶体&amp;总属性表'!M60</f>
        <v>35000</v>
      </c>
      <c r="H59" s="68">
        <f>'4、人物躶体&amp;总属性表'!N60</f>
        <v>35000</v>
      </c>
      <c r="I59" s="68">
        <f>'4、人物躶体&amp;总属性表'!O60*各种公式!$J$4</f>
        <v>35000</v>
      </c>
      <c r="J59" s="68">
        <f>'4、人物躶体&amp;总属性表'!P60</f>
        <v>35000</v>
      </c>
      <c r="K59" s="68">
        <f>'4、人物躶体&amp;总属性表'!Q60/各种公式!$M$6*各种公式!$J$6</f>
        <v>14000</v>
      </c>
      <c r="L59" s="68">
        <f>'4、人物躶体&amp;总属性表'!R60/各种公式!$M$6*各种公式!$J$6</f>
        <v>14000</v>
      </c>
      <c r="M59" s="68">
        <f>'4、人物躶体&amp;总属性表'!S60/各种公式!$M$8*各种公式!$J$8</f>
        <v>6999.9999999999982</v>
      </c>
      <c r="N59" s="68">
        <f>'4、人物躶体&amp;总属性表'!T60/各种公式!$M$9*各种公式!$J$9</f>
        <v>13999.999999999996</v>
      </c>
      <c r="O59" s="68">
        <f>'4、人物躶体&amp;总属性表'!U60/各种公式!$M$10*各种公式!$J$10</f>
        <v>14000</v>
      </c>
      <c r="P59" s="1">
        <f t="shared" si="9"/>
        <v>36.199836961956251</v>
      </c>
      <c r="Q59" s="1">
        <f t="shared" si="5"/>
        <v>8.3181818181818201</v>
      </c>
      <c r="R59" s="1">
        <f t="shared" si="6"/>
        <v>8.3181818181818201</v>
      </c>
      <c r="S59" s="1">
        <f t="shared" si="7"/>
        <v>4.3518929681040293</v>
      </c>
      <c r="T59" s="31">
        <f t="shared" si="2"/>
        <v>0.27264037994531848</v>
      </c>
      <c r="U59" s="31">
        <f t="shared" si="3"/>
        <v>0.3689516129032262</v>
      </c>
      <c r="V59" s="31">
        <f t="shared" si="4"/>
        <v>0.36895161290322614</v>
      </c>
      <c r="W59">
        <f>SUMPRODUCT(C59:O59,属性价值比,'5、系统属性规划'!$C$33:$O$33)</f>
        <v>38711.999320805313</v>
      </c>
    </row>
    <row r="60" spans="1:23" x14ac:dyDescent="0.15">
      <c r="A60">
        <f t="shared" si="8"/>
        <v>174742.230528207</v>
      </c>
      <c r="B60" s="1">
        <f>'4、人物躶体&amp;总属性表'!H61</f>
        <v>57</v>
      </c>
      <c r="C60" s="68">
        <f>'4、人物躶体&amp;总属性表'!I61</f>
        <v>956022.76320517482</v>
      </c>
      <c r="D60" s="68">
        <f>'4、人物躶体&amp;总属性表'!J61</f>
        <v>52079.76</v>
      </c>
      <c r="E60" s="68">
        <f>'4、人物躶体&amp;总属性表'!K61</f>
        <v>23146.560000000005</v>
      </c>
      <c r="F60" s="68">
        <f>'4、人物躶体&amp;总属性表'!L61</f>
        <v>35625</v>
      </c>
      <c r="G60" s="68">
        <f>'4、人物躶体&amp;总属性表'!M61</f>
        <v>35625</v>
      </c>
      <c r="H60" s="68">
        <f>'4、人物躶体&amp;总属性表'!N61</f>
        <v>35625</v>
      </c>
      <c r="I60" s="68">
        <f>'4、人物躶体&amp;总属性表'!O61*各种公式!$J$4</f>
        <v>35625</v>
      </c>
      <c r="J60" s="68">
        <f>'4、人物躶体&amp;总属性表'!P61</f>
        <v>35625</v>
      </c>
      <c r="K60" s="68">
        <f>'4、人物躶体&amp;总属性表'!Q61/各种公式!$M$6*各种公式!$J$6</f>
        <v>14250</v>
      </c>
      <c r="L60" s="68">
        <f>'4、人物躶体&amp;总属性表'!R61/各种公式!$M$6*各种公式!$J$6</f>
        <v>14250</v>
      </c>
      <c r="M60" s="68">
        <f>'4、人物躶体&amp;总属性表'!S61/各种公式!$M$8*各种公式!$J$8</f>
        <v>7125</v>
      </c>
      <c r="N60" s="68">
        <f>'4、人物躶体&amp;总属性表'!T61/各种公式!$M$9*各种公式!$J$9</f>
        <v>14250</v>
      </c>
      <c r="O60" s="68">
        <f>'4、人物躶体&amp;总属性表'!U61/各种公式!$M$10*各种公式!$J$10</f>
        <v>14250</v>
      </c>
      <c r="P60" s="1">
        <f t="shared" si="9"/>
        <v>37.600752059945926</v>
      </c>
      <c r="Q60" s="1">
        <f t="shared" si="5"/>
        <v>8.545454545454545</v>
      </c>
      <c r="R60" s="1">
        <f t="shared" si="6"/>
        <v>8.5454545454545485</v>
      </c>
      <c r="S60" s="1">
        <f t="shared" si="7"/>
        <v>4.4000880070149471</v>
      </c>
      <c r="T60" s="31">
        <f t="shared" si="2"/>
        <v>0.28319142261958352</v>
      </c>
      <c r="U60" s="31">
        <f t="shared" si="3"/>
        <v>0.37903225806451646</v>
      </c>
      <c r="V60" s="31">
        <f t="shared" si="4"/>
        <v>0.37903225806451657</v>
      </c>
      <c r="W60">
        <f>SUMPRODUCT(C60:O60,属性价值比,'5、系统属性规划'!$C$33:$O$33)</f>
        <v>39753.739597416439</v>
      </c>
    </row>
    <row r="61" spans="1:23" x14ac:dyDescent="0.15">
      <c r="A61">
        <f t="shared" si="8"/>
        <v>179259.71874895226</v>
      </c>
      <c r="B61" s="1">
        <f>'4、人物躶体&amp;总属性表'!H62</f>
        <v>58</v>
      </c>
      <c r="C61" s="68">
        <f>'4、人物躶体&amp;总属性表'!I62</f>
        <v>992067.46872380655</v>
      </c>
      <c r="D61" s="68">
        <f>'4、人物躶体&amp;总属性表'!J62</f>
        <v>53464.860000000008</v>
      </c>
      <c r="E61" s="68">
        <f>'4、人物躶体&amp;总属性表'!K62</f>
        <v>23762.160000000007</v>
      </c>
      <c r="F61" s="68">
        <f>'4、人物躶体&amp;总属性表'!L62</f>
        <v>36250</v>
      </c>
      <c r="G61" s="68">
        <f>'4、人物躶体&amp;总属性表'!M62</f>
        <v>36250</v>
      </c>
      <c r="H61" s="68">
        <f>'4、人物躶体&amp;总属性表'!N62</f>
        <v>36250</v>
      </c>
      <c r="I61" s="68">
        <f>'4、人物躶体&amp;总属性表'!O62*各种公式!$J$4</f>
        <v>36250</v>
      </c>
      <c r="J61" s="68">
        <f>'4、人物躶体&amp;总属性表'!P62</f>
        <v>36250</v>
      </c>
      <c r="K61" s="68">
        <f>'4、人物躶体&amp;总属性表'!Q62/各种公式!$M$6*各种公式!$J$6</f>
        <v>14500</v>
      </c>
      <c r="L61" s="68">
        <f>'4、人物躶体&amp;总属性表'!R62/各种公式!$M$6*各种公式!$J$6</f>
        <v>14500</v>
      </c>
      <c r="M61" s="68">
        <f>'4、人物躶体&amp;总属性表'!S62/各种公式!$M$8*各种公式!$J$8</f>
        <v>7249.9999999999991</v>
      </c>
      <c r="N61" s="68">
        <f>'4、人物躶体&amp;总属性表'!T62/各种公式!$M$9*各种公式!$J$9</f>
        <v>14499.999999999998</v>
      </c>
      <c r="O61" s="68">
        <f>'4、人物躶体&amp;总属性表'!U62/各种公式!$M$10*各种公式!$J$10</f>
        <v>14500</v>
      </c>
      <c r="P61" s="1">
        <f t="shared" si="9"/>
        <v>39.01840453375943</v>
      </c>
      <c r="Q61" s="1">
        <f t="shared" si="5"/>
        <v>8.7727272727272734</v>
      </c>
      <c r="R61" s="1">
        <f t="shared" si="6"/>
        <v>8.7727272727272751</v>
      </c>
      <c r="S61" s="1">
        <f t="shared" si="7"/>
        <v>4.4476937810502966</v>
      </c>
      <c r="T61" s="31">
        <f t="shared" si="2"/>
        <v>0.29386852344457154</v>
      </c>
      <c r="U61" s="31">
        <f t="shared" si="3"/>
        <v>0.38911290322580683</v>
      </c>
      <c r="V61" s="31">
        <f t="shared" si="4"/>
        <v>0.38911290322580683</v>
      </c>
      <c r="W61">
        <f>SUMPRODUCT(C61:O61,属性价值比,'5、系统属性规划'!$C$33:$O$33)</f>
        <v>40799.341272629172</v>
      </c>
    </row>
    <row r="62" spans="1:23" x14ac:dyDescent="0.15">
      <c r="A62">
        <f t="shared" si="8"/>
        <v>183793.78344923793</v>
      </c>
      <c r="B62" s="1">
        <f>'4、人物躶体&amp;总属性表'!H63</f>
        <v>59</v>
      </c>
      <c r="C62" s="68">
        <f>'4、人物躶体&amp;总属性表'!I63</f>
        <v>1028526.5862309474</v>
      </c>
      <c r="D62" s="68">
        <f>'4、人物躶体&amp;总属性表'!J63</f>
        <v>54849.960000000014</v>
      </c>
      <c r="E62" s="68">
        <f>'4、人物躶体&amp;总属性表'!K63</f>
        <v>24377.760000000006</v>
      </c>
      <c r="F62" s="68">
        <f>'4、人物躶体&amp;总属性表'!L63</f>
        <v>36875</v>
      </c>
      <c r="G62" s="68">
        <f>'4、人物躶体&amp;总属性表'!M63</f>
        <v>36875</v>
      </c>
      <c r="H62" s="68">
        <f>'4、人物躶体&amp;总属性表'!N63</f>
        <v>36875</v>
      </c>
      <c r="I62" s="68">
        <f>'4、人物躶体&amp;总属性表'!O63*各种公式!$J$4</f>
        <v>36875</v>
      </c>
      <c r="J62" s="68">
        <f>'4、人物躶体&amp;总属性表'!P63</f>
        <v>36875</v>
      </c>
      <c r="K62" s="68">
        <f>'4、人物躶体&amp;总属性表'!Q63/各种公式!$M$6*各种公式!$J$6</f>
        <v>14750</v>
      </c>
      <c r="L62" s="68">
        <f>'4、人物躶体&amp;总属性表'!R63/各种公式!$M$6*各种公式!$J$6</f>
        <v>14750</v>
      </c>
      <c r="M62" s="68">
        <f>'4、人物躶体&amp;总属性表'!S63/各种公式!$M$8*各种公式!$J$8</f>
        <v>7375</v>
      </c>
      <c r="N62" s="68">
        <f>'4、人物躶体&amp;总属性表'!T63/各种公式!$M$9*各种公式!$J$9</f>
        <v>14750</v>
      </c>
      <c r="O62" s="68">
        <f>'4、人物躶体&amp;总属性表'!U63/各种公式!$M$10*各种公式!$J$10</f>
        <v>14750</v>
      </c>
      <c r="P62" s="1">
        <f t="shared" si="9"/>
        <v>40.45235599440705</v>
      </c>
      <c r="Q62" s="1">
        <f t="shared" si="5"/>
        <v>9.0000000000000018</v>
      </c>
      <c r="R62" s="1">
        <f t="shared" si="6"/>
        <v>9.0000000000000018</v>
      </c>
      <c r="S62" s="1">
        <f t="shared" si="7"/>
        <v>4.494706221600782</v>
      </c>
      <c r="T62" s="31">
        <f t="shared" si="2"/>
        <v>0.30466838067776791</v>
      </c>
      <c r="U62" s="31">
        <f t="shared" si="3"/>
        <v>0.3991935483870972</v>
      </c>
      <c r="V62" s="31">
        <f t="shared" si="4"/>
        <v>0.39919354838709714</v>
      </c>
      <c r="W62">
        <f>SUMPRODUCT(C62:O62,属性价值比,'5、系统属性规划'!$C$33:$O$33)</f>
        <v>41848.703207851046</v>
      </c>
    </row>
    <row r="63" spans="1:23" x14ac:dyDescent="0.15">
      <c r="A63">
        <f t="shared" si="8"/>
        <v>188954.0458071813</v>
      </c>
      <c r="B63" s="1">
        <f>'4、人物躶体&amp;总属性表'!H64</f>
        <v>60</v>
      </c>
      <c r="C63" s="68">
        <f>'4、人物躶体&amp;总属性表'!I64</f>
        <v>1070637.145179532</v>
      </c>
      <c r="D63" s="68">
        <f>'4、人物躶体&amp;总属性表'!J64</f>
        <v>56512.080000000016</v>
      </c>
      <c r="E63" s="68">
        <f>'4、人物躶体&amp;总属性表'!K64</f>
        <v>25116.480000000007</v>
      </c>
      <c r="F63" s="68">
        <f>'4、人物躶体&amp;总属性表'!L64</f>
        <v>37500</v>
      </c>
      <c r="G63" s="68">
        <f>'4、人物躶体&amp;总属性表'!M64</f>
        <v>37500</v>
      </c>
      <c r="H63" s="68">
        <f>'4、人物躶体&amp;总属性表'!N64</f>
        <v>37500</v>
      </c>
      <c r="I63" s="68">
        <f>'4、人物躶体&amp;总属性表'!O64*各种公式!$J$4</f>
        <v>37500</v>
      </c>
      <c r="J63" s="68">
        <f>'4、人物躶体&amp;总属性表'!P64</f>
        <v>37500</v>
      </c>
      <c r="K63" s="68">
        <f>'4、人物躶体&amp;总属性表'!Q64/各种公式!$M$6*各种公式!$J$6</f>
        <v>15000</v>
      </c>
      <c r="L63" s="68">
        <f>'4、人物躶体&amp;总属性表'!R64/各种公式!$M$6*各种公式!$J$6</f>
        <v>15000</v>
      </c>
      <c r="M63" s="68">
        <f>'4、人物躶体&amp;总属性表'!S64/各种公式!$M$8*各种公式!$J$8</f>
        <v>7500.0000000000009</v>
      </c>
      <c r="N63" s="68">
        <f>'4、人物躶体&amp;总属性表'!T64/各种公式!$M$9*各种公式!$J$9</f>
        <v>15000.000000000002</v>
      </c>
      <c r="O63" s="68">
        <f>'4、人物躶体&amp;总属性表'!U64/各种公式!$M$10*各种公式!$J$10</f>
        <v>15000</v>
      </c>
      <c r="P63" s="1">
        <f t="shared" si="9"/>
        <v>42.108580874265535</v>
      </c>
      <c r="Q63" s="1">
        <f t="shared" si="5"/>
        <v>9.2727272727272751</v>
      </c>
      <c r="R63" s="1">
        <f t="shared" si="6"/>
        <v>9.2727272727272751</v>
      </c>
      <c r="S63" s="1">
        <f t="shared" si="7"/>
        <v>4.5411214668325561</v>
      </c>
      <c r="T63" s="31">
        <f t="shared" si="2"/>
        <v>0.31714229819828216</v>
      </c>
      <c r="U63" s="31">
        <f t="shared" si="3"/>
        <v>0.41129032258064563</v>
      </c>
      <c r="V63" s="31">
        <f t="shared" si="4"/>
        <v>0.41129032258064557</v>
      </c>
      <c r="W63">
        <f>SUMPRODUCT(C63:O63,属性价值比,'5、系统属性规划'!$C$33:$O$33)</f>
        <v>43051.178156038048</v>
      </c>
    </row>
    <row r="64" spans="1:23" x14ac:dyDescent="0.15">
      <c r="A64">
        <f t="shared" si="8"/>
        <v>194134.22356843279</v>
      </c>
      <c r="B64" s="1">
        <f>'4、人物躶体&amp;总属性表'!H65</f>
        <v>61</v>
      </c>
      <c r="C64" s="68">
        <f>'4、人物躶体&amp;总属性表'!I65</f>
        <v>1113245.589210819</v>
      </c>
      <c r="D64" s="68">
        <f>'4、人物躶体&amp;总属性表'!J65</f>
        <v>58174.200000000019</v>
      </c>
      <c r="E64" s="68">
        <f>'4、人物躶体&amp;总属性表'!K65</f>
        <v>25855.200000000012</v>
      </c>
      <c r="F64" s="68">
        <f>'4、人物躶体&amp;总属性表'!L65</f>
        <v>38125</v>
      </c>
      <c r="G64" s="68">
        <f>'4、人物躶体&amp;总属性表'!M65</f>
        <v>38125</v>
      </c>
      <c r="H64" s="68">
        <f>'4、人物躶体&amp;总属性表'!N65</f>
        <v>38125</v>
      </c>
      <c r="I64" s="68">
        <f>'4、人物躶体&amp;总属性表'!O65*各种公式!$J$4</f>
        <v>38125</v>
      </c>
      <c r="J64" s="68">
        <f>'4、人物躶体&amp;总属性表'!P65</f>
        <v>38125</v>
      </c>
      <c r="K64" s="68">
        <f>'4、人物躶体&amp;总属性表'!Q65/各种公式!$M$6*各种公式!$J$6</f>
        <v>15250</v>
      </c>
      <c r="L64" s="68">
        <f>'4、人物躶体&amp;总属性表'!R65/各种公式!$M$6*各种公式!$J$6</f>
        <v>15250</v>
      </c>
      <c r="M64" s="68">
        <f>'4、人物躶体&amp;总属性表'!S65/各种公式!$M$8*各种公式!$J$8</f>
        <v>7625</v>
      </c>
      <c r="N64" s="68">
        <f>'4、人物躶体&amp;总属性表'!T65/各种公式!$M$9*各种公式!$J$9</f>
        <v>15250</v>
      </c>
      <c r="O64" s="68">
        <f>'4、人物躶体&amp;总属性表'!U65/各种公式!$M$10*各种公式!$J$10</f>
        <v>15250</v>
      </c>
      <c r="P64" s="1">
        <f t="shared" si="9"/>
        <v>43.784387770650774</v>
      </c>
      <c r="Q64" s="1">
        <f t="shared" si="5"/>
        <v>9.5454545454545485</v>
      </c>
      <c r="R64" s="1">
        <f t="shared" si="6"/>
        <v>9.5454545454545503</v>
      </c>
      <c r="S64" s="1">
        <f t="shared" si="7"/>
        <v>4.5869358616872216</v>
      </c>
      <c r="T64" s="31">
        <f t="shared" si="2"/>
        <v>0.32976369838374769</v>
      </c>
      <c r="U64" s="31">
        <f t="shared" si="3"/>
        <v>0.42338709677419406</v>
      </c>
      <c r="V64" s="31">
        <f t="shared" si="4"/>
        <v>0.42338709677419406</v>
      </c>
      <c r="W64">
        <f>SUMPRODUCT(C64:O64,属性价值比,'5、系统属性规划'!$C$33:$O$33)</f>
        <v>44258.170776052975</v>
      </c>
    </row>
    <row r="65" spans="1:23" x14ac:dyDescent="0.15">
      <c r="A65">
        <f t="shared" si="8"/>
        <v>199333.78232622141</v>
      </c>
      <c r="B65" s="1">
        <f>'4、人物躶体&amp;总属性表'!H66</f>
        <v>62</v>
      </c>
      <c r="C65" s="68">
        <f>'4、人物躶体&amp;总属性表'!I66</f>
        <v>1156338.5581555346</v>
      </c>
      <c r="D65" s="68">
        <f>'4、人物躶体&amp;总属性表'!J66</f>
        <v>59836.320000000014</v>
      </c>
      <c r="E65" s="68">
        <f>'4、人物躶体&amp;总属性表'!K66</f>
        <v>26593.920000000009</v>
      </c>
      <c r="F65" s="68">
        <f>'4、人物躶体&amp;总属性表'!L66</f>
        <v>38750</v>
      </c>
      <c r="G65" s="68">
        <f>'4、人物躶体&amp;总属性表'!M66</f>
        <v>38750</v>
      </c>
      <c r="H65" s="68">
        <f>'4、人物躶体&amp;总属性表'!N66</f>
        <v>38750</v>
      </c>
      <c r="I65" s="68">
        <f>'4、人物躶体&amp;总属性表'!O66*各种公式!$J$4</f>
        <v>38750</v>
      </c>
      <c r="J65" s="68">
        <f>'4、人物躶体&amp;总属性表'!P66</f>
        <v>38750</v>
      </c>
      <c r="K65" s="68">
        <f>'4、人物躶体&amp;总属性表'!Q66/各种公式!$M$6*各种公式!$J$6</f>
        <v>15500</v>
      </c>
      <c r="L65" s="68">
        <f>'4、人物躶体&amp;总属性表'!R66/各种公式!$M$6*各种公式!$J$6</f>
        <v>15500</v>
      </c>
      <c r="M65" s="68">
        <f>'4、人物躶体&amp;总属性表'!S66/各种公式!$M$8*各种公式!$J$8</f>
        <v>7750.0000000000009</v>
      </c>
      <c r="N65" s="68">
        <f>'4、人物躶体&amp;总属性表'!T66/各种公式!$M$9*各种公式!$J$9</f>
        <v>15500.000000000002</v>
      </c>
      <c r="O65" s="68">
        <f>'4、人物躶体&amp;总属性表'!U66/各种公式!$M$10*各种公式!$J$10</f>
        <v>15500</v>
      </c>
      <c r="P65" s="1">
        <f t="shared" si="9"/>
        <v>45.479251222839785</v>
      </c>
      <c r="Q65" s="1">
        <f t="shared" si="5"/>
        <v>9.8181818181818201</v>
      </c>
      <c r="R65" s="1">
        <f t="shared" si="6"/>
        <v>9.8181818181818219</v>
      </c>
      <c r="S65" s="1">
        <f t="shared" si="7"/>
        <v>4.6321459578818285</v>
      </c>
      <c r="T65" s="31">
        <f t="shared" si="2"/>
        <v>0.34252862370774495</v>
      </c>
      <c r="U65" s="31">
        <f t="shared" si="3"/>
        <v>0.43548387096774238</v>
      </c>
      <c r="V65" s="31">
        <f t="shared" si="4"/>
        <v>0.43548387096774244</v>
      </c>
      <c r="W65">
        <f>SUMPRODUCT(C65:O65,属性价值比,'5、系统属性规划'!$C$33:$O$33)</f>
        <v>45469.559841407128</v>
      </c>
    </row>
    <row r="66" spans="1:23" x14ac:dyDescent="0.15">
      <c r="A66">
        <f t="shared" si="8"/>
        <v>204552.18597004461</v>
      </c>
      <c r="B66" s="1">
        <f>'4、人物躶体&amp;总属性表'!H67</f>
        <v>63</v>
      </c>
      <c r="C66" s="68">
        <f>'4、人物躶体&amp;总属性表'!I67</f>
        <v>1199902.6492511141</v>
      </c>
      <c r="D66" s="68">
        <f>'4、人物躶体&amp;总属性表'!J67</f>
        <v>61498.440000000031</v>
      </c>
      <c r="E66" s="68">
        <f>'4、人物躶体&amp;总属性表'!K67</f>
        <v>27332.640000000014</v>
      </c>
      <c r="F66" s="68">
        <f>'4、人物躶体&amp;总属性表'!L67</f>
        <v>39375</v>
      </c>
      <c r="G66" s="68">
        <f>'4、人物躶体&amp;总属性表'!M67</f>
        <v>39375</v>
      </c>
      <c r="H66" s="68">
        <f>'4、人物躶体&amp;总属性表'!N67</f>
        <v>39375</v>
      </c>
      <c r="I66" s="68">
        <f>'4、人物躶体&amp;总属性表'!O67*各种公式!$J$4</f>
        <v>39375</v>
      </c>
      <c r="J66" s="68">
        <f>'4、人物躶体&amp;总属性表'!P67</f>
        <v>39375</v>
      </c>
      <c r="K66" s="68">
        <f>'4、人物躶体&amp;总属性表'!Q67/各种公式!$M$6*各种公式!$J$6</f>
        <v>15750</v>
      </c>
      <c r="L66" s="68">
        <f>'4、人物躶体&amp;总属性表'!R67/各种公式!$M$6*各种公式!$J$6</f>
        <v>15750</v>
      </c>
      <c r="M66" s="68">
        <f>'4、人物躶体&amp;总属性表'!S67/各种公式!$M$8*各种公式!$J$8</f>
        <v>7875</v>
      </c>
      <c r="N66" s="68">
        <f>'4、人物躶体&amp;总属性表'!T67/各种公式!$M$9*各种公式!$J$9</f>
        <v>15750</v>
      </c>
      <c r="O66" s="68">
        <f>'4、人物躶体&amp;总属性表'!U67/各种公式!$M$10*各种公式!$J$10</f>
        <v>15750</v>
      </c>
      <c r="P66" s="1">
        <f t="shared" si="9"/>
        <v>47.192644094898668</v>
      </c>
      <c r="Q66" s="1">
        <f t="shared" si="5"/>
        <v>10.090909090909095</v>
      </c>
      <c r="R66" s="1">
        <f t="shared" si="6"/>
        <v>10.090909090909097</v>
      </c>
      <c r="S66" s="1">
        <f t="shared" si="7"/>
        <v>4.6767485139088745</v>
      </c>
      <c r="T66" s="31">
        <f t="shared" si="2"/>
        <v>0.35543310402694278</v>
      </c>
      <c r="U66" s="31">
        <f t="shared" si="3"/>
        <v>0.44758064516129092</v>
      </c>
      <c r="V66" s="31">
        <f t="shared" si="4"/>
        <v>0.44758064516129092</v>
      </c>
      <c r="W66">
        <f>SUMPRODUCT(C66:O66,属性价值比,'5、系统属性规划'!$C$33:$O$33)</f>
        <v>46685.223739132089</v>
      </c>
    </row>
    <row r="67" spans="1:23" x14ac:dyDescent="0.15">
      <c r="A67">
        <f t="shared" si="8"/>
        <v>209788.89697243506</v>
      </c>
      <c r="B67" s="1">
        <f>'4、人物躶体&amp;总属性表'!H68</f>
        <v>64</v>
      </c>
      <c r="C67" s="68">
        <f>'4、人物躶体&amp;总属性表'!I68</f>
        <v>1243924.4243108754</v>
      </c>
      <c r="D67" s="68">
        <f>'4、人物躶体&amp;总属性表'!J68</f>
        <v>63160.560000000019</v>
      </c>
      <c r="E67" s="68">
        <f>'4、人物躶体&amp;总属性表'!K68</f>
        <v>28071.360000000019</v>
      </c>
      <c r="F67" s="68">
        <f>'4、人物躶体&amp;总属性表'!L68</f>
        <v>40000</v>
      </c>
      <c r="G67" s="68">
        <f>'4、人物躶体&amp;总属性表'!M68</f>
        <v>40000</v>
      </c>
      <c r="H67" s="68">
        <f>'4、人物躶体&amp;总属性表'!N68</f>
        <v>40000</v>
      </c>
      <c r="I67" s="68">
        <f>'4、人物躶体&amp;总属性表'!O68*各种公式!$J$4</f>
        <v>40000</v>
      </c>
      <c r="J67" s="68">
        <f>'4、人物躶体&amp;总属性表'!P68</f>
        <v>40000</v>
      </c>
      <c r="K67" s="68">
        <f>'4、人物躶体&amp;总属性表'!Q68/各种公式!$M$6*各种公式!$J$6</f>
        <v>16000</v>
      </c>
      <c r="L67" s="68">
        <f>'4、人物躶体&amp;总属性表'!R68/各种公式!$M$6*各种公式!$J$6</f>
        <v>16000</v>
      </c>
      <c r="M67" s="68">
        <f>'4、人物躶体&amp;总属性表'!S68/各种公式!$M$8*各种公式!$J$8</f>
        <v>8000.0000000000018</v>
      </c>
      <c r="N67" s="68">
        <f>'4、人物躶体&amp;总属性表'!T68/各种公式!$M$9*各种公式!$J$9</f>
        <v>16000.000000000004</v>
      </c>
      <c r="O67" s="68">
        <f>'4、人物躶体&amp;总属性表'!U68/各种公式!$M$10*各种公式!$J$10</f>
        <v>16000</v>
      </c>
      <c r="P67" s="1">
        <f t="shared" si="9"/>
        <v>48.924037857649019</v>
      </c>
      <c r="Q67" s="1">
        <f t="shared" si="5"/>
        <v>10.363636363636365</v>
      </c>
      <c r="R67" s="1">
        <f t="shared" si="6"/>
        <v>10.36363636363637</v>
      </c>
      <c r="S67" s="1">
        <f t="shared" si="7"/>
        <v>4.7207404950363054</v>
      </c>
      <c r="T67" s="31">
        <f t="shared" si="2"/>
        <v>0.36847315870473873</v>
      </c>
      <c r="U67" s="31">
        <f t="shared" si="3"/>
        <v>0.45967741935483919</v>
      </c>
      <c r="V67" s="31">
        <f t="shared" si="4"/>
        <v>0.45967741935483936</v>
      </c>
      <c r="W67">
        <f>SUMPRODUCT(C67:O67,属性价值比,'5、系统属性规划'!$C$33:$O$33)</f>
        <v>47905.04053483071</v>
      </c>
    </row>
    <row r="68" spans="1:23" x14ac:dyDescent="0.15">
      <c r="A68">
        <f t="shared" ref="A68:A103" si="10">SUMPRODUCT(C68:O68,属性价值比)</f>
        <v>215043.37667572792</v>
      </c>
      <c r="B68" s="1">
        <f>'4、人物躶体&amp;总属性表'!H69</f>
        <v>65</v>
      </c>
      <c r="C68" s="68">
        <f>'4、人物躶体&amp;总属性表'!I69</f>
        <v>1288390.416893197</v>
      </c>
      <c r="D68" s="68">
        <f>'4、人物躶体&amp;总属性表'!J69</f>
        <v>64822.680000000015</v>
      </c>
      <c r="E68" s="68">
        <f>'4、人物躶体&amp;总属性表'!K69</f>
        <v>28810.080000000013</v>
      </c>
      <c r="F68" s="68">
        <f>'4、人物躶体&amp;总属性表'!L69</f>
        <v>40625</v>
      </c>
      <c r="G68" s="68">
        <f>'4、人物躶体&amp;总属性表'!M69</f>
        <v>40625</v>
      </c>
      <c r="H68" s="68">
        <f>'4、人物躶体&amp;总属性表'!N69</f>
        <v>40625</v>
      </c>
      <c r="I68" s="68">
        <f>'4、人物躶体&amp;总属性表'!O69*各种公式!$J$4</f>
        <v>40625</v>
      </c>
      <c r="J68" s="68">
        <f>'4、人物躶体&amp;总属性表'!P69</f>
        <v>40625</v>
      </c>
      <c r="K68" s="68">
        <f>'4、人物躶体&amp;总属性表'!Q69/各种公式!$M$6*各种公式!$J$6</f>
        <v>16250</v>
      </c>
      <c r="L68" s="68">
        <f>'4、人物躶体&amp;总属性表'!R69/各种公式!$M$6*各种公式!$J$6</f>
        <v>16250</v>
      </c>
      <c r="M68" s="68">
        <f>'4、人物躶体&amp;总属性表'!S69/各种公式!$M$8*各种公式!$J$8</f>
        <v>8125</v>
      </c>
      <c r="N68" s="68">
        <f>'4、人物躶体&amp;总属性表'!T69/各种公式!$M$9*各种公式!$J$9</f>
        <v>16250</v>
      </c>
      <c r="O68" s="68">
        <f>'4、人物躶体&amp;总属性表'!U69/各种公式!$M$10*各种公式!$J$10</f>
        <v>16250</v>
      </c>
      <c r="P68" s="1">
        <f t="shared" si="9"/>
        <v>50.672902870634537</v>
      </c>
      <c r="Q68" s="1">
        <f t="shared" si="5"/>
        <v>10.636363636363638</v>
      </c>
      <c r="R68" s="1">
        <f t="shared" si="6"/>
        <v>10.636363636363642</v>
      </c>
      <c r="S68" s="1">
        <f t="shared" si="7"/>
        <v>4.7641190733075183</v>
      </c>
      <c r="T68" s="31">
        <f t="shared" si="2"/>
        <v>0.38164479873490093</v>
      </c>
      <c r="U68" s="31">
        <f t="shared" si="3"/>
        <v>0.47177419354838762</v>
      </c>
      <c r="V68" s="31">
        <f t="shared" si="4"/>
        <v>0.47177419354838768</v>
      </c>
      <c r="W68">
        <f>SUMPRODUCT(C68:O68,属性价值比,'5、系统属性规划'!$C$33:$O$33)</f>
        <v>49128.888037728364</v>
      </c>
    </row>
    <row r="69" spans="1:23" x14ac:dyDescent="0.15">
      <c r="A69">
        <f t="shared" si="10"/>
        <v>220315.08557882786</v>
      </c>
      <c r="B69" s="1">
        <f>'4、人物躶体&amp;总属性表'!H70</f>
        <v>66</v>
      </c>
      <c r="C69" s="68">
        <f>'4、人物躶体&amp;总属性表'!I70</f>
        <v>1333287.1394706951</v>
      </c>
      <c r="D69" s="68">
        <f>'4、人物躶体&amp;总属性表'!J70</f>
        <v>66484.800000000047</v>
      </c>
      <c r="E69" s="68">
        <f>'4、人物躶体&amp;总属性表'!K70</f>
        <v>29548.800000000021</v>
      </c>
      <c r="F69" s="68">
        <f>'4、人物躶体&amp;总属性表'!L70</f>
        <v>41250</v>
      </c>
      <c r="G69" s="68">
        <f>'4、人物躶体&amp;总属性表'!M70</f>
        <v>41250</v>
      </c>
      <c r="H69" s="68">
        <f>'4、人物躶体&amp;总属性表'!N70</f>
        <v>41250</v>
      </c>
      <c r="I69" s="68">
        <f>'4、人物躶体&amp;总属性表'!O70*各种公式!$J$4</f>
        <v>41250</v>
      </c>
      <c r="J69" s="68">
        <f>'4、人物躶体&amp;总属性表'!P70</f>
        <v>41250</v>
      </c>
      <c r="K69" s="68">
        <f>'4、人物躶体&amp;总属性表'!Q70/各种公式!$M$6*各种公式!$J$6</f>
        <v>16500</v>
      </c>
      <c r="L69" s="68">
        <f>'4、人物躶体&amp;总属性表'!R70/各种公式!$M$6*各种公式!$J$6</f>
        <v>16500</v>
      </c>
      <c r="M69" s="68">
        <f>'4、人物躶体&amp;总属性表'!S70/各种公式!$M$8*各种公式!$J$8</f>
        <v>8250</v>
      </c>
      <c r="N69" s="68">
        <f>'4、人物躶体&amp;总属性表'!T70/各种公式!$M$9*各种公式!$J$9</f>
        <v>16500</v>
      </c>
      <c r="O69" s="68">
        <f>'4、人物躶体&amp;总属性表'!U70/各种公式!$M$10*各种公式!$J$10</f>
        <v>16500</v>
      </c>
      <c r="P69" s="1">
        <f t="shared" ref="P69:P103" si="11">C69/$C$4</f>
        <v>52.438708664087578</v>
      </c>
      <c r="Q69" s="1">
        <f t="shared" si="5"/>
        <v>10.909090909090915</v>
      </c>
      <c r="R69" s="1">
        <f t="shared" si="6"/>
        <v>10.909090909090917</v>
      </c>
      <c r="S69" s="1">
        <f t="shared" si="7"/>
        <v>4.8068816275413582</v>
      </c>
      <c r="T69" s="31">
        <f t="shared" ref="T69:T101" si="12">P69/$P$103</f>
        <v>0.3949440288652088</v>
      </c>
      <c r="U69" s="31">
        <f t="shared" ref="U69:U101" si="13">Q69/$Q$103</f>
        <v>0.48387096774193622</v>
      </c>
      <c r="V69" s="31">
        <f t="shared" ref="V69:V101" si="14">R69/$R$103</f>
        <v>0.48387096774193622</v>
      </c>
      <c r="W69">
        <f>SUMPRODUCT(C69:O69,属性价值比,'5、系统属性规划'!$C$33:$O$33)</f>
        <v>50356.643865724036</v>
      </c>
    </row>
    <row r="70" spans="1:23" x14ac:dyDescent="0.15">
      <c r="A70">
        <f t="shared" si="10"/>
        <v>225603.48362397583</v>
      </c>
      <c r="B70" s="1">
        <f>'4、人物躶体&amp;总属性表'!H71</f>
        <v>67</v>
      </c>
      <c r="C70" s="68">
        <f>'4、人物躶体&amp;总属性表'!I71</f>
        <v>1378601.0905993942</v>
      </c>
      <c r="D70" s="68">
        <f>'4、人物躶体&amp;总属性表'!J71</f>
        <v>68146.920000000042</v>
      </c>
      <c r="E70" s="68">
        <f>'4、人物躶体&amp;总属性表'!K71</f>
        <v>30287.520000000022</v>
      </c>
      <c r="F70" s="68">
        <f>'4、人物躶体&amp;总属性表'!L71</f>
        <v>41875</v>
      </c>
      <c r="G70" s="68">
        <f>'4、人物躶体&amp;总属性表'!M71</f>
        <v>41875</v>
      </c>
      <c r="H70" s="68">
        <f>'4、人物躶体&amp;总属性表'!N71</f>
        <v>41875</v>
      </c>
      <c r="I70" s="68">
        <f>'4、人物躶体&amp;总属性表'!O71*各种公式!$J$4</f>
        <v>41875</v>
      </c>
      <c r="J70" s="68">
        <f>'4、人物躶体&amp;总属性表'!P71</f>
        <v>41875</v>
      </c>
      <c r="K70" s="68">
        <f>'4、人物躶体&amp;总属性表'!Q71/各种公式!$M$6*各种公式!$J$6</f>
        <v>16750</v>
      </c>
      <c r="L70" s="68">
        <f>'4、人物躶体&amp;总属性表'!R71/各种公式!$M$6*各种公式!$J$6</f>
        <v>16750</v>
      </c>
      <c r="M70" s="68">
        <f>'4、人物躶体&amp;总属性表'!S71/各种公式!$M$8*各种公式!$J$8</f>
        <v>8375</v>
      </c>
      <c r="N70" s="68">
        <f>'4、人物躶体&amp;总属性表'!T71/各种公式!$M$9*各种公式!$J$9</f>
        <v>16750</v>
      </c>
      <c r="O70" s="68">
        <f>'4、人物躶体&amp;总属性表'!U71/各种公式!$M$10*各种公式!$J$10</f>
        <v>16750</v>
      </c>
      <c r="P70" s="1">
        <f t="shared" si="11"/>
        <v>54.220924220895462</v>
      </c>
      <c r="Q70" s="1">
        <f t="shared" ref="Q70:Q103" si="15">D70/$D$4</f>
        <v>11.181818181818187</v>
      </c>
      <c r="R70" s="1">
        <f t="shared" ref="R70:R103" si="16">E70/$E$4</f>
        <v>11.181818181818191</v>
      </c>
      <c r="S70" s="1">
        <f t="shared" ref="S70:S103" si="17">P70/R70</f>
        <v>4.8490257433321107</v>
      </c>
      <c r="T70" s="31">
        <f t="shared" si="12"/>
        <v>0.40836684972109311</v>
      </c>
      <c r="U70" s="31">
        <f t="shared" si="13"/>
        <v>0.49596774193548454</v>
      </c>
      <c r="V70" s="31">
        <f t="shared" si="14"/>
        <v>0.4959677419354846</v>
      </c>
      <c r="W70">
        <f>SUMPRODUCT(C70:O70,属性价值比,'5、系统属性规划'!$C$33:$O$33)</f>
        <v>51588.185510441377</v>
      </c>
    </row>
    <row r="71" spans="1:23" x14ac:dyDescent="0.15">
      <c r="A71">
        <f t="shared" si="10"/>
        <v>230908.03048351649</v>
      </c>
      <c r="B71" s="1">
        <f>'4、人物躶体&amp;总属性表'!H72</f>
        <v>68</v>
      </c>
      <c r="C71" s="68">
        <f>'4、人物躶体&amp;总属性表'!I72</f>
        <v>1424318.7620879104</v>
      </c>
      <c r="D71" s="68">
        <f>'4、人物躶体&amp;总属性表'!J72</f>
        <v>69809.040000000052</v>
      </c>
      <c r="E71" s="68">
        <f>'4、人物躶体&amp;总属性表'!K72</f>
        <v>31026.24000000002</v>
      </c>
      <c r="F71" s="68">
        <f>'4、人物躶体&amp;总属性表'!L72</f>
        <v>42500</v>
      </c>
      <c r="G71" s="68">
        <f>'4、人物躶体&amp;总属性表'!M72</f>
        <v>42500</v>
      </c>
      <c r="H71" s="68">
        <f>'4、人物躶体&amp;总属性表'!N72</f>
        <v>42500</v>
      </c>
      <c r="I71" s="68">
        <f>'4、人物躶体&amp;总属性表'!O72*各种公式!$J$4</f>
        <v>42500</v>
      </c>
      <c r="J71" s="68">
        <f>'4、人物躶体&amp;总属性表'!P72</f>
        <v>42500</v>
      </c>
      <c r="K71" s="68">
        <f>'4、人物躶体&amp;总属性表'!Q72/各种公式!$M$6*各种公式!$J$6</f>
        <v>17000</v>
      </c>
      <c r="L71" s="68">
        <f>'4、人物躶体&amp;总属性表'!R72/各种公式!$M$6*各种公式!$J$6</f>
        <v>17000</v>
      </c>
      <c r="M71" s="68">
        <f>'4、人物躶体&amp;总属性表'!S72/各种公式!$M$8*各种公式!$J$8</f>
        <v>8500</v>
      </c>
      <c r="N71" s="68">
        <f>'4、人物躶体&amp;总属性表'!T72/各种公式!$M$9*各种公式!$J$9</f>
        <v>17000</v>
      </c>
      <c r="O71" s="68">
        <f>'4、人物躶体&amp;总属性表'!U72/各种公式!$M$10*各种公式!$J$10</f>
        <v>17000</v>
      </c>
      <c r="P71" s="1">
        <f t="shared" si="11"/>
        <v>56.019018258567279</v>
      </c>
      <c r="Q71" s="1">
        <f t="shared" si="15"/>
        <v>11.454545454545462</v>
      </c>
      <c r="R71" s="1">
        <f t="shared" si="16"/>
        <v>11.454545454545462</v>
      </c>
      <c r="S71" s="1">
        <f t="shared" si="17"/>
        <v>4.8905492130495212</v>
      </c>
      <c r="T71" s="31">
        <f t="shared" si="12"/>
        <v>0.42190925992927886</v>
      </c>
      <c r="U71" s="31">
        <f t="shared" si="13"/>
        <v>0.50806451612903303</v>
      </c>
      <c r="V71" s="31">
        <f t="shared" si="14"/>
        <v>0.50806451612903292</v>
      </c>
      <c r="W71">
        <f>SUMPRODUCT(C71:O71,属性价值比,'5、系统属性规划'!$C$33:$O$33)</f>
        <v>52823.390402279932</v>
      </c>
    </row>
    <row r="72" spans="1:23" x14ac:dyDescent="0.15">
      <c r="A72">
        <f t="shared" si="10"/>
        <v>236228.18584666497</v>
      </c>
      <c r="B72" s="1">
        <f>'4、人物躶体&amp;总属性表'!H73</f>
        <v>69</v>
      </c>
      <c r="C72" s="68">
        <f>'4、人物躶体&amp;总属性表'!I73</f>
        <v>1470426.6461666226</v>
      </c>
      <c r="D72" s="68">
        <f>'4、人物躶体&amp;总属性表'!J73</f>
        <v>71471.160000000047</v>
      </c>
      <c r="E72" s="68">
        <f>'4、人物躶体&amp;总属性表'!K73</f>
        <v>31764.960000000025</v>
      </c>
      <c r="F72" s="68">
        <f>'4、人物躶体&amp;总属性表'!L73</f>
        <v>43125</v>
      </c>
      <c r="G72" s="68">
        <f>'4、人物躶体&amp;总属性表'!M73</f>
        <v>43125</v>
      </c>
      <c r="H72" s="68">
        <f>'4、人物躶体&amp;总属性表'!N73</f>
        <v>43125</v>
      </c>
      <c r="I72" s="68">
        <f>'4、人物躶体&amp;总属性表'!O73*各种公式!$J$4</f>
        <v>43125</v>
      </c>
      <c r="J72" s="68">
        <f>'4、人物躶体&amp;总属性表'!P73</f>
        <v>43125</v>
      </c>
      <c r="K72" s="68">
        <f>'4、人物躶体&amp;总属性表'!Q73/各种公式!$M$6*各种公式!$J$6</f>
        <v>17250</v>
      </c>
      <c r="L72" s="68">
        <f>'4、人物躶体&amp;总属性表'!R73/各种公式!$M$6*各种公式!$J$6</f>
        <v>17250</v>
      </c>
      <c r="M72" s="68">
        <f>'4、人物躶体&amp;总属性表'!S73/各种公式!$M$8*各种公式!$J$8</f>
        <v>8625</v>
      </c>
      <c r="N72" s="68">
        <f>'4、人物躶体&amp;总属性表'!T73/各种公式!$M$9*各种公式!$J$9</f>
        <v>17250</v>
      </c>
      <c r="O72" s="68">
        <f>'4、人物躶体&amp;总属性表'!U73/各种公式!$M$10*各种公式!$J$10</f>
        <v>17250</v>
      </c>
      <c r="P72" s="1">
        <f t="shared" si="11"/>
        <v>57.832459511200206</v>
      </c>
      <c r="Q72" s="1">
        <f t="shared" si="15"/>
        <v>11.727272727272734</v>
      </c>
      <c r="R72" s="1">
        <f t="shared" si="16"/>
        <v>11.727272727272737</v>
      </c>
      <c r="S72" s="1">
        <f t="shared" si="17"/>
        <v>4.9314500358387727</v>
      </c>
      <c r="T72" s="31">
        <f t="shared" si="12"/>
        <v>0.43556725824142478</v>
      </c>
      <c r="U72" s="31">
        <f t="shared" si="13"/>
        <v>0.5201612903225814</v>
      </c>
      <c r="V72" s="31">
        <f t="shared" si="14"/>
        <v>0.52016129032258152</v>
      </c>
      <c r="W72">
        <f>SUMPRODUCT(C72:O72,属性价值比,'5、系统属性规划'!$C$33:$O$33)</f>
        <v>54062.135975466197</v>
      </c>
    </row>
    <row r="73" spans="1:23" x14ac:dyDescent="0.15">
      <c r="A73">
        <f t="shared" si="10"/>
        <v>242193.38474304031</v>
      </c>
      <c r="B73" s="1">
        <f>'4、人物躶体&amp;总属性表'!H74</f>
        <v>70</v>
      </c>
      <c r="C73" s="68">
        <f>'4、人物躶体&amp;总属性表'!I74</f>
        <v>1522657.1185760058</v>
      </c>
      <c r="D73" s="68">
        <f>'4、人物躶体&amp;总属性表'!J74</f>
        <v>73410.300000000061</v>
      </c>
      <c r="E73" s="68">
        <f>'4、人物躶体&amp;总属性表'!K74</f>
        <v>32626.800000000028</v>
      </c>
      <c r="F73" s="68">
        <f>'4、人物躶体&amp;总属性表'!L74</f>
        <v>43750</v>
      </c>
      <c r="G73" s="68">
        <f>'4、人物躶体&amp;总属性表'!M74</f>
        <v>43750</v>
      </c>
      <c r="H73" s="68">
        <f>'4、人物躶体&amp;总属性表'!N74</f>
        <v>43750</v>
      </c>
      <c r="I73" s="68">
        <f>'4、人物躶体&amp;总属性表'!O74*各种公式!$J$4</f>
        <v>43750</v>
      </c>
      <c r="J73" s="68">
        <f>'4、人物躶体&amp;总属性表'!P74</f>
        <v>43750</v>
      </c>
      <c r="K73" s="68">
        <f>'4、人物躶体&amp;总属性表'!Q74/各种公式!$M$6*各种公式!$J$6</f>
        <v>17500.000000000004</v>
      </c>
      <c r="L73" s="68">
        <f>'4、人物躶体&amp;总属性表'!R74/各种公式!$M$6*各种公式!$J$6</f>
        <v>17500.000000000004</v>
      </c>
      <c r="M73" s="68">
        <f>'4、人物躶体&amp;总属性表'!S74/各种公式!$M$8*各种公式!$J$8</f>
        <v>8750</v>
      </c>
      <c r="N73" s="68">
        <f>'4、人物躶体&amp;总属性表'!T74/各种公式!$M$9*各种公式!$J$9</f>
        <v>17500</v>
      </c>
      <c r="O73" s="68">
        <f>'4、人物躶体&amp;总属性表'!U74/各种公式!$M$10*各种公式!$J$10</f>
        <v>17500.000000000004</v>
      </c>
      <c r="P73" s="1">
        <f t="shared" si="11"/>
        <v>59.886704575883442</v>
      </c>
      <c r="Q73" s="1">
        <f t="shared" si="15"/>
        <v>12.045454545454554</v>
      </c>
      <c r="R73" s="1">
        <f t="shared" si="16"/>
        <v>12.045454545454556</v>
      </c>
      <c r="S73" s="1">
        <f t="shared" si="17"/>
        <v>4.9717264176205083</v>
      </c>
      <c r="T73" s="31">
        <f t="shared" si="12"/>
        <v>0.45103887916404473</v>
      </c>
      <c r="U73" s="31">
        <f t="shared" si="13"/>
        <v>0.5342741935483879</v>
      </c>
      <c r="V73" s="31">
        <f t="shared" si="14"/>
        <v>0.5342741935483879</v>
      </c>
      <c r="W73">
        <f>SUMPRODUCT(C73:O73,属性价值比,'5、系统属性规划'!$C$33:$O$33)</f>
        <v>55458.26961845746</v>
      </c>
    </row>
    <row r="74" spans="1:23" x14ac:dyDescent="0.15">
      <c r="A74">
        <f t="shared" si="10"/>
        <v>248176.77866519833</v>
      </c>
      <c r="B74" s="1">
        <f>'4、人物躶体&amp;总属性表'!H75</f>
        <v>71</v>
      </c>
      <c r="C74" s="68">
        <f>'4、人物躶体&amp;总属性表'!I75</f>
        <v>1575342.4666299568</v>
      </c>
      <c r="D74" s="68">
        <f>'4、人物躶体&amp;总属性表'!J75</f>
        <v>75349.440000000046</v>
      </c>
      <c r="E74" s="68">
        <f>'4、人物躶体&amp;总属性表'!K75</f>
        <v>33488.640000000021</v>
      </c>
      <c r="F74" s="68">
        <f>'4、人物躶体&amp;总属性表'!L75</f>
        <v>44375</v>
      </c>
      <c r="G74" s="68">
        <f>'4、人物躶体&amp;总属性表'!M75</f>
        <v>44375</v>
      </c>
      <c r="H74" s="68">
        <f>'4、人物躶体&amp;总属性表'!N75</f>
        <v>44375</v>
      </c>
      <c r="I74" s="68">
        <f>'4、人物躶体&amp;总属性表'!O75*各种公式!$J$4</f>
        <v>44375</v>
      </c>
      <c r="J74" s="68">
        <f>'4、人物躶体&amp;总属性表'!P75</f>
        <v>44375</v>
      </c>
      <c r="K74" s="68">
        <f>'4、人物躶体&amp;总属性表'!Q75/各种公式!$M$6*各种公式!$J$6</f>
        <v>17750</v>
      </c>
      <c r="L74" s="68">
        <f>'4、人物躶体&amp;总属性表'!R75/各种公式!$M$6*各种公式!$J$6</f>
        <v>17750</v>
      </c>
      <c r="M74" s="68">
        <f>'4、人物躶体&amp;总属性表'!S75/各种公式!$M$8*各种公式!$J$8</f>
        <v>8875</v>
      </c>
      <c r="N74" s="68">
        <f>'4、人物躶体&amp;总属性表'!T75/各种公式!$M$9*各种公式!$J$9</f>
        <v>17750</v>
      </c>
      <c r="O74" s="68">
        <f>'4、人物躶体&amp;总属性表'!U75/各种公式!$M$10*各种公式!$J$10</f>
        <v>17750</v>
      </c>
      <c r="P74" s="1">
        <f t="shared" si="11"/>
        <v>61.958840078940931</v>
      </c>
      <c r="Q74" s="1">
        <f t="shared" si="15"/>
        <v>12.36363636363637</v>
      </c>
      <c r="R74" s="1">
        <f t="shared" si="16"/>
        <v>12.363636363636372</v>
      </c>
      <c r="S74" s="1">
        <f t="shared" si="17"/>
        <v>5.0113767710908075</v>
      </c>
      <c r="T74" s="31">
        <f t="shared" si="12"/>
        <v>0.46664524256964518</v>
      </c>
      <c r="U74" s="31">
        <f t="shared" si="13"/>
        <v>0.54838709677419428</v>
      </c>
      <c r="V74" s="31">
        <f t="shared" si="14"/>
        <v>0.54838709677419428</v>
      </c>
      <c r="W74">
        <f>SUMPRODUCT(C74:O74,属性价值比,'5、系统属性规划'!$C$33:$O$33)</f>
        <v>56858.530677505281</v>
      </c>
    </row>
    <row r="75" spans="1:23" x14ac:dyDescent="0.15">
      <c r="A75">
        <f t="shared" si="10"/>
        <v>254177.74206121781</v>
      </c>
      <c r="B75" s="1">
        <f>'4、人物躶体&amp;总属性表'!H76</f>
        <v>72</v>
      </c>
      <c r="C75" s="68">
        <f>'4、人物躶体&amp;总属性表'!I76</f>
        <v>1628467.0515304436</v>
      </c>
      <c r="D75" s="68">
        <f>'4、人物躶体&amp;总属性表'!J76</f>
        <v>77288.580000000045</v>
      </c>
      <c r="E75" s="68">
        <f>'4、人物躶体&amp;总属性表'!K76</f>
        <v>34350.480000000018</v>
      </c>
      <c r="F75" s="68">
        <f>'4、人物躶体&amp;总属性表'!L76</f>
        <v>45000</v>
      </c>
      <c r="G75" s="68">
        <f>'4、人物躶体&amp;总属性表'!M76</f>
        <v>45000</v>
      </c>
      <c r="H75" s="68">
        <f>'4、人物躶体&amp;总属性表'!N76</f>
        <v>45000</v>
      </c>
      <c r="I75" s="68">
        <f>'4、人物躶体&amp;总属性表'!O76*各种公式!$J$4</f>
        <v>45000</v>
      </c>
      <c r="J75" s="68">
        <f>'4、人物躶体&amp;总属性表'!P76</f>
        <v>45000</v>
      </c>
      <c r="K75" s="68">
        <f>'4、人物躶体&amp;总属性表'!Q76/各种公式!$M$6*各种公式!$J$6</f>
        <v>18000.000000000004</v>
      </c>
      <c r="L75" s="68">
        <f>'4、人物躶体&amp;总属性表'!R76/各种公式!$M$6*各种公式!$J$6</f>
        <v>18000.000000000004</v>
      </c>
      <c r="M75" s="68">
        <f>'4、人物躶体&amp;总属性表'!S76/各种公式!$M$8*各种公式!$J$8</f>
        <v>9000</v>
      </c>
      <c r="N75" s="68">
        <f>'4、人物躶体&amp;总属性表'!T76/各种公式!$M$9*各种公式!$J$9</f>
        <v>18000</v>
      </c>
      <c r="O75" s="68">
        <f>'4、人物躶体&amp;总属性表'!U76/各种公式!$M$10*各种公式!$J$10</f>
        <v>18000.000000000004</v>
      </c>
      <c r="P75" s="1">
        <f t="shared" si="11"/>
        <v>64.048250940282585</v>
      </c>
      <c r="Q75" s="1">
        <f t="shared" si="15"/>
        <v>12.681818181818189</v>
      </c>
      <c r="R75" s="1">
        <f t="shared" si="16"/>
        <v>12.681818181818189</v>
      </c>
      <c r="S75" s="1">
        <f t="shared" si="17"/>
        <v>5.0503997157212046</v>
      </c>
      <c r="T75" s="31">
        <f t="shared" si="12"/>
        <v>0.48238171596030543</v>
      </c>
      <c r="U75" s="31">
        <f t="shared" si="13"/>
        <v>0.56250000000000078</v>
      </c>
      <c r="V75" s="31">
        <f t="shared" si="14"/>
        <v>0.56250000000000067</v>
      </c>
      <c r="W75">
        <f>SUMPRODUCT(C75:O75,属性价值比,'5、系统属性规划'!$C$33:$O$33)</f>
        <v>58262.777250472529</v>
      </c>
    </row>
    <row r="76" spans="1:23" x14ac:dyDescent="0.15">
      <c r="A76">
        <f t="shared" si="10"/>
        <v>260195.65032607317</v>
      </c>
      <c r="B76" s="1">
        <f>'4、人物躶体&amp;总属性表'!H77</f>
        <v>73</v>
      </c>
      <c r="C76" s="68">
        <f>'4、人物躶体&amp;总属性表'!I77</f>
        <v>1682015.2581518283</v>
      </c>
      <c r="D76" s="68">
        <f>'4、人物躶体&amp;总属性表'!J77</f>
        <v>79227.72000000003</v>
      </c>
      <c r="E76" s="68">
        <f>'4、人物躶体&amp;总属性表'!K77</f>
        <v>35212.320000000022</v>
      </c>
      <c r="F76" s="68">
        <f>'4、人物躶体&amp;总属性表'!L77</f>
        <v>45625</v>
      </c>
      <c r="G76" s="68">
        <f>'4、人物躶体&amp;总属性表'!M77</f>
        <v>45625</v>
      </c>
      <c r="H76" s="68">
        <f>'4、人物躶体&amp;总属性表'!N77</f>
        <v>45625</v>
      </c>
      <c r="I76" s="68">
        <f>'4、人物躶体&amp;总属性表'!O77*各种公式!$J$4</f>
        <v>45625</v>
      </c>
      <c r="J76" s="68">
        <f>'4、人物躶体&amp;总属性表'!P77</f>
        <v>45625</v>
      </c>
      <c r="K76" s="68">
        <f>'4、人物躶体&amp;总属性表'!Q77/各种公式!$M$6*各种公式!$J$6</f>
        <v>18250</v>
      </c>
      <c r="L76" s="68">
        <f>'4、人物躶体&amp;总属性表'!R77/各种公式!$M$6*各种公式!$J$6</f>
        <v>18250</v>
      </c>
      <c r="M76" s="68">
        <f>'4、人物躶体&amp;总属性表'!S77/各种公式!$M$8*各种公式!$J$8</f>
        <v>9125</v>
      </c>
      <c r="N76" s="68">
        <f>'4、人物躶体&amp;总属性表'!T77/各种公式!$M$9*各种公式!$J$9</f>
        <v>18250</v>
      </c>
      <c r="O76" s="68">
        <f>'4、人物躶体&amp;总属性表'!U77/各种公式!$M$10*各种公式!$J$10</f>
        <v>18250</v>
      </c>
      <c r="P76" s="1">
        <f t="shared" si="11"/>
        <v>66.15432301086291</v>
      </c>
      <c r="Q76" s="1">
        <f t="shared" si="15"/>
        <v>13.000000000000004</v>
      </c>
      <c r="R76" s="1">
        <f t="shared" si="16"/>
        <v>13.000000000000009</v>
      </c>
      <c r="S76" s="1">
        <f t="shared" si="17"/>
        <v>5.0887940777586822</v>
      </c>
      <c r="T76" s="31">
        <f t="shared" si="12"/>
        <v>0.49824367385030066</v>
      </c>
      <c r="U76" s="31">
        <f t="shared" si="13"/>
        <v>0.57661290322580716</v>
      </c>
      <c r="V76" s="31">
        <f t="shared" si="14"/>
        <v>0.57661290322580727</v>
      </c>
      <c r="W76">
        <f>SUMPRODUCT(C76:O76,属性价值比,'5、系统属性规划'!$C$33:$O$33)</f>
        <v>59670.867650018808</v>
      </c>
    </row>
    <row r="77" spans="1:23" x14ac:dyDescent="0.15">
      <c r="A77">
        <f t="shared" si="10"/>
        <v>266229.88013619627</v>
      </c>
      <c r="B77" s="1">
        <f>'4、人物躶体&amp;总属性表'!H78</f>
        <v>74</v>
      </c>
      <c r="C77" s="68">
        <f>'4、人物躶体&amp;总属性表'!I78</f>
        <v>1735971.5034049053</v>
      </c>
      <c r="D77" s="68">
        <f>'4、人物躶体&amp;总属性表'!J78</f>
        <v>81166.860000000044</v>
      </c>
      <c r="E77" s="68">
        <f>'4、人物躶体&amp;总属性表'!K78</f>
        <v>36074.160000000018</v>
      </c>
      <c r="F77" s="68">
        <f>'4、人物躶体&amp;总属性表'!L78</f>
        <v>46250</v>
      </c>
      <c r="G77" s="68">
        <f>'4、人物躶体&amp;总属性表'!M78</f>
        <v>46250</v>
      </c>
      <c r="H77" s="68">
        <f>'4、人物躶体&amp;总属性表'!N78</f>
        <v>46250</v>
      </c>
      <c r="I77" s="68">
        <f>'4、人物躶体&amp;总属性表'!O78*各种公式!$J$4</f>
        <v>46250</v>
      </c>
      <c r="J77" s="68">
        <f>'4、人物躶体&amp;总属性表'!P78</f>
        <v>46250</v>
      </c>
      <c r="K77" s="68">
        <f>'4、人物躶体&amp;总属性表'!Q78/各种公式!$M$6*各种公式!$J$6</f>
        <v>18500.000000000004</v>
      </c>
      <c r="L77" s="68">
        <f>'4、人物躶体&amp;总属性表'!R78/各种公式!$M$6*各种公式!$J$6</f>
        <v>18500.000000000004</v>
      </c>
      <c r="M77" s="68">
        <f>'4、人物躶体&amp;总属性表'!S78/各种公式!$M$8*各种公式!$J$8</f>
        <v>9250</v>
      </c>
      <c r="N77" s="68">
        <f>'4、人物躶体&amp;总属性表'!T78/各种公式!$M$9*各种公式!$J$9</f>
        <v>18500</v>
      </c>
      <c r="O77" s="68">
        <f>'4、人物躶体&amp;总属性表'!U78/各种公式!$M$10*各种公式!$J$10</f>
        <v>18500.000000000004</v>
      </c>
      <c r="P77" s="1">
        <f t="shared" si="11"/>
        <v>68.276443401641899</v>
      </c>
      <c r="Q77" s="1">
        <f t="shared" si="15"/>
        <v>13.318181818181824</v>
      </c>
      <c r="R77" s="1">
        <f t="shared" si="16"/>
        <v>13.318181818181825</v>
      </c>
      <c r="S77" s="1">
        <f t="shared" si="17"/>
        <v>5.1265588902256685</v>
      </c>
      <c r="T77" s="31">
        <f t="shared" si="12"/>
        <v>0.51422650024368299</v>
      </c>
      <c r="U77" s="31">
        <f t="shared" si="13"/>
        <v>0.59072580645161366</v>
      </c>
      <c r="V77" s="31">
        <f t="shared" si="14"/>
        <v>0.59072580645161366</v>
      </c>
      <c r="W77">
        <f>SUMPRODUCT(C77:O77,属性价值比,'5、系统属性规划'!$C$33:$O$33)</f>
        <v>61082.66047949349</v>
      </c>
    </row>
    <row r="78" spans="1:23" x14ac:dyDescent="0.15">
      <c r="A78">
        <f t="shared" si="10"/>
        <v>272279.80978403776</v>
      </c>
      <c r="B78" s="1">
        <f>'4、人物躶体&amp;总属性表'!H79</f>
        <v>75</v>
      </c>
      <c r="C78" s="68">
        <f>'4、人物躶体&amp;总属性表'!I79</f>
        <v>1790320.2446009414</v>
      </c>
      <c r="D78" s="68">
        <f>'4、人物躶体&amp;总属性表'!J79</f>
        <v>83106.000000000058</v>
      </c>
      <c r="E78" s="68">
        <f>'4、人物躶体&amp;总属性表'!K79</f>
        <v>36936.000000000029</v>
      </c>
      <c r="F78" s="68">
        <f>'4、人物躶体&amp;总属性表'!L79</f>
        <v>46875</v>
      </c>
      <c r="G78" s="68">
        <f>'4、人物躶体&amp;总属性表'!M79</f>
        <v>46875</v>
      </c>
      <c r="H78" s="68">
        <f>'4、人物躶体&amp;总属性表'!N79</f>
        <v>46875</v>
      </c>
      <c r="I78" s="68">
        <f>'4、人物躶体&amp;总属性表'!O79*各种公式!$J$4</f>
        <v>46875</v>
      </c>
      <c r="J78" s="68">
        <f>'4、人物躶体&amp;总属性表'!P79</f>
        <v>46875</v>
      </c>
      <c r="K78" s="68">
        <f>'4、人物躶体&amp;总属性表'!Q79/各种公式!$M$6*各种公式!$J$6</f>
        <v>18750</v>
      </c>
      <c r="L78" s="68">
        <f>'4、人物躶体&amp;总属性表'!R79/各种公式!$M$6*各种公式!$J$6</f>
        <v>18750</v>
      </c>
      <c r="M78" s="68">
        <f>'4、人物躶体&amp;总属性表'!S79/各种公式!$M$8*各种公式!$J$8</f>
        <v>9375</v>
      </c>
      <c r="N78" s="68">
        <f>'4、人物躶体&amp;总属性表'!T79/各种公式!$M$9*各种公式!$J$9</f>
        <v>18750</v>
      </c>
      <c r="O78" s="68">
        <f>'4、人物躶体&amp;总属性表'!U79/各种公式!$M$10*各种公式!$J$10</f>
        <v>18750</v>
      </c>
      <c r="P78" s="1">
        <f t="shared" si="11"/>
        <v>70.414000812546092</v>
      </c>
      <c r="Q78" s="1">
        <f t="shared" si="15"/>
        <v>13.636363636363646</v>
      </c>
      <c r="R78" s="1">
        <f t="shared" si="16"/>
        <v>13.636363636363647</v>
      </c>
      <c r="S78" s="1">
        <f t="shared" si="17"/>
        <v>5.1636933929200426</v>
      </c>
      <c r="T78" s="31">
        <f t="shared" si="12"/>
        <v>0.53032559111186339</v>
      </c>
      <c r="U78" s="31">
        <f t="shared" si="13"/>
        <v>0.60483870967742026</v>
      </c>
      <c r="V78" s="31">
        <f t="shared" si="14"/>
        <v>0.60483870967742026</v>
      </c>
      <c r="W78">
        <f>SUMPRODUCT(C78:O78,属性价值比,'5、系统属性规划'!$C$33:$O$33)</f>
        <v>62498.014708828676</v>
      </c>
    </row>
    <row r="79" spans="1:23" x14ac:dyDescent="0.15">
      <c r="A79">
        <f t="shared" si="10"/>
        <v>278344.8195126286</v>
      </c>
      <c r="B79" s="1">
        <f>'4、人物躶体&amp;总属性表'!H80</f>
        <v>76</v>
      </c>
      <c r="C79" s="68">
        <f>'4、人物躶体&amp;总属性表'!I80</f>
        <v>1845045.987815713</v>
      </c>
      <c r="D79" s="68">
        <f>'4、人物躶体&amp;总属性表'!J80</f>
        <v>85045.140000000043</v>
      </c>
      <c r="E79" s="68">
        <f>'4、人物躶体&amp;总属性表'!K80</f>
        <v>37797.840000000018</v>
      </c>
      <c r="F79" s="68">
        <f>'4、人物躶体&amp;总属性表'!L80</f>
        <v>47500</v>
      </c>
      <c r="G79" s="68">
        <f>'4、人物躶体&amp;总属性表'!M80</f>
        <v>47500</v>
      </c>
      <c r="H79" s="68">
        <f>'4、人物躶体&amp;总属性表'!N80</f>
        <v>47500</v>
      </c>
      <c r="I79" s="68">
        <f>'4、人物躶体&amp;总属性表'!O80*各种公式!$J$4</f>
        <v>47500</v>
      </c>
      <c r="J79" s="68">
        <f>'4、人物躶体&amp;总属性表'!P80</f>
        <v>47500</v>
      </c>
      <c r="K79" s="68">
        <f>'4、人物躶体&amp;总属性表'!Q80/各种公式!$M$6*各种公式!$J$6</f>
        <v>19000</v>
      </c>
      <c r="L79" s="68">
        <f>'4、人物躶体&amp;总属性表'!R80/各种公式!$M$6*各种公式!$J$6</f>
        <v>19000</v>
      </c>
      <c r="M79" s="68">
        <f>'4、人物躶体&amp;总属性表'!S80/各种公式!$M$8*各种公式!$J$8</f>
        <v>9500</v>
      </c>
      <c r="N79" s="68">
        <f>'4、人物躶体&amp;总属性表'!T80/各种公式!$M$9*各种公式!$J$9</f>
        <v>19000</v>
      </c>
      <c r="O79" s="68">
        <f>'4、人物躶体&amp;总属性表'!U80/各种公式!$M$10*各种公式!$J$10</f>
        <v>19000</v>
      </c>
      <c r="P79" s="1">
        <f t="shared" si="11"/>
        <v>72.566385861429367</v>
      </c>
      <c r="Q79" s="1">
        <f t="shared" si="15"/>
        <v>13.95454545454546</v>
      </c>
      <c r="R79" s="1">
        <f t="shared" si="16"/>
        <v>13.954545454545462</v>
      </c>
      <c r="S79" s="1">
        <f t="shared" si="17"/>
        <v>5.2001970324151312</v>
      </c>
      <c r="T79" s="31">
        <f t="shared" si="12"/>
        <v>0.54653635687119206</v>
      </c>
      <c r="U79" s="31">
        <f t="shared" si="13"/>
        <v>0.61895161290322664</v>
      </c>
      <c r="V79" s="31">
        <f t="shared" si="14"/>
        <v>0.61895161290322664</v>
      </c>
      <c r="W79">
        <f>SUMPRODUCT(C79:O79,属性价值比,'5、系统属性规划'!$C$33:$O$33)</f>
        <v>63916.789750432145</v>
      </c>
    </row>
    <row r="80" spans="1:23" x14ac:dyDescent="0.15">
      <c r="A80">
        <f t="shared" si="10"/>
        <v>284424.29185014195</v>
      </c>
      <c r="B80" s="1">
        <f>'4、人物躶体&amp;总属性表'!H81</f>
        <v>77</v>
      </c>
      <c r="C80" s="68">
        <f>'4、人物躶体&amp;总属性表'!I81</f>
        <v>1900133.2962535466</v>
      </c>
      <c r="D80" s="68">
        <f>'4、人物躶体&amp;总属性表'!J81</f>
        <v>86984.280000000042</v>
      </c>
      <c r="E80" s="68">
        <f>'4、人物躶体&amp;总属性表'!K81</f>
        <v>38659.680000000015</v>
      </c>
      <c r="F80" s="68">
        <f>'4、人物躶体&amp;总属性表'!L81</f>
        <v>48125</v>
      </c>
      <c r="G80" s="68">
        <f>'4、人物躶体&amp;总属性表'!M81</f>
        <v>48125</v>
      </c>
      <c r="H80" s="68">
        <f>'4、人物躶体&amp;总属性表'!N81</f>
        <v>48125</v>
      </c>
      <c r="I80" s="68">
        <f>'4、人物躶体&amp;总属性表'!O81*各种公式!$J$4</f>
        <v>48125</v>
      </c>
      <c r="J80" s="68">
        <f>'4、人物躶体&amp;总属性表'!P81</f>
        <v>48125</v>
      </c>
      <c r="K80" s="68">
        <f>'4、人物躶体&amp;总属性表'!Q81/各种公式!$M$6*各种公式!$J$6</f>
        <v>19250</v>
      </c>
      <c r="L80" s="68">
        <f>'4、人物躶体&amp;总属性表'!R81/各种公式!$M$6*各种公式!$J$6</f>
        <v>19250</v>
      </c>
      <c r="M80" s="68">
        <f>'4、人物躶体&amp;总属性表'!S81/各种公式!$M$8*各种公式!$J$8</f>
        <v>9625</v>
      </c>
      <c r="N80" s="68">
        <f>'4、人物躶体&amp;总属性表'!T81/各种公式!$M$9*各种公式!$J$9</f>
        <v>19250</v>
      </c>
      <c r="O80" s="68">
        <f>'4、人物躶体&amp;总属性表'!U81/各种公式!$M$10*各种公式!$J$10</f>
        <v>19250</v>
      </c>
      <c r="P80" s="1">
        <f t="shared" si="11"/>
        <v>74.732991413034014</v>
      </c>
      <c r="Q80" s="1">
        <f t="shared" si="15"/>
        <v>14.272727272727279</v>
      </c>
      <c r="R80" s="1">
        <f t="shared" si="16"/>
        <v>14.272727272727279</v>
      </c>
      <c r="S80" s="1">
        <f t="shared" si="17"/>
        <v>5.2360694620597057</v>
      </c>
      <c r="T80" s="31">
        <f t="shared" si="12"/>
        <v>0.56285422486054015</v>
      </c>
      <c r="U80" s="31">
        <f t="shared" si="13"/>
        <v>0.63306451612903314</v>
      </c>
      <c r="V80" s="31">
        <f t="shared" si="14"/>
        <v>0.63306451612903303</v>
      </c>
      <c r="W80">
        <f>SUMPRODUCT(C80:O80,属性价值比,'5、系统属性规划'!$C$33:$O$33)</f>
        <v>65338.845535080429</v>
      </c>
    </row>
    <row r="81" spans="1:23" x14ac:dyDescent="0.15">
      <c r="A81">
        <f t="shared" si="10"/>
        <v>290517.61194445431</v>
      </c>
      <c r="B81" s="1">
        <f>'4、人物躶体&amp;总属性表'!H82</f>
        <v>78</v>
      </c>
      <c r="C81" s="68">
        <f>'4、人物躶体&amp;总属性表'!I82</f>
        <v>1955566.7986113571</v>
      </c>
      <c r="D81" s="68">
        <f>'4、人物躶体&amp;总属性表'!J82</f>
        <v>88923.420000000027</v>
      </c>
      <c r="E81" s="68">
        <f>'4、人物躶体&amp;总属性表'!K82</f>
        <v>39521.520000000011</v>
      </c>
      <c r="F81" s="68">
        <f>'4、人物躶体&amp;总属性表'!L82</f>
        <v>48750</v>
      </c>
      <c r="G81" s="68">
        <f>'4、人物躶体&amp;总属性表'!M82</f>
        <v>48750</v>
      </c>
      <c r="H81" s="68">
        <f>'4、人物躶体&amp;总属性表'!N82</f>
        <v>48750</v>
      </c>
      <c r="I81" s="68">
        <f>'4、人物躶体&amp;总属性表'!O82*各种公式!$J$4</f>
        <v>48750</v>
      </c>
      <c r="J81" s="68">
        <f>'4、人物躶体&amp;总属性表'!P82</f>
        <v>48750</v>
      </c>
      <c r="K81" s="68">
        <f>'4、人物躶体&amp;总属性表'!Q82/各种公式!$M$6*各种公式!$J$6</f>
        <v>19500</v>
      </c>
      <c r="L81" s="68">
        <f>'4、人物躶体&amp;总属性表'!R82/各种公式!$M$6*各种公式!$J$6</f>
        <v>19500</v>
      </c>
      <c r="M81" s="68">
        <f>'4、人物躶体&amp;总属性表'!S82/各种公式!$M$8*各种公式!$J$8</f>
        <v>9750</v>
      </c>
      <c r="N81" s="68">
        <f>'4、人物躶体&amp;总属性表'!T82/各种公式!$M$9*各种公式!$J$9</f>
        <v>19500</v>
      </c>
      <c r="O81" s="68">
        <f>'4、人物躶体&amp;总属性表'!U82/各种公式!$M$10*各种公式!$J$10</f>
        <v>19500</v>
      </c>
      <c r="P81" s="1">
        <f t="shared" si="11"/>
        <v>76.913212907951632</v>
      </c>
      <c r="Q81" s="1">
        <f t="shared" si="15"/>
        <v>14.590909090909093</v>
      </c>
      <c r="R81" s="1">
        <f t="shared" si="16"/>
        <v>14.590909090909095</v>
      </c>
      <c r="S81" s="1">
        <f t="shared" si="17"/>
        <v>5.271310541977992</v>
      </c>
      <c r="T81" s="31">
        <f t="shared" si="12"/>
        <v>0.57927464181888133</v>
      </c>
      <c r="U81" s="31">
        <f t="shared" si="13"/>
        <v>0.64717741935483941</v>
      </c>
      <c r="V81" s="31">
        <f t="shared" si="14"/>
        <v>0.64717741935483941</v>
      </c>
      <c r="W81">
        <f>SUMPRODUCT(C81:O81,属性价值比,'5、系统属性规划'!$C$33:$O$33)</f>
        <v>66764.042587811651</v>
      </c>
    </row>
    <row r="82" spans="1:23" x14ac:dyDescent="0.15">
      <c r="A82">
        <f t="shared" si="10"/>
        <v>296624.16789770749</v>
      </c>
      <c r="B82" s="1">
        <f>'4、人物躶体&amp;总属性表'!H83</f>
        <v>79</v>
      </c>
      <c r="C82" s="68">
        <f>'4、人物躶体&amp;总属性表'!I83</f>
        <v>2011331.1974426862</v>
      </c>
      <c r="D82" s="68">
        <f>'4、人物躶体&amp;总属性表'!J83</f>
        <v>90862.560000000027</v>
      </c>
      <c r="E82" s="68">
        <f>'4、人物躶体&amp;总属性表'!K83</f>
        <v>40383.360000000015</v>
      </c>
      <c r="F82" s="68">
        <f>'4、人物躶体&amp;总属性表'!L83</f>
        <v>49375</v>
      </c>
      <c r="G82" s="68">
        <f>'4、人物躶体&amp;总属性表'!M83</f>
        <v>49375</v>
      </c>
      <c r="H82" s="68">
        <f>'4、人物躶体&amp;总属性表'!N83</f>
        <v>49375</v>
      </c>
      <c r="I82" s="68">
        <f>'4、人物躶体&amp;总属性表'!O83*各种公式!$J$4</f>
        <v>49375</v>
      </c>
      <c r="J82" s="68">
        <f>'4、人物躶体&amp;总属性表'!P83</f>
        <v>49375</v>
      </c>
      <c r="K82" s="68">
        <f>'4、人物躶体&amp;总属性表'!Q83/各种公式!$M$6*各种公式!$J$6</f>
        <v>19750</v>
      </c>
      <c r="L82" s="68">
        <f>'4、人物躶体&amp;总属性表'!R83/各种公式!$M$6*各种公式!$J$6</f>
        <v>19750</v>
      </c>
      <c r="M82" s="68">
        <f>'4、人物躶体&amp;总属性表'!S83/各种公式!$M$8*各种公式!$J$8</f>
        <v>9875</v>
      </c>
      <c r="N82" s="68">
        <f>'4、人物躶体&amp;总属性表'!T83/各种公式!$M$9*各种公式!$J$9</f>
        <v>19750</v>
      </c>
      <c r="O82" s="68">
        <f>'4、人物躶体&amp;总属性表'!U83/各种公式!$M$10*各种公式!$J$10</f>
        <v>19750</v>
      </c>
      <c r="P82" s="1">
        <f t="shared" si="11"/>
        <v>79.106448691584063</v>
      </c>
      <c r="Q82" s="1">
        <f t="shared" si="15"/>
        <v>14.909090909090912</v>
      </c>
      <c r="R82" s="1">
        <f t="shared" si="16"/>
        <v>14.909090909090915</v>
      </c>
      <c r="S82" s="1">
        <f t="shared" si="17"/>
        <v>5.3059203390696608</v>
      </c>
      <c r="T82" s="31">
        <f t="shared" si="12"/>
        <v>0.59579307636287215</v>
      </c>
      <c r="U82" s="31">
        <f t="shared" si="13"/>
        <v>0.66129032258064591</v>
      </c>
      <c r="V82" s="31">
        <f t="shared" si="14"/>
        <v>0.66129032258064591</v>
      </c>
      <c r="W82">
        <f>SUMPRODUCT(C82:O82,属性价值比,'5、系统属性规划'!$C$33:$O$33)</f>
        <v>68192.242103818673</v>
      </c>
    </row>
    <row r="83" spans="1:23" x14ac:dyDescent="0.15">
      <c r="A83">
        <f t="shared" si="10"/>
        <v>303390.34617878264</v>
      </c>
      <c r="B83" s="1">
        <f>'4、人物躶体&amp;总属性表'!H84</f>
        <v>80</v>
      </c>
      <c r="C83" s="68">
        <f>'4、人物躶体&amp;总属性表'!I84</f>
        <v>2073582.6544695653</v>
      </c>
      <c r="D83" s="68">
        <f>'4、人物躶体&amp;总属性表'!J84</f>
        <v>93078.720000000016</v>
      </c>
      <c r="E83" s="68">
        <f>'4、人物躶体&amp;总属性表'!K84</f>
        <v>41368.320000000007</v>
      </c>
      <c r="F83" s="68">
        <f>'4、人物躶体&amp;总属性表'!L84</f>
        <v>50000</v>
      </c>
      <c r="G83" s="68">
        <f>'4、人物躶体&amp;总属性表'!M84</f>
        <v>50000</v>
      </c>
      <c r="H83" s="68">
        <f>'4、人物躶体&amp;总属性表'!N84</f>
        <v>50000</v>
      </c>
      <c r="I83" s="68">
        <f>'4、人物躶体&amp;总属性表'!O84*各种公式!$J$4</f>
        <v>50000</v>
      </c>
      <c r="J83" s="68">
        <f>'4、人物躶体&amp;总属性表'!P84</f>
        <v>50000</v>
      </c>
      <c r="K83" s="68">
        <f>'4、人物躶体&amp;总属性表'!Q84/各种公式!$M$6*各种公式!$J$6</f>
        <v>20000</v>
      </c>
      <c r="L83" s="68">
        <f>'4、人物躶体&amp;总属性表'!R84/各种公式!$M$6*各种公式!$J$6</f>
        <v>20000</v>
      </c>
      <c r="M83" s="68">
        <f>'4、人物躶体&amp;总属性表'!S84/各种公式!$M$8*各种公式!$J$8</f>
        <v>10000</v>
      </c>
      <c r="N83" s="68">
        <f>'4、人物躶体&amp;总属性表'!T84/各种公式!$M$9*各种公式!$J$9</f>
        <v>20000</v>
      </c>
      <c r="O83" s="68">
        <f>'4、人物躶体&amp;总属性表'!U84/各种公式!$M$10*各种公式!$J$10</f>
        <v>20000</v>
      </c>
      <c r="P83" s="1">
        <f t="shared" si="11"/>
        <v>81.554823030695601</v>
      </c>
      <c r="Q83" s="1">
        <f t="shared" si="15"/>
        <v>15.272727272727273</v>
      </c>
      <c r="R83" s="1">
        <f t="shared" si="16"/>
        <v>15.272727272727275</v>
      </c>
      <c r="S83" s="1">
        <f t="shared" si="17"/>
        <v>5.3398991270098302</v>
      </c>
      <c r="T83" s="31">
        <f t="shared" si="12"/>
        <v>0.61423309615537192</v>
      </c>
      <c r="U83" s="31">
        <f t="shared" si="13"/>
        <v>0.6774193548387103</v>
      </c>
      <c r="V83" s="31">
        <f t="shared" si="14"/>
        <v>0.6774193548387103</v>
      </c>
      <c r="W83">
        <f>SUMPRODUCT(C83:O83,属性价值比,'5、系统属性规划'!$C$33:$O$33)</f>
        <v>69781.136788593678</v>
      </c>
    </row>
    <row r="84" spans="1:23" x14ac:dyDescent="0.15">
      <c r="A84">
        <f t="shared" si="10"/>
        <v>310171.62999852118</v>
      </c>
      <c r="B84" s="1">
        <f>'4、人物躶体&amp;总属性表'!H85</f>
        <v>81</v>
      </c>
      <c r="C84" s="68">
        <f>'4、人物躶体&amp;总属性表'!I85</f>
        <v>2136211.7499630288</v>
      </c>
      <c r="D84" s="68">
        <f>'4、人物躶体&amp;总属性表'!J85</f>
        <v>95294.880000000019</v>
      </c>
      <c r="E84" s="68">
        <f>'4、人物躶体&amp;总属性表'!K85</f>
        <v>42353.280000000013</v>
      </c>
      <c r="F84" s="68">
        <f>'4、人物躶体&amp;总属性表'!L85</f>
        <v>50625</v>
      </c>
      <c r="G84" s="68">
        <f>'4、人物躶体&amp;总属性表'!M85</f>
        <v>50625</v>
      </c>
      <c r="H84" s="68">
        <f>'4、人物躶体&amp;总属性表'!N85</f>
        <v>50625</v>
      </c>
      <c r="I84" s="68">
        <f>'4、人物躶体&amp;总属性表'!O85*各种公式!$J$4</f>
        <v>50625</v>
      </c>
      <c r="J84" s="68">
        <f>'4、人物躶体&amp;总属性表'!P85</f>
        <v>50625</v>
      </c>
      <c r="K84" s="68">
        <f>'4、人物躶体&amp;总属性表'!Q85/各种公式!$M$6*各种公式!$J$6</f>
        <v>20250</v>
      </c>
      <c r="L84" s="68">
        <f>'4、人物躶体&amp;总属性表'!R85/各种公式!$M$6*各种公式!$J$6</f>
        <v>20250</v>
      </c>
      <c r="M84" s="68">
        <f>'4、人物躶体&amp;总属性表'!S85/各种公式!$M$8*各种公式!$J$8</f>
        <v>10125</v>
      </c>
      <c r="N84" s="68">
        <f>'4、人物躶体&amp;总属性表'!T85/各种公式!$M$9*各种公式!$J$9</f>
        <v>20250</v>
      </c>
      <c r="O84" s="68">
        <f>'4、人物躶体&amp;总属性表'!U85/各种公式!$M$10*各种公式!$J$10</f>
        <v>20250</v>
      </c>
      <c r="P84" s="1">
        <f t="shared" si="11"/>
        <v>84.018050039530962</v>
      </c>
      <c r="Q84" s="1">
        <f t="shared" si="15"/>
        <v>15.636363636363638</v>
      </c>
      <c r="R84" s="1">
        <f t="shared" si="16"/>
        <v>15.636363636363642</v>
      </c>
      <c r="S84" s="1">
        <f t="shared" si="17"/>
        <v>5.3732473862490711</v>
      </c>
      <c r="T84" s="31">
        <f t="shared" si="12"/>
        <v>0.63278497936650968</v>
      </c>
      <c r="U84" s="31">
        <f t="shared" si="13"/>
        <v>0.69354838709677491</v>
      </c>
      <c r="V84" s="31">
        <f t="shared" si="14"/>
        <v>0.69354838709677491</v>
      </c>
      <c r="W84">
        <f>SUMPRODUCT(C84:O84,属性价值比,'5、系统属性规划'!$C$33:$O$33)</f>
        <v>71373.458060589095</v>
      </c>
    </row>
    <row r="85" spans="1:23" x14ac:dyDescent="0.15">
      <c r="A85">
        <f t="shared" si="10"/>
        <v>316967.33097950811</v>
      </c>
      <c r="B85" s="1">
        <f>'4、人物躶体&amp;总属性表'!H86</f>
        <v>82</v>
      </c>
      <c r="C85" s="68">
        <f>'4、人物躶体&amp;总属性表'!I86</f>
        <v>2199201.2744877017</v>
      </c>
      <c r="D85" s="68">
        <f>'4、人物躶体&amp;总属性表'!J86</f>
        <v>97511.040000000023</v>
      </c>
      <c r="E85" s="68">
        <f>'4、人物躶体&amp;总属性表'!K86</f>
        <v>43338.240000000005</v>
      </c>
      <c r="F85" s="68">
        <f>'4、人物躶体&amp;总属性表'!L86</f>
        <v>51250</v>
      </c>
      <c r="G85" s="68">
        <f>'4、人物躶体&amp;总属性表'!M86</f>
        <v>51250</v>
      </c>
      <c r="H85" s="68">
        <f>'4、人物躶体&amp;总属性表'!N86</f>
        <v>51250</v>
      </c>
      <c r="I85" s="68">
        <f>'4、人物躶体&amp;总属性表'!O86*各种公式!$J$4</f>
        <v>51249.999999999993</v>
      </c>
      <c r="J85" s="68">
        <f>'4、人物躶体&amp;总属性表'!P86</f>
        <v>51250</v>
      </c>
      <c r="K85" s="68">
        <f>'4、人物躶体&amp;总属性表'!Q86/各种公式!$M$6*各种公式!$J$6</f>
        <v>20500</v>
      </c>
      <c r="L85" s="68">
        <f>'4、人物躶体&amp;总属性表'!R86/各种公式!$M$6*各种公式!$J$6</f>
        <v>20500</v>
      </c>
      <c r="M85" s="68">
        <f>'4、人物躶体&amp;总属性表'!S86/各种公式!$M$8*各种公式!$J$8</f>
        <v>10250</v>
      </c>
      <c r="N85" s="68">
        <f>'4、人物躶体&amp;总属性表'!T86/各种公式!$M$9*各种公式!$J$9</f>
        <v>20500</v>
      </c>
      <c r="O85" s="68">
        <f>'4、人物躶体&amp;总属性表'!U86/各种公式!$M$10*各种公式!$J$10</f>
        <v>20500</v>
      </c>
      <c r="P85" s="1">
        <f t="shared" si="11"/>
        <v>86.495452864214343</v>
      </c>
      <c r="Q85" s="1">
        <f t="shared" si="15"/>
        <v>16.000000000000004</v>
      </c>
      <c r="R85" s="1">
        <f t="shared" si="16"/>
        <v>16.000000000000004</v>
      </c>
      <c r="S85" s="1">
        <f t="shared" si="17"/>
        <v>5.4059658040133955</v>
      </c>
      <c r="T85" s="31">
        <f t="shared" si="12"/>
        <v>0.65144362824686597</v>
      </c>
      <c r="U85" s="31">
        <f t="shared" si="13"/>
        <v>0.70967741935483952</v>
      </c>
      <c r="V85" s="31">
        <f t="shared" si="14"/>
        <v>0.70967741935483941</v>
      </c>
      <c r="W85">
        <f>SUMPRODUCT(C85:O85,属性价值比,'5、系统属性规划'!$C$33:$O$33)</f>
        <v>72969.049766138036</v>
      </c>
    </row>
    <row r="86" spans="1:23" x14ac:dyDescent="0.15">
      <c r="A86">
        <f t="shared" si="10"/>
        <v>323776.76520215295</v>
      </c>
      <c r="B86" s="1">
        <f>'4、人物躶体&amp;总属性表'!H87</f>
        <v>83</v>
      </c>
      <c r="C86" s="68">
        <f>'4、人物躶体&amp;总属性表'!I87</f>
        <v>2262534.1300538229</v>
      </c>
      <c r="D86" s="68">
        <f>'4、人物躶体&amp;总属性表'!J87</f>
        <v>99727.200000000012</v>
      </c>
      <c r="E86" s="68">
        <f>'4、人物躶体&amp;总属性表'!K87</f>
        <v>44323.200000000012</v>
      </c>
      <c r="F86" s="68">
        <f>'4、人物躶体&amp;总属性表'!L87</f>
        <v>51875</v>
      </c>
      <c r="G86" s="68">
        <f>'4、人物躶体&amp;总属性表'!M87</f>
        <v>51875</v>
      </c>
      <c r="H86" s="68">
        <f>'4、人物躶体&amp;总属性表'!N87</f>
        <v>51875</v>
      </c>
      <c r="I86" s="68">
        <f>'4、人物躶体&amp;总属性表'!O87*各种公式!$J$4</f>
        <v>51875.000000000007</v>
      </c>
      <c r="J86" s="68">
        <f>'4、人物躶体&amp;总属性表'!P87</f>
        <v>51875</v>
      </c>
      <c r="K86" s="68">
        <f>'4、人物躶体&amp;总属性表'!Q87/各种公式!$M$6*各种公式!$J$6</f>
        <v>20750</v>
      </c>
      <c r="L86" s="68">
        <f>'4、人物躶体&amp;总属性表'!R87/各种公式!$M$6*各种公式!$J$6</f>
        <v>20750</v>
      </c>
      <c r="M86" s="68">
        <f>'4、人物躶体&amp;总属性表'!S87/各种公式!$M$8*各种公式!$J$8</f>
        <v>10375</v>
      </c>
      <c r="N86" s="68">
        <f>'4、人物躶体&amp;总属性表'!T87/各种公式!$M$9*各种公式!$J$9</f>
        <v>20750</v>
      </c>
      <c r="O86" s="68">
        <f>'4、人物躶体&amp;总属性表'!U87/各种公式!$M$10*各种公式!$J$10</f>
        <v>20750</v>
      </c>
      <c r="P86" s="1">
        <f t="shared" si="11"/>
        <v>88.986359034069864</v>
      </c>
      <c r="Q86" s="1">
        <f t="shared" si="15"/>
        <v>16.363636363636363</v>
      </c>
      <c r="R86" s="1">
        <f t="shared" si="16"/>
        <v>16.36363636363637</v>
      </c>
      <c r="S86" s="1">
        <f t="shared" si="17"/>
        <v>5.4380552743042676</v>
      </c>
      <c r="T86" s="31">
        <f t="shared" si="12"/>
        <v>0.67020397805924936</v>
      </c>
      <c r="U86" s="31">
        <f t="shared" si="13"/>
        <v>0.7258064516129038</v>
      </c>
      <c r="V86" s="31">
        <f t="shared" si="14"/>
        <v>0.72580645161290402</v>
      </c>
      <c r="W86">
        <f>SUMPRODUCT(C86:O86,属性价值比,'5、系统属性规划'!$C$33:$O$33)</f>
        <v>74567.756762800302</v>
      </c>
    </row>
    <row r="87" spans="1:23" x14ac:dyDescent="0.15">
      <c r="A87">
        <f t="shared" si="10"/>
        <v>330599.25358704571</v>
      </c>
      <c r="B87" s="1">
        <f>'4、人物躶体&amp;总属性表'!H88</f>
        <v>84</v>
      </c>
      <c r="C87" s="68">
        <f>'4、人物躶体&amp;总属性表'!I88</f>
        <v>2326193.3396761417</v>
      </c>
      <c r="D87" s="68">
        <f>'4、人物躶体&amp;总属性表'!J88</f>
        <v>101943.36000000002</v>
      </c>
      <c r="E87" s="68">
        <f>'4、人物躶体&amp;总属性表'!K88</f>
        <v>45308.160000000011</v>
      </c>
      <c r="F87" s="68">
        <f>'4、人物躶体&amp;总属性表'!L88</f>
        <v>52500</v>
      </c>
      <c r="G87" s="68">
        <f>'4、人物躶体&amp;总属性表'!M88</f>
        <v>52500</v>
      </c>
      <c r="H87" s="68">
        <f>'4、人物躶体&amp;总属性表'!N88</f>
        <v>52500</v>
      </c>
      <c r="I87" s="68">
        <f>'4、人物躶体&amp;总属性表'!O88*各种公式!$J$4</f>
        <v>52500</v>
      </c>
      <c r="J87" s="68">
        <f>'4、人物躶体&amp;总属性表'!P88</f>
        <v>52500</v>
      </c>
      <c r="K87" s="68">
        <f>'4、人物躶体&amp;总属性表'!Q88/各种公式!$M$6*各种公式!$J$6</f>
        <v>21000</v>
      </c>
      <c r="L87" s="68">
        <f>'4、人物躶体&amp;总属性表'!R88/各种公式!$M$6*各种公式!$J$6</f>
        <v>21000</v>
      </c>
      <c r="M87" s="68">
        <f>'4、人物躶体&amp;总属性表'!S88/各种公式!$M$8*各种公式!$J$8</f>
        <v>10500</v>
      </c>
      <c r="N87" s="68">
        <f>'4、人物躶体&amp;总属性表'!T88/各种公式!$M$9*各种公式!$J$9</f>
        <v>21000</v>
      </c>
      <c r="O87" s="68">
        <f>'4、人物躶体&amp;总属性表'!U88/各种公式!$M$10*各种公式!$J$10</f>
        <v>21000</v>
      </c>
      <c r="P87" s="1">
        <f t="shared" si="11"/>
        <v>91.490100837576719</v>
      </c>
      <c r="Q87" s="1">
        <f t="shared" si="15"/>
        <v>16.727272727272727</v>
      </c>
      <c r="R87" s="1">
        <f t="shared" si="16"/>
        <v>16.727272727272734</v>
      </c>
      <c r="S87" s="1">
        <f t="shared" si="17"/>
        <v>5.4695168978986057</v>
      </c>
      <c r="T87" s="31">
        <f t="shared" si="12"/>
        <v>0.6890609999102173</v>
      </c>
      <c r="U87" s="31">
        <f t="shared" si="13"/>
        <v>0.74193548387096842</v>
      </c>
      <c r="V87" s="31">
        <f t="shared" si="14"/>
        <v>0.74193548387096853</v>
      </c>
      <c r="W87">
        <f>SUMPRODUCT(C87:O87,属性价值比,'5、系统属性规划'!$C$33:$O$33)</f>
        <v>76169.425006097241</v>
      </c>
    </row>
    <row r="88" spans="1:23" x14ac:dyDescent="0.15">
      <c r="A88">
        <f t="shared" si="10"/>
        <v>337434.12227731256</v>
      </c>
      <c r="B88" s="1">
        <f>'4、人物躶体&amp;总属性表'!H89</f>
        <v>85</v>
      </c>
      <c r="C88" s="68">
        <f>'4、人物躶体&amp;总属性表'!I89</f>
        <v>2390162.056932814</v>
      </c>
      <c r="D88" s="68">
        <f>'4、人物躶体&amp;总属性表'!J89</f>
        <v>104159.52</v>
      </c>
      <c r="E88" s="68">
        <f>'4、人物躶体&amp;总属性表'!K89</f>
        <v>46293.119999999995</v>
      </c>
      <c r="F88" s="68">
        <f>'4、人物躶体&amp;总属性表'!L89</f>
        <v>53125</v>
      </c>
      <c r="G88" s="68">
        <f>'4、人物躶体&amp;总属性表'!M89</f>
        <v>53125</v>
      </c>
      <c r="H88" s="68">
        <f>'4、人物躶体&amp;总属性表'!N89</f>
        <v>53125</v>
      </c>
      <c r="I88" s="68">
        <f>'4、人物躶体&amp;总属性表'!O89*各种公式!$J$4</f>
        <v>53125</v>
      </c>
      <c r="J88" s="68">
        <f>'4、人物躶体&amp;总属性表'!P89</f>
        <v>53125</v>
      </c>
      <c r="K88" s="68">
        <f>'4、人物躶体&amp;总属性表'!Q89/各种公式!$M$6*各种公式!$J$6</f>
        <v>21250</v>
      </c>
      <c r="L88" s="68">
        <f>'4、人物躶体&amp;总属性表'!R89/各种公式!$M$6*各种公式!$J$6</f>
        <v>21250</v>
      </c>
      <c r="M88" s="68">
        <f>'4、人物躶体&amp;总属性表'!S89/各种公式!$M$8*各种公式!$J$8</f>
        <v>10625</v>
      </c>
      <c r="N88" s="68">
        <f>'4、人物躶体&amp;总属性表'!T89/各种公式!$M$9*各种公式!$J$9</f>
        <v>21250</v>
      </c>
      <c r="O88" s="68">
        <f>'4、人物躶体&amp;总属性表'!U89/各种公式!$M$10*各种公式!$J$10</f>
        <v>21250</v>
      </c>
      <c r="P88" s="1">
        <f t="shared" si="11"/>
        <v>94.006015698324362</v>
      </c>
      <c r="Q88" s="1">
        <f t="shared" si="15"/>
        <v>17.09090909090909</v>
      </c>
      <c r="R88" s="1">
        <f t="shared" si="16"/>
        <v>17.09090909090909</v>
      </c>
      <c r="S88" s="1">
        <f t="shared" si="17"/>
        <v>5.5003519823487661</v>
      </c>
      <c r="T88" s="31">
        <f t="shared" si="12"/>
        <v>0.70800970358159543</v>
      </c>
      <c r="U88" s="31">
        <f t="shared" si="13"/>
        <v>0.75806451612903292</v>
      </c>
      <c r="V88" s="31">
        <f t="shared" si="14"/>
        <v>0.75806451612903281</v>
      </c>
      <c r="W88">
        <f>SUMPRODUCT(C88:O88,属性价值比,'5、系统属性规划'!$C$33:$O$33)</f>
        <v>77773.901636246548</v>
      </c>
    </row>
    <row r="89" spans="1:23" x14ac:dyDescent="0.15">
      <c r="A89">
        <f t="shared" si="10"/>
        <v>344280.70302097261</v>
      </c>
      <c r="B89" s="1">
        <f>'4、人物躶体&amp;总属性表'!H90</f>
        <v>86</v>
      </c>
      <c r="C89" s="68">
        <f>'4、人物躶体&amp;总属性表'!I90</f>
        <v>2454423.5755243152</v>
      </c>
      <c r="D89" s="68">
        <f>'4、人物躶体&amp;总属性表'!J90</f>
        <v>106375.68000000001</v>
      </c>
      <c r="E89" s="68">
        <f>'4、人物躶体&amp;总属性表'!K90</f>
        <v>47278.080000000002</v>
      </c>
      <c r="F89" s="68">
        <f>'4、人物躶体&amp;总属性表'!L90</f>
        <v>53750</v>
      </c>
      <c r="G89" s="68">
        <f>'4、人物躶体&amp;总属性表'!M90</f>
        <v>53750</v>
      </c>
      <c r="H89" s="68">
        <f>'4、人物躶体&amp;总属性表'!N90</f>
        <v>53750</v>
      </c>
      <c r="I89" s="68">
        <f>'4、人物躶体&amp;总属性表'!O90*各种公式!$J$4</f>
        <v>53750</v>
      </c>
      <c r="J89" s="68">
        <f>'4、人物躶体&amp;总属性表'!P90</f>
        <v>53750</v>
      </c>
      <c r="K89" s="68">
        <f>'4、人物躶体&amp;总属性表'!Q90/各种公式!$M$6*各种公式!$J$6</f>
        <v>21500</v>
      </c>
      <c r="L89" s="68">
        <f>'4、人物躶体&amp;总属性表'!R90/各种公式!$M$6*各种公式!$J$6</f>
        <v>21500</v>
      </c>
      <c r="M89" s="68">
        <f>'4、人物躶体&amp;总属性表'!S90/各种公式!$M$8*各种公式!$J$8</f>
        <v>10750</v>
      </c>
      <c r="N89" s="68">
        <f>'4、人物躶体&amp;总属性表'!T90/各种公式!$M$9*各种公式!$J$9</f>
        <v>21500</v>
      </c>
      <c r="O89" s="68">
        <f>'4、人物躶体&amp;总属性表'!U90/各种公式!$M$10*各种公式!$J$10</f>
        <v>21500</v>
      </c>
      <c r="P89" s="1">
        <f t="shared" si="11"/>
        <v>96.533446550968264</v>
      </c>
      <c r="Q89" s="1">
        <f t="shared" si="15"/>
        <v>17.454545454545453</v>
      </c>
      <c r="R89" s="1">
        <f t="shared" si="16"/>
        <v>17.454545454545457</v>
      </c>
      <c r="S89" s="1">
        <f t="shared" si="17"/>
        <v>5.5305620419825559</v>
      </c>
      <c r="T89" s="31">
        <f t="shared" si="12"/>
        <v>0.7270451403620023</v>
      </c>
      <c r="U89" s="31">
        <f t="shared" si="13"/>
        <v>0.77419354838709742</v>
      </c>
      <c r="V89" s="31">
        <f t="shared" si="14"/>
        <v>0.77419354838709742</v>
      </c>
      <c r="W89">
        <f>SUMPRODUCT(C89:O89,属性价值比,'5、系统属性规划'!$C$33:$O$33)</f>
        <v>79381.035064897136</v>
      </c>
    </row>
    <row r="90" spans="1:23" x14ac:dyDescent="0.15">
      <c r="A90">
        <f t="shared" si="10"/>
        <v>351138.3335532932</v>
      </c>
      <c r="B90" s="1">
        <f>'4、人物躶体&amp;总属性表'!H91</f>
        <v>87</v>
      </c>
      <c r="C90" s="68">
        <f>'4、人物躶体&amp;总属性表'!I91</f>
        <v>2518961.3388323309</v>
      </c>
      <c r="D90" s="68">
        <f>'4、人物躶体&amp;总属性表'!J91</f>
        <v>108591.83999999998</v>
      </c>
      <c r="E90" s="68">
        <f>'4、人物躶体&amp;总属性表'!K91</f>
        <v>48263.039999999986</v>
      </c>
      <c r="F90" s="68">
        <f>'4、人物躶体&amp;总属性表'!L91</f>
        <v>54375</v>
      </c>
      <c r="G90" s="68">
        <f>'4、人物躶体&amp;总属性表'!M91</f>
        <v>54375</v>
      </c>
      <c r="H90" s="68">
        <f>'4、人物躶体&amp;总属性表'!N91</f>
        <v>54375</v>
      </c>
      <c r="I90" s="68">
        <f>'4、人物躶体&amp;总属性表'!O91*各种公式!$J$4</f>
        <v>54374.999999999993</v>
      </c>
      <c r="J90" s="68">
        <f>'4、人物躶体&amp;总属性表'!P91</f>
        <v>54375</v>
      </c>
      <c r="K90" s="68">
        <f>'4、人物躶体&amp;总属性表'!Q91/各种公式!$M$6*各种公式!$J$6</f>
        <v>21750</v>
      </c>
      <c r="L90" s="68">
        <f>'4、人物躶体&amp;总属性表'!R91/各种公式!$M$6*各种公式!$J$6</f>
        <v>21750</v>
      </c>
      <c r="M90" s="68">
        <f>'4、人物躶体&amp;总属性表'!S91/各种公式!$M$8*各种公式!$J$8</f>
        <v>10875</v>
      </c>
      <c r="N90" s="68">
        <f>'4、人物躶体&amp;总属性表'!T91/各种公式!$M$9*各种公式!$J$9</f>
        <v>21750</v>
      </c>
      <c r="O90" s="68">
        <f>'4、人物躶体&amp;总属性表'!U91/各种公式!$M$10*各种公式!$J$10</f>
        <v>21750</v>
      </c>
      <c r="P90" s="1">
        <f t="shared" si="11"/>
        <v>99.071742217184934</v>
      </c>
      <c r="Q90" s="1">
        <f t="shared" si="15"/>
        <v>17.818181818181813</v>
      </c>
      <c r="R90" s="1">
        <f t="shared" si="16"/>
        <v>17.818181818181813</v>
      </c>
      <c r="S90" s="1">
        <f t="shared" si="17"/>
        <v>5.5601487979032376</v>
      </c>
      <c r="T90" s="31">
        <f t="shared" si="12"/>
        <v>0.74616240587836802</v>
      </c>
      <c r="U90" s="31">
        <f t="shared" si="13"/>
        <v>0.79032258064516181</v>
      </c>
      <c r="V90" s="31">
        <f t="shared" si="14"/>
        <v>0.79032258064516159</v>
      </c>
      <c r="W90">
        <f>SUMPRODUCT(C90:O90,属性价值比,'5、系统属性规划'!$C$33:$O$33)</f>
        <v>80990.67506186392</v>
      </c>
    </row>
    <row r="91" spans="1:23" x14ac:dyDescent="0.15">
      <c r="A91">
        <f t="shared" si="10"/>
        <v>358006.35797914665</v>
      </c>
      <c r="B91" s="1">
        <f>'4、人物躶体&amp;总属性表'!H92</f>
        <v>88</v>
      </c>
      <c r="C91" s="68">
        <f>'4、人物躶体&amp;总属性表'!I92</f>
        <v>2583758.9494786672</v>
      </c>
      <c r="D91" s="68">
        <f>'4、人物躶体&amp;总属性表'!J92</f>
        <v>110807.99999999997</v>
      </c>
      <c r="E91" s="68">
        <f>'4、人物躶体&amp;总属性表'!K92</f>
        <v>49247.999999999985</v>
      </c>
      <c r="F91" s="68">
        <f>'4、人物躶体&amp;总属性表'!L92</f>
        <v>55000</v>
      </c>
      <c r="G91" s="68">
        <f>'4、人物躶体&amp;总属性表'!M92</f>
        <v>55000</v>
      </c>
      <c r="H91" s="68">
        <f>'4、人物躶体&amp;总属性表'!N92</f>
        <v>55000</v>
      </c>
      <c r="I91" s="68">
        <f>'4、人物躶体&amp;总属性表'!O92*各种公式!$J$4</f>
        <v>55000.000000000007</v>
      </c>
      <c r="J91" s="68">
        <f>'4、人物躶体&amp;总属性表'!P92</f>
        <v>55000</v>
      </c>
      <c r="K91" s="68">
        <f>'4、人物躶体&amp;总属性表'!Q92/各种公式!$M$6*各种公式!$J$6</f>
        <v>22000</v>
      </c>
      <c r="L91" s="68">
        <f>'4、人物躶体&amp;总属性表'!R92/各种公式!$M$6*各种公式!$J$6</f>
        <v>22000</v>
      </c>
      <c r="M91" s="68">
        <f>'4、人物躶体&amp;总属性表'!S92/各种公式!$M$8*各种公式!$J$8</f>
        <v>11000</v>
      </c>
      <c r="N91" s="68">
        <f>'4、人物躶体&amp;总属性表'!T92/各种公式!$M$9*各种公式!$J$9</f>
        <v>22000</v>
      </c>
      <c r="O91" s="68">
        <f>'4、人物躶体&amp;总属性表'!U92/各种公式!$M$10*各种公式!$J$10</f>
        <v>22000</v>
      </c>
      <c r="P91" s="1">
        <f t="shared" si="11"/>
        <v>101.62025778162753</v>
      </c>
      <c r="Q91" s="1">
        <f t="shared" si="15"/>
        <v>18.181818181818176</v>
      </c>
      <c r="R91" s="1">
        <f t="shared" si="16"/>
        <v>18.181818181818176</v>
      </c>
      <c r="S91" s="1">
        <f t="shared" si="17"/>
        <v>5.5891141779895159</v>
      </c>
      <c r="T91" s="31">
        <f t="shared" si="12"/>
        <v>0.76535664292745775</v>
      </c>
      <c r="U91" s="31">
        <f t="shared" si="13"/>
        <v>0.80645161290322631</v>
      </c>
      <c r="V91" s="31">
        <f t="shared" si="14"/>
        <v>0.8064516129032262</v>
      </c>
      <c r="W91">
        <f>SUMPRODUCT(C91:O91,属性价值比,'5、系统属性规划'!$C$33:$O$33)</f>
        <v>82602.672841862717</v>
      </c>
    </row>
    <row r="92" spans="1:23" x14ac:dyDescent="0.15">
      <c r="A92">
        <f t="shared" si="10"/>
        <v>364884.12715536571</v>
      </c>
      <c r="B92" s="1">
        <f>'4、人物躶体&amp;总属性表'!H93</f>
        <v>89</v>
      </c>
      <c r="C92" s="68">
        <f>'4、人物躶体&amp;总属性表'!I93</f>
        <v>2648800.1788841435</v>
      </c>
      <c r="D92" s="68">
        <f>'4、人物躶体&amp;总属性表'!J93</f>
        <v>113024.15999999999</v>
      </c>
      <c r="E92" s="68">
        <f>'4、人物躶体&amp;总属性表'!K93</f>
        <v>50232.959999999985</v>
      </c>
      <c r="F92" s="68">
        <f>'4、人物躶体&amp;总属性表'!L93</f>
        <v>55625</v>
      </c>
      <c r="G92" s="68">
        <f>'4、人物躶体&amp;总属性表'!M93</f>
        <v>55625</v>
      </c>
      <c r="H92" s="68">
        <f>'4、人物躶体&amp;总属性表'!N93</f>
        <v>55625</v>
      </c>
      <c r="I92" s="68">
        <f>'4、人物躶体&amp;总属性表'!O93*各种公式!$J$4</f>
        <v>55625</v>
      </c>
      <c r="J92" s="68">
        <f>'4、人物躶体&amp;总属性表'!P93</f>
        <v>55625</v>
      </c>
      <c r="K92" s="68">
        <f>'4、人物躶体&amp;总属性表'!Q93/各种公式!$M$6*各种公式!$J$6</f>
        <v>22250</v>
      </c>
      <c r="L92" s="68">
        <f>'4、人物躶体&amp;总属性表'!R93/各种公式!$M$6*各种公式!$J$6</f>
        <v>22250</v>
      </c>
      <c r="M92" s="68">
        <f>'4、人物躶体&amp;总属性表'!S93/各种公式!$M$8*各种公式!$J$8</f>
        <v>11125</v>
      </c>
      <c r="N92" s="68">
        <f>'4、人物躶体&amp;总属性表'!T93/各种公式!$M$9*各种公式!$J$9</f>
        <v>22250</v>
      </c>
      <c r="O92" s="68">
        <f>'4、人物躶体&amp;总属性表'!U93/各种公式!$M$10*各种公式!$J$10</f>
        <v>22250</v>
      </c>
      <c r="P92" s="1">
        <f t="shared" si="11"/>
        <v>104.17835496788095</v>
      </c>
      <c r="Q92" s="1">
        <f t="shared" si="15"/>
        <v>18.545454545454543</v>
      </c>
      <c r="R92" s="1">
        <f t="shared" si="16"/>
        <v>18.54545454545454</v>
      </c>
      <c r="S92" s="1">
        <f t="shared" si="17"/>
        <v>5.617460316895543</v>
      </c>
      <c r="T92" s="31">
        <f t="shared" si="12"/>
        <v>0.78462304430739072</v>
      </c>
      <c r="U92" s="31">
        <f t="shared" si="13"/>
        <v>0.82258064516129092</v>
      </c>
      <c r="V92" s="31">
        <f t="shared" si="14"/>
        <v>0.8225806451612907</v>
      </c>
      <c r="W92">
        <f>SUMPRODUCT(C92:O92,属性价值比,'5、系统属性规划'!$C$33:$O$33)</f>
        <v>84216.881151245034</v>
      </c>
    </row>
    <row r="93" spans="1:23" x14ac:dyDescent="0.15">
      <c r="A93">
        <f t="shared" si="10"/>
        <v>371770.99907309993</v>
      </c>
      <c r="B93" s="1">
        <f>'4、人物躶体&amp;总属性表'!H94</f>
        <v>90</v>
      </c>
      <c r="C93" s="68">
        <f>'4、人物躶体&amp;总属性表'!I94</f>
        <v>2714068.9768274995</v>
      </c>
      <c r="D93" s="68">
        <f>'4、人物躶体&amp;总属性表'!J94</f>
        <v>115240.31999999995</v>
      </c>
      <c r="E93" s="68">
        <f>'4、人物躶体&amp;总属性表'!K94</f>
        <v>51217.919999999976</v>
      </c>
      <c r="F93" s="68">
        <f>'4、人物躶体&amp;总属性表'!L94</f>
        <v>56250</v>
      </c>
      <c r="G93" s="68">
        <f>'4、人物躶体&amp;总属性表'!M94</f>
        <v>56250</v>
      </c>
      <c r="H93" s="68">
        <f>'4、人物躶体&amp;总属性表'!N94</f>
        <v>56250</v>
      </c>
      <c r="I93" s="68">
        <f>'4、人物躶体&amp;总属性表'!O94*各种公式!$J$4</f>
        <v>56250</v>
      </c>
      <c r="J93" s="68">
        <f>'4、人物躶体&amp;总属性表'!P94</f>
        <v>56250</v>
      </c>
      <c r="K93" s="68">
        <f>'4、人物躶体&amp;总属性表'!Q94/各种公式!$M$6*各种公式!$J$6</f>
        <v>22500</v>
      </c>
      <c r="L93" s="68">
        <f>'4、人物躶体&amp;总属性表'!R94/各种公式!$M$6*各种公式!$J$6</f>
        <v>22500</v>
      </c>
      <c r="M93" s="68">
        <f>'4、人物躶体&amp;总属性表'!S94/各种公式!$M$8*各种公式!$J$8</f>
        <v>11250</v>
      </c>
      <c r="N93" s="68">
        <f>'4、人物躶体&amp;总属性表'!T94/各种公式!$M$9*各种公式!$J$9</f>
        <v>22500</v>
      </c>
      <c r="O93" s="68">
        <f>'4、人物躶体&amp;总属性表'!U94/各种公式!$M$10*各种公式!$J$10</f>
        <v>22500</v>
      </c>
      <c r="P93" s="1">
        <f t="shared" si="11"/>
        <v>106.74540251441739</v>
      </c>
      <c r="Q93" s="1">
        <f t="shared" si="15"/>
        <v>18.909090909090899</v>
      </c>
      <c r="R93" s="1">
        <f t="shared" si="16"/>
        <v>18.909090909090903</v>
      </c>
      <c r="S93" s="1">
        <f t="shared" si="17"/>
        <v>5.645189556050922</v>
      </c>
      <c r="T93" s="31">
        <f t="shared" si="12"/>
        <v>0.80395685564916342</v>
      </c>
      <c r="U93" s="31">
        <f t="shared" si="13"/>
        <v>0.8387096774193552</v>
      </c>
      <c r="V93" s="31">
        <f t="shared" si="14"/>
        <v>0.8387096774193552</v>
      </c>
      <c r="W93">
        <f>SUMPRODUCT(C93:O93,属性价值比,'5、系统属性规划'!$C$33:$O$33)</f>
        <v>85833.154354732862</v>
      </c>
    </row>
    <row r="94" spans="1:23" x14ac:dyDescent="0.15">
      <c r="A94">
        <f t="shared" si="10"/>
        <v>378666.33924017171</v>
      </c>
      <c r="B94" s="1">
        <f>'4、人物躶体&amp;总属性表'!H95</f>
        <v>91</v>
      </c>
      <c r="C94" s="68">
        <f>'4、人物躶体&amp;总属性表'!I95</f>
        <v>2779549.4810042954</v>
      </c>
      <c r="D94" s="68">
        <f>'4、人物躶体&amp;总属性表'!J95</f>
        <v>117456.47999999994</v>
      </c>
      <c r="E94" s="68">
        <f>'4、人物躶体&amp;总属性表'!K95</f>
        <v>52202.879999999976</v>
      </c>
      <c r="F94" s="68">
        <f>'4、人物躶体&amp;总属性表'!L95</f>
        <v>56875</v>
      </c>
      <c r="G94" s="68">
        <f>'4、人物躶体&amp;总属性表'!M95</f>
        <v>56875</v>
      </c>
      <c r="H94" s="68">
        <f>'4、人物躶体&amp;总属性表'!N95</f>
        <v>56875</v>
      </c>
      <c r="I94" s="68">
        <f>'4、人物躶体&amp;总属性表'!O95*各种公式!$J$4</f>
        <v>56875</v>
      </c>
      <c r="J94" s="68">
        <f>'4、人物躶体&amp;总属性表'!P95</f>
        <v>56875</v>
      </c>
      <c r="K94" s="68">
        <f>'4、人物躶体&amp;总属性表'!Q95/各种公式!$M$6*各种公式!$J$6</f>
        <v>22750</v>
      </c>
      <c r="L94" s="68">
        <f>'4、人物躶体&amp;总属性表'!R95/各种公式!$M$6*各种公式!$J$6</f>
        <v>22750</v>
      </c>
      <c r="M94" s="68">
        <f>'4、人物躶体&amp;总属性表'!S95/各种公式!$M$8*各种公式!$J$8</f>
        <v>11375</v>
      </c>
      <c r="N94" s="68">
        <f>'4、人物躶体&amp;总属性表'!T95/各种公式!$M$9*各种公式!$J$9</f>
        <v>22750</v>
      </c>
      <c r="O94" s="68">
        <f>'4、人物躶体&amp;总属性表'!U95/各种公式!$M$10*各种公式!$J$10</f>
        <v>22750</v>
      </c>
      <c r="P94" s="1">
        <f t="shared" si="11"/>
        <v>109.32077655055167</v>
      </c>
      <c r="Q94" s="1">
        <f t="shared" si="15"/>
        <v>19.272727272727259</v>
      </c>
      <c r="R94" s="1">
        <f t="shared" si="16"/>
        <v>19.272727272727266</v>
      </c>
      <c r="S94" s="1">
        <f t="shared" si="17"/>
        <v>5.6723044436607015</v>
      </c>
      <c r="T94" s="31">
        <f t="shared" si="12"/>
        <v>0.82335337824817056</v>
      </c>
      <c r="U94" s="31">
        <f t="shared" si="13"/>
        <v>0.85483870967741948</v>
      </c>
      <c r="V94" s="31">
        <f t="shared" si="14"/>
        <v>0.85483870967741971</v>
      </c>
      <c r="W94">
        <f>SUMPRODUCT(C94:O94,属性价值比,'5、系统属性规划'!$C$33:$O$33)</f>
        <v>87451.34852215361</v>
      </c>
    </row>
    <row r="95" spans="1:23" x14ac:dyDescent="0.15">
      <c r="A95">
        <f t="shared" si="10"/>
        <v>385569.52106343256</v>
      </c>
      <c r="B95" s="1">
        <f>'4、人物躶体&amp;总属性表'!H96</f>
        <v>92</v>
      </c>
      <c r="C95" s="68">
        <f>'4、人物躶体&amp;总属性表'!I96</f>
        <v>2845226.0265858159</v>
      </c>
      <c r="D95" s="68">
        <f>'4、人物躶体&amp;总属性表'!J96</f>
        <v>119672.63999999993</v>
      </c>
      <c r="E95" s="68">
        <f>'4、人物躶体&amp;总属性表'!K96</f>
        <v>53187.839999999982</v>
      </c>
      <c r="F95" s="68">
        <f>'4、人物躶体&amp;总属性表'!L96</f>
        <v>57500</v>
      </c>
      <c r="G95" s="68">
        <f>'4、人物躶体&amp;总属性表'!M96</f>
        <v>57500</v>
      </c>
      <c r="H95" s="68">
        <f>'4、人物躶体&amp;总属性表'!N96</f>
        <v>57500</v>
      </c>
      <c r="I95" s="68">
        <f>'4、人物躶体&amp;总属性表'!O96*各种公式!$J$4</f>
        <v>57499.999999999993</v>
      </c>
      <c r="J95" s="68">
        <f>'4、人物躶体&amp;总属性表'!P96</f>
        <v>57500</v>
      </c>
      <c r="K95" s="68">
        <f>'4、人物躶体&amp;总属性表'!Q96/各种公式!$M$6*各种公式!$J$6</f>
        <v>23000</v>
      </c>
      <c r="L95" s="68">
        <f>'4、人物躶体&amp;总属性表'!R96/各种公式!$M$6*各种公式!$J$6</f>
        <v>23000</v>
      </c>
      <c r="M95" s="68">
        <f>'4、人物躶体&amp;总属性表'!S96/各种公式!$M$8*各种公式!$J$8</f>
        <v>11500</v>
      </c>
      <c r="N95" s="68">
        <f>'4、人物躶体&amp;总属性表'!T96/各种公式!$M$9*各种公式!$J$9</f>
        <v>23000</v>
      </c>
      <c r="O95" s="68">
        <f>'4、人物躶体&amp;总属性表'!U96/各种公式!$M$10*各种公式!$J$10</f>
        <v>23000</v>
      </c>
      <c r="P95" s="1">
        <f t="shared" si="11"/>
        <v>111.90386097239666</v>
      </c>
      <c r="Q95" s="1">
        <f t="shared" si="15"/>
        <v>19.636363636363622</v>
      </c>
      <c r="R95" s="1">
        <f t="shared" si="16"/>
        <v>19.63636363636363</v>
      </c>
      <c r="S95" s="1">
        <f t="shared" si="17"/>
        <v>5.6988077347053876</v>
      </c>
      <c r="T95" s="31">
        <f t="shared" si="12"/>
        <v>0.84280797189572698</v>
      </c>
      <c r="U95" s="31">
        <f t="shared" si="13"/>
        <v>0.87096774193548399</v>
      </c>
      <c r="V95" s="31">
        <f t="shared" si="14"/>
        <v>0.87096774193548421</v>
      </c>
      <c r="W95">
        <f>SUMPRODUCT(C95:O95,属性价值比,'5、系统属性规划'!$C$33:$O$33)</f>
        <v>89071.321515174874</v>
      </c>
    </row>
    <row r="96" spans="1:23" x14ac:dyDescent="0.15">
      <c r="A96">
        <f t="shared" si="10"/>
        <v>392479.92623111844</v>
      </c>
      <c r="B96" s="1">
        <f>'4、人物躶体&amp;总属性表'!H97</f>
        <v>93</v>
      </c>
      <c r="C96" s="68">
        <f>'4、人物躶体&amp;总属性表'!I97</f>
        <v>2911083.1557779629</v>
      </c>
      <c r="D96" s="68">
        <f>'4、人物躶体&amp;总属性表'!J97</f>
        <v>121888.79999999994</v>
      </c>
      <c r="E96" s="68">
        <f>'4、人物躶体&amp;总属性表'!K97</f>
        <v>54172.799999999974</v>
      </c>
      <c r="F96" s="68">
        <f>'4、人物躶体&amp;总属性表'!L97</f>
        <v>58125</v>
      </c>
      <c r="G96" s="68">
        <f>'4、人物躶体&amp;总属性表'!M97</f>
        <v>58125</v>
      </c>
      <c r="H96" s="68">
        <f>'4、人物躶体&amp;总属性表'!N97</f>
        <v>58125</v>
      </c>
      <c r="I96" s="68">
        <f>'4、人物躶体&amp;总属性表'!O97*各种公式!$J$4</f>
        <v>58125.000000000007</v>
      </c>
      <c r="J96" s="68">
        <f>'4、人物躶体&amp;总属性表'!P97</f>
        <v>58125</v>
      </c>
      <c r="K96" s="68">
        <f>'4、人物躶体&amp;总属性表'!Q97/各种公式!$M$6*各种公式!$J$6</f>
        <v>23250</v>
      </c>
      <c r="L96" s="68">
        <f>'4、人物躶体&amp;总属性表'!R97/各种公式!$M$6*各种公式!$J$6</f>
        <v>23250</v>
      </c>
      <c r="M96" s="68">
        <f>'4、人物躶体&amp;总属性表'!S97/各种公式!$M$8*各种公式!$J$8</f>
        <v>11625</v>
      </c>
      <c r="N96" s="68">
        <f>'4、人物躶体&amp;总属性表'!T97/各种公式!$M$9*各种公式!$J$9</f>
        <v>23250</v>
      </c>
      <c r="O96" s="68">
        <f>'4、人物躶体&amp;总属性表'!U97/各种公式!$M$10*各种公式!$J$10</f>
        <v>23250</v>
      </c>
      <c r="P96" s="1">
        <f t="shared" si="11"/>
        <v>114.49404781881833</v>
      </c>
      <c r="Q96" s="1">
        <f t="shared" si="15"/>
        <v>19.999999999999989</v>
      </c>
      <c r="R96" s="1">
        <f t="shared" si="16"/>
        <v>19.999999999999993</v>
      </c>
      <c r="S96" s="1">
        <f t="shared" si="17"/>
        <v>5.7247023909409185</v>
      </c>
      <c r="T96" s="31">
        <f t="shared" si="12"/>
        <v>0.86231605771058661</v>
      </c>
      <c r="U96" s="31">
        <f t="shared" si="13"/>
        <v>0.88709677419354871</v>
      </c>
      <c r="V96" s="31">
        <f t="shared" si="14"/>
        <v>0.88709677419354871</v>
      </c>
      <c r="W96">
        <f>SUMPRODUCT(C96:O96,属性价值比,'5、系统属性规划'!$C$33:$O$33)</f>
        <v>90692.933074039276</v>
      </c>
    </row>
    <row r="97" spans="1:23" x14ac:dyDescent="0.15">
      <c r="A97">
        <f t="shared" si="10"/>
        <v>399396.94509520667</v>
      </c>
      <c r="B97" s="1">
        <f>'4、人物躶体&amp;总属性表'!H98</f>
        <v>94</v>
      </c>
      <c r="C97" s="68">
        <f>'4、人物躶体&amp;总属性表'!I98</f>
        <v>2977105.627380169</v>
      </c>
      <c r="D97" s="68">
        <f>'4、人物躶体&amp;总属性表'!J98</f>
        <v>124104.95999999993</v>
      </c>
      <c r="E97" s="68">
        <f>'4、人物躶体&amp;总属性表'!K98</f>
        <v>55157.759999999973</v>
      </c>
      <c r="F97" s="68">
        <f>'4、人物躶体&amp;总属性表'!L98</f>
        <v>58750</v>
      </c>
      <c r="G97" s="68">
        <f>'4、人物躶体&amp;总属性表'!M98</f>
        <v>58750</v>
      </c>
      <c r="H97" s="68">
        <f>'4、人物躶体&amp;总属性表'!N98</f>
        <v>58750</v>
      </c>
      <c r="I97" s="68">
        <f>'4、人物躶体&amp;总属性表'!O98*各种公式!$J$4</f>
        <v>58750</v>
      </c>
      <c r="J97" s="68">
        <f>'4、人物躶体&amp;总属性表'!P98</f>
        <v>58750</v>
      </c>
      <c r="K97" s="68">
        <f>'4、人物躶体&amp;总属性表'!Q98/各种公式!$M$6*各种公式!$J$6</f>
        <v>23500</v>
      </c>
      <c r="L97" s="68">
        <f>'4、人物躶体&amp;总属性表'!R98/各种公式!$M$6*各种公式!$J$6</f>
        <v>23500</v>
      </c>
      <c r="M97" s="68">
        <f>'4、人物躶体&amp;总属性表'!S98/各种公式!$M$8*各种公式!$J$8</f>
        <v>11750</v>
      </c>
      <c r="N97" s="68">
        <f>'4、人物躶体&amp;总属性表'!T98/各种公式!$M$9*各种公式!$J$9</f>
        <v>23500</v>
      </c>
      <c r="O97" s="68">
        <f>'4、人物躶体&amp;总属性表'!U98/各种公式!$M$10*各种公式!$J$10</f>
        <v>23500</v>
      </c>
      <c r="P97" s="1">
        <f t="shared" si="11"/>
        <v>117.09073764739158</v>
      </c>
      <c r="Q97" s="1">
        <f t="shared" si="15"/>
        <v>20.363636363636353</v>
      </c>
      <c r="R97" s="1">
        <f t="shared" si="16"/>
        <v>20.363636363636356</v>
      </c>
      <c r="S97" s="1">
        <f t="shared" si="17"/>
        <v>5.7499915808986959</v>
      </c>
      <c r="T97" s="31">
        <f t="shared" si="12"/>
        <v>0.88187312097046755</v>
      </c>
      <c r="U97" s="31">
        <f t="shared" si="13"/>
        <v>0.90322580645161321</v>
      </c>
      <c r="V97" s="31">
        <f t="shared" si="14"/>
        <v>0.90322580645161321</v>
      </c>
      <c r="W97">
        <f>SUMPRODUCT(C97:O97,属性价值比,'5、系统属性规划'!$C$33:$O$33)</f>
        <v>92316.04490429927</v>
      </c>
    </row>
    <row r="98" spans="1:23" x14ac:dyDescent="0.15">
      <c r="A98">
        <f t="shared" si="10"/>
        <v>406319.97705377155</v>
      </c>
      <c r="B98" s="1">
        <f>'4、人物躶体&amp;总属性表'!H99</f>
        <v>95</v>
      </c>
      <c r="C98" s="68">
        <f>'4、人物躶体&amp;总属性表'!I99</f>
        <v>3043278.4263442908</v>
      </c>
      <c r="D98" s="68">
        <f>'4、人物躶体&amp;总属性表'!J99</f>
        <v>126321.11999999992</v>
      </c>
      <c r="E98" s="68">
        <f>'4、人物躶体&amp;总属性表'!K99</f>
        <v>56142.719999999965</v>
      </c>
      <c r="F98" s="68">
        <f>'4、人物躶体&amp;总属性表'!L99</f>
        <v>59375</v>
      </c>
      <c r="G98" s="68">
        <f>'4、人物躶体&amp;总属性表'!M99</f>
        <v>59375</v>
      </c>
      <c r="H98" s="68">
        <f>'4、人物躶体&amp;总属性表'!N99</f>
        <v>59375</v>
      </c>
      <c r="I98" s="68">
        <f>'4、人物躶体&amp;总属性表'!O99*各种公式!$J$4</f>
        <v>59375</v>
      </c>
      <c r="J98" s="68">
        <f>'4、人物躶体&amp;总属性表'!P99</f>
        <v>59375</v>
      </c>
      <c r="K98" s="68">
        <f>'4、人物躶体&amp;总属性表'!Q99/各种公式!$M$6*各种公式!$J$6</f>
        <v>23750</v>
      </c>
      <c r="L98" s="68">
        <f>'4、人物躶体&amp;总属性表'!R99/各种公式!$M$6*各种公式!$J$6</f>
        <v>23750</v>
      </c>
      <c r="M98" s="68">
        <f>'4、人物躶体&amp;总属性表'!S99/各种公式!$M$8*各种公式!$J$8</f>
        <v>11875</v>
      </c>
      <c r="N98" s="68">
        <f>'4、人物躶体&amp;总属性表'!T99/各种公式!$M$9*各种公式!$J$9</f>
        <v>23750</v>
      </c>
      <c r="O98" s="68">
        <f>'4、人物躶体&amp;总属性表'!U99/各种公式!$M$10*各种公式!$J$10</f>
        <v>23750</v>
      </c>
      <c r="P98" s="1">
        <f t="shared" si="11"/>
        <v>119.69333991035528</v>
      </c>
      <c r="Q98" s="1">
        <f t="shared" si="15"/>
        <v>20.727272727272712</v>
      </c>
      <c r="R98" s="1">
        <f t="shared" si="16"/>
        <v>20.727272727272716</v>
      </c>
      <c r="S98" s="1">
        <f t="shared" si="17"/>
        <v>5.7746786798855645</v>
      </c>
      <c r="T98" s="31">
        <f t="shared" si="12"/>
        <v>0.90147471394357093</v>
      </c>
      <c r="U98" s="31">
        <f t="shared" si="13"/>
        <v>0.9193548387096776</v>
      </c>
      <c r="V98" s="31">
        <f t="shared" si="14"/>
        <v>0.9193548387096776</v>
      </c>
      <c r="W98">
        <f>SUMPRODUCT(C98:O98,属性价值比,'5、系统属性规划'!$C$33:$O$33)</f>
        <v>93940.520763552093</v>
      </c>
    </row>
    <row r="99" spans="1:23" x14ac:dyDescent="0.15">
      <c r="A99">
        <f t="shared" si="10"/>
        <v>413248.43093334022</v>
      </c>
      <c r="B99" s="1">
        <f>'4、人物躶体&amp;总属性表'!H100</f>
        <v>96</v>
      </c>
      <c r="C99" s="68">
        <f>'4、人物躶体&amp;总属性表'!I100</f>
        <v>3109586.773333509</v>
      </c>
      <c r="D99" s="68">
        <f>'4、人物躶体&amp;总属性表'!J100</f>
        <v>128537.27999999991</v>
      </c>
      <c r="E99" s="68">
        <f>'4、人物躶体&amp;总属性表'!K100</f>
        <v>57127.679999999957</v>
      </c>
      <c r="F99" s="68">
        <f>'4、人物躶体&amp;总属性表'!L100</f>
        <v>60000</v>
      </c>
      <c r="G99" s="68">
        <f>'4、人物躶体&amp;总属性表'!M100</f>
        <v>60000</v>
      </c>
      <c r="H99" s="68">
        <f>'4、人物躶体&amp;总属性表'!N100</f>
        <v>60000</v>
      </c>
      <c r="I99" s="68">
        <f>'4、人物躶体&amp;总属性表'!O100*各种公式!$J$4</f>
        <v>60000</v>
      </c>
      <c r="J99" s="68">
        <f>'4、人物躶体&amp;总属性表'!P100</f>
        <v>60000</v>
      </c>
      <c r="K99" s="68">
        <f>'4、人物躶体&amp;总属性表'!Q100/各种公式!$M$6*各种公式!$J$6</f>
        <v>24000</v>
      </c>
      <c r="L99" s="68">
        <f>'4、人物躶体&amp;总属性表'!R100/各种公式!$M$6*各种公式!$J$6</f>
        <v>24000</v>
      </c>
      <c r="M99" s="68">
        <f>'4、人物躶体&amp;总属性表'!S100/各种公式!$M$8*各种公式!$J$8</f>
        <v>12000</v>
      </c>
      <c r="N99" s="68">
        <f>'4、人物躶体&amp;总属性表'!T100/各种公式!$M$9*各种公式!$J$9</f>
        <v>24000</v>
      </c>
      <c r="O99" s="68">
        <f>'4、人物躶体&amp;总属性表'!U100/各种公式!$M$10*各种公式!$J$10</f>
        <v>24000</v>
      </c>
      <c r="P99" s="1">
        <f t="shared" si="11"/>
        <v>122.30127333056754</v>
      </c>
      <c r="Q99" s="1">
        <f t="shared" si="15"/>
        <v>21.090909090909076</v>
      </c>
      <c r="R99" s="1">
        <f t="shared" si="16"/>
        <v>21.090909090909076</v>
      </c>
      <c r="S99" s="1">
        <f t="shared" si="17"/>
        <v>5.7987672699838102</v>
      </c>
      <c r="T99" s="31">
        <f t="shared" si="12"/>
        <v>0.92111645872010151</v>
      </c>
      <c r="U99" s="31">
        <f t="shared" si="13"/>
        <v>0.9354838709677421</v>
      </c>
      <c r="V99" s="31">
        <f t="shared" si="14"/>
        <v>0.93548387096774199</v>
      </c>
      <c r="W99">
        <f>SUMPRODUCT(C99:O99,属性价值比,'5、系统属性规划'!$C$33:$O$33)</f>
        <v>95566.226548174396</v>
      </c>
    </row>
    <row r="100" spans="1:23" x14ac:dyDescent="0.15">
      <c r="A100">
        <f t="shared" si="10"/>
        <v>420181.72537124954</v>
      </c>
      <c r="B100" s="1">
        <f>'4、人物躶体&amp;总属性表'!H101</f>
        <v>97</v>
      </c>
      <c r="C100" s="68">
        <f>'4、人物躶体&amp;总属性表'!I101</f>
        <v>3176016.1342812413</v>
      </c>
      <c r="D100" s="68">
        <f>'4、人物躶体&amp;总属性表'!J101</f>
        <v>130753.43999999992</v>
      </c>
      <c r="E100" s="68">
        <f>'4、人物躶体&amp;总属性表'!K101</f>
        <v>58112.639999999963</v>
      </c>
      <c r="F100" s="68">
        <f>'4、人物躶体&amp;总属性表'!L101</f>
        <v>60625</v>
      </c>
      <c r="G100" s="68">
        <f>'4、人物躶体&amp;总属性表'!M101</f>
        <v>60625</v>
      </c>
      <c r="H100" s="68">
        <f>'4、人物躶体&amp;总属性表'!N101</f>
        <v>60625</v>
      </c>
      <c r="I100" s="68">
        <f>'4、人物躶体&amp;总属性表'!O101*各种公式!$J$4</f>
        <v>60624.999999999993</v>
      </c>
      <c r="J100" s="68">
        <f>'4、人物躶体&amp;总属性表'!P101</f>
        <v>60625</v>
      </c>
      <c r="K100" s="68">
        <f>'4、人物躶体&amp;总属性表'!Q101/各种公式!$M$6*各种公式!$J$6</f>
        <v>24250</v>
      </c>
      <c r="L100" s="68">
        <f>'4、人物躶体&amp;总属性表'!R101/各种公式!$M$6*各种公式!$J$6</f>
        <v>24250</v>
      </c>
      <c r="M100" s="68">
        <f>'4、人物躶体&amp;总属性表'!S101/各种公式!$M$8*各种公式!$J$8</f>
        <v>12125</v>
      </c>
      <c r="N100" s="68">
        <f>'4、人物躶体&amp;总属性表'!T101/各种公式!$M$9*各种公式!$J$9</f>
        <v>24250</v>
      </c>
      <c r="O100" s="68">
        <f>'4、人物躶体&amp;总属性表'!U101/各种公式!$M$10*各种公式!$J$10</f>
        <v>24250</v>
      </c>
      <c r="P100" s="1">
        <f t="shared" si="11"/>
        <v>124.91396627746161</v>
      </c>
      <c r="Q100" s="1">
        <f t="shared" si="15"/>
        <v>21.454545454545439</v>
      </c>
      <c r="R100" s="1">
        <f t="shared" si="16"/>
        <v>21.454545454545443</v>
      </c>
      <c r="S100" s="1">
        <f t="shared" si="17"/>
        <v>5.8222611400511797</v>
      </c>
      <c r="T100" s="31">
        <f t="shared" si="12"/>
        <v>0.94079405004379346</v>
      </c>
      <c r="U100" s="31">
        <f t="shared" si="13"/>
        <v>0.95161290322580661</v>
      </c>
      <c r="V100" s="31">
        <f t="shared" si="14"/>
        <v>0.95161290322580661</v>
      </c>
      <c r="W100">
        <f>SUMPRODUCT(C100:O100,属性价值比,'5、系统属性规划'!$C$33:$O$33)</f>
        <v>97193.030380057331</v>
      </c>
    </row>
    <row r="101" spans="1:23" x14ac:dyDescent="0.15">
      <c r="A101">
        <f t="shared" si="10"/>
        <v>427119.28919800092</v>
      </c>
      <c r="B101" s="1">
        <f>'4、人物躶体&amp;总属性表'!H102</f>
        <v>98</v>
      </c>
      <c r="C101" s="68">
        <f>'4、人物躶体&amp;总属性表'!I102</f>
        <v>3242552.229950028</v>
      </c>
      <c r="D101" s="68">
        <f>'4、人物躶体&amp;总属性表'!J102</f>
        <v>132969.59999999989</v>
      </c>
      <c r="E101" s="68">
        <f>'4、人物躶体&amp;总属性表'!K102</f>
        <v>59097.599999999948</v>
      </c>
      <c r="F101" s="68">
        <f>'4、人物躶体&amp;总属性表'!L102</f>
        <v>61250</v>
      </c>
      <c r="G101" s="68">
        <f>'4、人物躶体&amp;总属性表'!M102</f>
        <v>61250</v>
      </c>
      <c r="H101" s="68">
        <f>'4、人物躶体&amp;总属性表'!N102</f>
        <v>61250</v>
      </c>
      <c r="I101" s="68">
        <f>'4、人物躶体&amp;总属性表'!O102*各种公式!$J$4</f>
        <v>61250.000000000007</v>
      </c>
      <c r="J101" s="68">
        <f>'4、人物躶体&amp;总属性表'!P102</f>
        <v>61250</v>
      </c>
      <c r="K101" s="68">
        <f>'4、人物躶体&amp;总属性表'!Q102/各种公式!$M$6*各种公式!$J$6</f>
        <v>24500</v>
      </c>
      <c r="L101" s="68">
        <f>'4、人物躶体&amp;总属性表'!R102/各种公式!$M$6*各种公式!$J$6</f>
        <v>24500</v>
      </c>
      <c r="M101" s="68">
        <f>'4、人物躶体&amp;总属性表'!S102/各种公式!$M$8*各种公式!$J$8</f>
        <v>12250</v>
      </c>
      <c r="N101" s="68">
        <f>'4、人物躶体&amp;总属性表'!T102/各种公式!$M$9*各种公式!$J$9</f>
        <v>24500</v>
      </c>
      <c r="O101" s="68">
        <f>'4、人物躶体&amp;总属性表'!U102/各种公式!$M$10*各种公式!$J$10</f>
        <v>24500</v>
      </c>
      <c r="P101" s="1">
        <f t="shared" si="11"/>
        <v>127.53085714300052</v>
      </c>
      <c r="Q101" s="1">
        <f t="shared" si="15"/>
        <v>21.818181818181799</v>
      </c>
      <c r="R101" s="1">
        <f t="shared" si="16"/>
        <v>21.818181818181799</v>
      </c>
      <c r="S101" s="1">
        <f t="shared" si="17"/>
        <v>5.8451642857208626</v>
      </c>
      <c r="T101" s="31">
        <f t="shared" si="12"/>
        <v>0.96050325814342585</v>
      </c>
      <c r="U101" s="31">
        <f t="shared" si="13"/>
        <v>0.967741935483871</v>
      </c>
      <c r="V101" s="31">
        <f t="shared" si="14"/>
        <v>0.96774193548387077</v>
      </c>
      <c r="W101">
        <f>SUMPRODUCT(C101:O101,属性价值比,'5、系统属性规划'!$C$33:$O$33)</f>
        <v>98820.802693341117</v>
      </c>
    </row>
    <row r="102" spans="1:23" x14ac:dyDescent="0.15">
      <c r="A102">
        <f t="shared" si="10"/>
        <v>434060.56181961752</v>
      </c>
      <c r="B102" s="1">
        <f>'4、人物躶体&amp;总属性表'!H103</f>
        <v>99</v>
      </c>
      <c r="C102" s="68">
        <f>'4、人物躶体&amp;总属性表'!I103</f>
        <v>3309181.0454904428</v>
      </c>
      <c r="D102" s="68">
        <f>'4、人物躶体&amp;总属性表'!J103</f>
        <v>135185.75999999989</v>
      </c>
      <c r="E102" s="68">
        <f>'4、人物躶体&amp;总属性表'!K103</f>
        <v>60082.559999999954</v>
      </c>
      <c r="F102" s="68">
        <f>'4、人物躶体&amp;总属性表'!L103</f>
        <v>61875</v>
      </c>
      <c r="G102" s="68">
        <f>'4、人物躶体&amp;总属性表'!M103</f>
        <v>61875</v>
      </c>
      <c r="H102" s="68">
        <f>'4、人物躶体&amp;总属性表'!N103</f>
        <v>61875</v>
      </c>
      <c r="I102" s="68">
        <f>'4、人物躶体&amp;总属性表'!O103*各种公式!$J$4</f>
        <v>61875</v>
      </c>
      <c r="J102" s="68">
        <f>'4、人物躶体&amp;总属性表'!P103</f>
        <v>61875</v>
      </c>
      <c r="K102" s="68">
        <f>'4、人物躶体&amp;总属性表'!Q103/各种公式!$M$6*各种公式!$J$6</f>
        <v>24750</v>
      </c>
      <c r="L102" s="68">
        <f>'4、人物躶体&amp;总属性表'!R103/各种公式!$M$6*各种公式!$J$6</f>
        <v>24750</v>
      </c>
      <c r="M102" s="68">
        <f>'4、人物躶体&amp;总属性表'!S103/各种公式!$M$8*各种公式!$J$8</f>
        <v>12375</v>
      </c>
      <c r="N102" s="68">
        <f>'4、人物躶体&amp;总属性表'!T103/各种公式!$M$9*各种公式!$J$9</f>
        <v>24750</v>
      </c>
      <c r="O102" s="68">
        <f>'4、人物躶体&amp;总属性表'!U103/各种公式!$M$10*各种公式!$J$10</f>
        <v>24750</v>
      </c>
      <c r="P102" s="1">
        <f t="shared" si="11"/>
        <v>130.15139471763288</v>
      </c>
      <c r="Q102" s="1">
        <f t="shared" si="15"/>
        <v>22.181818181818162</v>
      </c>
      <c r="R102" s="1">
        <f t="shared" si="16"/>
        <v>22.181818181818166</v>
      </c>
      <c r="S102" s="1">
        <f t="shared" si="17"/>
        <v>5.867480909401487</v>
      </c>
      <c r="T102" s="31">
        <f>P102/$P$103</f>
        <v>0.98023993156434786</v>
      </c>
      <c r="U102" s="31">
        <f>Q102/$Q$103</f>
        <v>0.9838709677419355</v>
      </c>
      <c r="V102" s="31">
        <f>R102/$R$103</f>
        <v>0.9838709677419355</v>
      </c>
      <c r="W102">
        <f>SUMPRODUCT(C102:O102,属性价值比,'5、系统属性规划'!$C$33:$O$33)</f>
        <v>100449.4163211501</v>
      </c>
    </row>
    <row r="103" spans="1:23" x14ac:dyDescent="0.15">
      <c r="A103">
        <f t="shared" si="10"/>
        <v>441004.99359999975</v>
      </c>
      <c r="B103" s="1">
        <f>'4、人物躶体&amp;总属性表'!H104</f>
        <v>100</v>
      </c>
      <c r="C103" s="68">
        <f>'4、人物躶体&amp;总属性表'!I104</f>
        <v>3375888.8399999975</v>
      </c>
      <c r="D103" s="68">
        <f>'4、人物躶体&amp;总属性表'!J104</f>
        <v>137401.9199999999</v>
      </c>
      <c r="E103" s="68">
        <f>'4、人物躶体&amp;总属性表'!K104</f>
        <v>61067.519999999953</v>
      </c>
      <c r="F103" s="68">
        <f>'4、人物躶体&amp;总属性表'!L104</f>
        <v>62500</v>
      </c>
      <c r="G103" s="68">
        <f>'4、人物躶体&amp;总属性表'!M104</f>
        <v>62500</v>
      </c>
      <c r="H103" s="68">
        <f>'4、人物躶体&amp;总属性表'!N104</f>
        <v>62500</v>
      </c>
      <c r="I103" s="68">
        <f>'4、人物躶体&amp;总属性表'!O104*各种公式!$J$4</f>
        <v>62500</v>
      </c>
      <c r="J103" s="68">
        <f>'4、人物躶体&amp;总属性表'!P104</f>
        <v>62500</v>
      </c>
      <c r="K103" s="68">
        <f>'4、人物躶体&amp;总属性表'!Q104/各种公式!$M$6*各种公式!$J$6</f>
        <v>25000</v>
      </c>
      <c r="L103" s="68">
        <f>'4、人物躶体&amp;总属性表'!R104/各种公式!$M$6*各种公式!$J$6</f>
        <v>25000</v>
      </c>
      <c r="M103" s="68">
        <f>'4、人物躶体&amp;总属性表'!S104/各种公式!$M$8*各种公式!$J$8</f>
        <v>12500</v>
      </c>
      <c r="N103" s="68">
        <f>'4、人物躶体&amp;总属性表'!T104/各种公式!$M$9*各种公式!$J$9</f>
        <v>25000</v>
      </c>
      <c r="O103" s="68">
        <f>'4、人物躶体&amp;总属性表'!U104/各种公式!$M$10*各种公式!$J$10</f>
        <v>25000</v>
      </c>
      <c r="P103" s="1">
        <f t="shared" si="11"/>
        <v>132.7750385662483</v>
      </c>
      <c r="Q103" s="1">
        <f t="shared" si="15"/>
        <v>22.545454545454525</v>
      </c>
      <c r="R103" s="1">
        <f t="shared" si="16"/>
        <v>22.545454545454529</v>
      </c>
      <c r="S103" s="1">
        <f t="shared" si="17"/>
        <v>5.8892154202771465</v>
      </c>
      <c r="T103" s="31">
        <f>P103/$P$103</f>
        <v>1</v>
      </c>
      <c r="U103" s="31">
        <f>Q103/$Q$103</f>
        <v>1</v>
      </c>
      <c r="V103" s="31">
        <f>R103/$R$103</f>
        <v>1</v>
      </c>
      <c r="W103">
        <f>SUMPRODUCT(C103:O103,属性价值比,'5、系统属性规划'!$C$33:$O$33)</f>
        <v>102078.74658232744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K66"/>
  <sheetViews>
    <sheetView topLeftCell="A16" workbookViewId="0">
      <pane xSplit="2" topLeftCell="C1" activePane="topRight" state="frozen"/>
      <selection activeCell="A13" sqref="A13"/>
      <selection pane="topRight" activeCell="H41" sqref="H41"/>
    </sheetView>
  </sheetViews>
  <sheetFormatPr defaultRowHeight="13.5" x14ac:dyDescent="0.15"/>
  <cols>
    <col min="1" max="1" width="9" customWidth="1"/>
    <col min="2" max="2" width="14.625" customWidth="1"/>
    <col min="3" max="4" width="15" bestFit="1" customWidth="1"/>
    <col min="5" max="5" width="14.625" customWidth="1"/>
    <col min="6" max="6" width="14.75" customWidth="1"/>
    <col min="7" max="7" width="12.125" customWidth="1"/>
    <col min="8" max="8" width="13.875" bestFit="1" customWidth="1"/>
    <col min="9" max="9" width="14" customWidth="1"/>
    <col min="10" max="10" width="11.625" bestFit="1" customWidth="1"/>
    <col min="11" max="12" width="16.125" bestFit="1" customWidth="1"/>
    <col min="13" max="13" width="15.875" customWidth="1"/>
    <col min="14" max="14" width="15.375" customWidth="1"/>
    <col min="15" max="15" width="12" customWidth="1"/>
    <col min="16" max="16" width="14.5" customWidth="1"/>
    <col min="17" max="17" width="14" customWidth="1"/>
    <col min="18" max="18" width="21.125" customWidth="1"/>
  </cols>
  <sheetData>
    <row r="1" spans="2:18" x14ac:dyDescent="0.15">
      <c r="B1" t="s">
        <v>195</v>
      </c>
      <c r="F1">
        <v>0.3</v>
      </c>
      <c r="G1">
        <v>0.3</v>
      </c>
      <c r="H1">
        <v>0.2</v>
      </c>
      <c r="I1" s="58">
        <f>0.2</f>
        <v>0.2</v>
      </c>
      <c r="J1">
        <v>0.2</v>
      </c>
    </row>
    <row r="2" spans="2:18" x14ac:dyDescent="0.15">
      <c r="B2" s="1"/>
      <c r="C2" s="1" t="s">
        <v>179</v>
      </c>
      <c r="D2" s="1" t="s">
        <v>180</v>
      </c>
      <c r="E2" s="44" t="s">
        <v>181</v>
      </c>
      <c r="F2" s="22" t="s">
        <v>183</v>
      </c>
      <c r="G2" s="1" t="s">
        <v>184</v>
      </c>
      <c r="H2" s="22" t="s">
        <v>186</v>
      </c>
      <c r="I2" s="1" t="s">
        <v>187</v>
      </c>
      <c r="J2" s="41" t="s">
        <v>188</v>
      </c>
      <c r="K2" s="69" t="s">
        <v>254</v>
      </c>
      <c r="L2" s="33" t="s">
        <v>344</v>
      </c>
      <c r="M2" s="33" t="s">
        <v>345</v>
      </c>
      <c r="N2" s="33" t="s">
        <v>347</v>
      </c>
      <c r="P2" s="184" t="s">
        <v>253</v>
      </c>
      <c r="Q2" s="198"/>
      <c r="R2" s="1">
        <v>1</v>
      </c>
    </row>
    <row r="3" spans="2:18" x14ac:dyDescent="0.15">
      <c r="B3" s="1" t="s">
        <v>190</v>
      </c>
      <c r="C3" s="1">
        <f>'1、战斗节奏表'!F74</f>
        <v>1.3888888888888888E-2</v>
      </c>
      <c r="D3" s="1">
        <f>'1、战斗节奏表'!G74</f>
        <v>1</v>
      </c>
      <c r="E3" s="1">
        <f>'1、战斗节奏表'!H74</f>
        <v>1</v>
      </c>
      <c r="F3" s="45">
        <f>$C$3/F1/2</f>
        <v>2.3148148148148147E-2</v>
      </c>
      <c r="G3" s="2">
        <f>D3*(2.5-1)*0.3/2</f>
        <v>0.22499999999999998</v>
      </c>
      <c r="H3" s="45">
        <f>0.2*C3</f>
        <v>2.7777777777777779E-3</v>
      </c>
      <c r="I3" s="2">
        <f>D3*0.2</f>
        <v>0.2</v>
      </c>
      <c r="J3" s="50">
        <f>H3</f>
        <v>2.7777777777777779E-3</v>
      </c>
      <c r="P3" s="184" t="s">
        <v>192</v>
      </c>
      <c r="Q3" s="198"/>
      <c r="R3" s="12">
        <f>'1、战斗节奏表'!D46</f>
        <v>0</v>
      </c>
    </row>
    <row r="4" spans="2:18" x14ac:dyDescent="0.15">
      <c r="B4" s="1" t="s">
        <v>191</v>
      </c>
      <c r="C4" s="1">
        <f>'1、战斗节奏表'!F86-R4</f>
        <v>72</v>
      </c>
      <c r="D4" s="1">
        <f>'1、战斗节奏表'!G86-R5</f>
        <v>1.6</v>
      </c>
      <c r="E4" s="1">
        <f>'1、战斗节奏表'!H86</f>
        <v>1</v>
      </c>
      <c r="F4" s="47">
        <v>0.8</v>
      </c>
      <c r="G4" s="47">
        <v>0.8</v>
      </c>
      <c r="H4" s="47">
        <v>0.8</v>
      </c>
      <c r="I4" s="47">
        <v>0.4</v>
      </c>
      <c r="J4" s="51">
        <v>0.8</v>
      </c>
      <c r="K4" s="70">
        <v>0.8</v>
      </c>
      <c r="P4" s="184" t="s">
        <v>193</v>
      </c>
      <c r="Q4" s="198"/>
      <c r="R4" s="1">
        <v>0</v>
      </c>
    </row>
    <row r="5" spans="2:18" x14ac:dyDescent="0.15">
      <c r="B5" s="1" t="s">
        <v>196</v>
      </c>
      <c r="C5" s="34">
        <f t="shared" ref="C5:K5" si="0">C4/SUM($C$4:$J$4)*$R$3*$R$2</f>
        <v>0</v>
      </c>
      <c r="D5" s="34">
        <f t="shared" si="0"/>
        <v>0</v>
      </c>
      <c r="E5" s="34">
        <f t="shared" si="0"/>
        <v>0</v>
      </c>
      <c r="F5" s="61">
        <f t="shared" si="0"/>
        <v>0</v>
      </c>
      <c r="G5" s="61">
        <f t="shared" si="0"/>
        <v>0</v>
      </c>
      <c r="H5" s="61">
        <f t="shared" si="0"/>
        <v>0</v>
      </c>
      <c r="I5" s="34">
        <f t="shared" si="0"/>
        <v>0</v>
      </c>
      <c r="J5" s="61">
        <f t="shared" si="0"/>
        <v>0</v>
      </c>
      <c r="K5" s="61">
        <f t="shared" si="0"/>
        <v>0</v>
      </c>
      <c r="P5" s="199" t="s">
        <v>194</v>
      </c>
      <c r="Q5" s="200"/>
      <c r="R5" s="1">
        <f>SUM(I4)</f>
        <v>0.4</v>
      </c>
    </row>
    <row r="6" spans="2:18" x14ac:dyDescent="0.15">
      <c r="B6" s="5" t="s">
        <v>228</v>
      </c>
      <c r="C6" s="34">
        <f t="shared" ref="C6:K6" si="1">C5</f>
        <v>0</v>
      </c>
      <c r="D6" s="34">
        <f t="shared" si="1"/>
        <v>0</v>
      </c>
      <c r="E6" s="34">
        <f t="shared" si="1"/>
        <v>0</v>
      </c>
      <c r="F6" s="34">
        <f t="shared" si="1"/>
        <v>0</v>
      </c>
      <c r="G6" s="34">
        <f t="shared" si="1"/>
        <v>0</v>
      </c>
      <c r="H6" s="34">
        <f t="shared" si="1"/>
        <v>0</v>
      </c>
      <c r="I6" s="34">
        <f t="shared" si="1"/>
        <v>0</v>
      </c>
      <c r="J6" s="34">
        <f t="shared" si="1"/>
        <v>0</v>
      </c>
      <c r="K6" s="34">
        <f t="shared" si="1"/>
        <v>0</v>
      </c>
      <c r="P6" s="184"/>
      <c r="Q6" s="198"/>
      <c r="R6" s="1" t="s">
        <v>195</v>
      </c>
    </row>
    <row r="7" spans="2:18" x14ac:dyDescent="0.15">
      <c r="E7" s="42"/>
      <c r="P7" s="184" t="s">
        <v>233</v>
      </c>
      <c r="Q7" s="198"/>
      <c r="R7" s="1">
        <v>2.5</v>
      </c>
    </row>
    <row r="8" spans="2:18" x14ac:dyDescent="0.15">
      <c r="P8" s="184" t="s">
        <v>197</v>
      </c>
      <c r="Q8" s="198"/>
      <c r="R8" s="1">
        <v>0.3</v>
      </c>
    </row>
    <row r="9" spans="2:18" x14ac:dyDescent="0.15">
      <c r="P9" s="199" t="s">
        <v>185</v>
      </c>
      <c r="Q9" s="200"/>
      <c r="R9" s="1"/>
    </row>
    <row r="10" spans="2:18" x14ac:dyDescent="0.15">
      <c r="I10" t="s">
        <v>234</v>
      </c>
      <c r="P10" s="184"/>
      <c r="Q10" s="198"/>
      <c r="R10" s="1"/>
    </row>
    <row r="11" spans="2:18" x14ac:dyDescent="0.15">
      <c r="C11">
        <v>2</v>
      </c>
      <c r="P11" s="184" t="s">
        <v>183</v>
      </c>
      <c r="Q11" s="198"/>
      <c r="R11" s="1">
        <f>$F$3</f>
        <v>2.3148148148148147E-2</v>
      </c>
    </row>
    <row r="12" spans="2:18" x14ac:dyDescent="0.15">
      <c r="C12">
        <f>C13/$F$13*$C$11</f>
        <v>0.32477482097307919</v>
      </c>
      <c r="D12">
        <f t="shared" ref="D12:O12" si="2">D13/$F$13*$C$11</f>
        <v>1.3264418285649903E-2</v>
      </c>
      <c r="E12">
        <f t="shared" si="2"/>
        <v>1.3264418285649903E-2</v>
      </c>
      <c r="F12">
        <f t="shared" si="2"/>
        <v>2</v>
      </c>
      <c r="G12">
        <f t="shared" si="2"/>
        <v>2</v>
      </c>
      <c r="H12">
        <f t="shared" si="2"/>
        <v>0.16610938359592531</v>
      </c>
      <c r="I12">
        <f t="shared" si="2"/>
        <v>0.18064765064314731</v>
      </c>
      <c r="J12">
        <f t="shared" si="2"/>
        <v>0.16610938359592531</v>
      </c>
      <c r="K12">
        <f t="shared" si="2"/>
        <v>9.9665630157555168E-2</v>
      </c>
      <c r="L12">
        <f t="shared" si="2"/>
        <v>9.9665630157555168E-2</v>
      </c>
      <c r="M12">
        <f t="shared" si="2"/>
        <v>4.9010270855015817E-2</v>
      </c>
      <c r="N12">
        <f t="shared" si="2"/>
        <v>5.5369794531975068E-2</v>
      </c>
      <c r="O12">
        <f t="shared" si="2"/>
        <v>0.12458203769694393</v>
      </c>
      <c r="P12" s="184" t="s">
        <v>182</v>
      </c>
      <c r="Q12" s="198"/>
      <c r="R12" s="1">
        <f>$F$3</f>
        <v>2.3148148148148147E-2</v>
      </c>
    </row>
    <row r="13" spans="2:18" x14ac:dyDescent="0.15">
      <c r="C13">
        <f>1/C14</f>
        <v>24.484663705489183</v>
      </c>
      <c r="D13">
        <f t="shared" ref="D13:O13" si="3">1/D14</f>
        <v>1</v>
      </c>
      <c r="E13">
        <f t="shared" si="3"/>
        <v>1</v>
      </c>
      <c r="F13">
        <f t="shared" si="3"/>
        <v>150.77932231402096</v>
      </c>
      <c r="G13">
        <f t="shared" si="3"/>
        <v>150.77932231402096</v>
      </c>
      <c r="H13">
        <f t="shared" si="3"/>
        <v>12.522930144296684</v>
      </c>
      <c r="I13">
        <f t="shared" si="3"/>
        <v>13.618965170796882</v>
      </c>
      <c r="J13">
        <f t="shared" si="3"/>
        <v>12.522930144296684</v>
      </c>
      <c r="K13">
        <f t="shared" si="3"/>
        <v>7.5137580865780089</v>
      </c>
      <c r="L13">
        <f t="shared" si="3"/>
        <v>7.5137580865780089</v>
      </c>
      <c r="M13">
        <f t="shared" si="3"/>
        <v>3.6948677129729486</v>
      </c>
      <c r="N13">
        <f t="shared" si="3"/>
        <v>4.1743100480988922</v>
      </c>
      <c r="O13">
        <f t="shared" si="3"/>
        <v>9.3921976082225083</v>
      </c>
    </row>
    <row r="14" spans="2:18" x14ac:dyDescent="0.15">
      <c r="C14">
        <v>4.0841892379179845E-2</v>
      </c>
      <c r="D14">
        <v>1</v>
      </c>
      <c r="E14">
        <v>1</v>
      </c>
      <c r="F14">
        <v>6.6322091428249515E-3</v>
      </c>
      <c r="G14">
        <v>6.6322091428249515E-3</v>
      </c>
      <c r="H14">
        <v>7.9853515788829169E-2</v>
      </c>
      <c r="I14">
        <v>7.3427017945849354E-2</v>
      </c>
      <c r="J14">
        <v>7.9853515788829169E-2</v>
      </c>
      <c r="K14">
        <v>0.13308919298138197</v>
      </c>
      <c r="L14">
        <v>0.13308919298138197</v>
      </c>
      <c r="M14">
        <v>0.27064568414423268</v>
      </c>
      <c r="N14">
        <v>0.23956054736648763</v>
      </c>
      <c r="O14">
        <v>0.1064713543851056</v>
      </c>
    </row>
    <row r="16" spans="2:18" x14ac:dyDescent="0.15">
      <c r="D16" s="46"/>
    </row>
    <row r="17" spans="1:37" x14ac:dyDescent="0.15">
      <c r="C17" s="46">
        <f t="shared" ref="C17:H17" si="4">C6</f>
        <v>0</v>
      </c>
      <c r="D17" s="46">
        <f t="shared" si="4"/>
        <v>0</v>
      </c>
      <c r="E17" s="46">
        <f t="shared" si="4"/>
        <v>0</v>
      </c>
      <c r="F17" s="46">
        <f t="shared" si="4"/>
        <v>0</v>
      </c>
      <c r="G17" s="46">
        <f t="shared" si="4"/>
        <v>0</v>
      </c>
      <c r="H17" s="46">
        <f t="shared" si="4"/>
        <v>0</v>
      </c>
      <c r="I17" s="46">
        <f>K6</f>
        <v>0</v>
      </c>
      <c r="J17" s="46">
        <f>J6</f>
        <v>0</v>
      </c>
      <c r="K17" s="46">
        <f>H6</f>
        <v>0</v>
      </c>
      <c r="L17" s="46">
        <f>J6</f>
        <v>0</v>
      </c>
      <c r="M17" s="46"/>
      <c r="N17" s="46"/>
      <c r="O17" s="46"/>
    </row>
    <row r="18" spans="1:37" x14ac:dyDescent="0.15">
      <c r="B18" s="9" t="s">
        <v>198</v>
      </c>
      <c r="C18" s="9" t="s">
        <v>268</v>
      </c>
      <c r="D18" s="9" t="s">
        <v>269</v>
      </c>
      <c r="E18" s="48" t="s">
        <v>270</v>
      </c>
      <c r="F18" s="9" t="s">
        <v>271</v>
      </c>
      <c r="G18" s="9" t="s">
        <v>272</v>
      </c>
      <c r="H18" s="9" t="s">
        <v>273</v>
      </c>
      <c r="I18" s="9" t="s">
        <v>274</v>
      </c>
      <c r="J18" s="9" t="s">
        <v>275</v>
      </c>
      <c r="K18" s="33" t="s">
        <v>404</v>
      </c>
      <c r="L18" s="33" t="s">
        <v>405</v>
      </c>
      <c r="M18" s="40" t="s">
        <v>353</v>
      </c>
      <c r="N18" s="40" t="s">
        <v>346</v>
      </c>
      <c r="O18" s="40" t="s">
        <v>348</v>
      </c>
      <c r="P18" s="52" t="s">
        <v>205</v>
      </c>
      <c r="Q18" s="9" t="s">
        <v>206</v>
      </c>
      <c r="X18" s="173" t="s">
        <v>465</v>
      </c>
      <c r="Y18" s="173" t="s">
        <v>466</v>
      </c>
      <c r="Z18" s="173" t="s">
        <v>467</v>
      </c>
      <c r="AA18" s="173" t="s">
        <v>468</v>
      </c>
      <c r="AB18" s="173" t="s">
        <v>469</v>
      </c>
      <c r="AC18" s="173" t="s">
        <v>470</v>
      </c>
      <c r="AD18" s="173" t="s">
        <v>471</v>
      </c>
      <c r="AE18" s="173" t="s">
        <v>472</v>
      </c>
      <c r="AF18" s="173" t="s">
        <v>473</v>
      </c>
      <c r="AG18" s="173" t="s">
        <v>474</v>
      </c>
      <c r="AH18" s="173" t="s">
        <v>475</v>
      </c>
      <c r="AI18" s="173" t="s">
        <v>476</v>
      </c>
      <c r="AJ18" s="173" t="s">
        <v>477</v>
      </c>
      <c r="AK18" s="173" t="s">
        <v>478</v>
      </c>
    </row>
    <row r="19" spans="1:37" x14ac:dyDescent="0.15">
      <c r="A19">
        <v>1</v>
      </c>
      <c r="B19" s="54" t="s">
        <v>393</v>
      </c>
      <c r="C19" s="54">
        <v>1.2</v>
      </c>
      <c r="D19" s="54">
        <v>0.8</v>
      </c>
      <c r="E19" s="54">
        <v>1</v>
      </c>
      <c r="F19" s="54">
        <v>1</v>
      </c>
      <c r="G19" s="54">
        <v>1</v>
      </c>
      <c r="H19" s="54">
        <v>1.5</v>
      </c>
      <c r="I19" s="54">
        <v>1.6666666666666667</v>
      </c>
      <c r="J19" s="54">
        <v>1.5</v>
      </c>
      <c r="K19" s="54">
        <v>0.5</v>
      </c>
      <c r="L19" s="54">
        <v>0.5</v>
      </c>
      <c r="M19" s="54">
        <v>1</v>
      </c>
      <c r="N19" s="54">
        <v>0</v>
      </c>
      <c r="O19" s="54">
        <v>0</v>
      </c>
      <c r="P19" s="54">
        <f>'2、属性成长'!G3</f>
        <v>8</v>
      </c>
      <c r="Q19" s="64">
        <f t="shared" ref="Q19:Q27" si="5">P19/SUM($P$19:$P$26)</f>
        <v>0.25559105431309903</v>
      </c>
      <c r="R19" s="201" t="s">
        <v>207</v>
      </c>
      <c r="S19" s="202"/>
      <c r="T19" s="202"/>
      <c r="U19" s="202"/>
      <c r="X19" s="173" t="s">
        <v>479</v>
      </c>
      <c r="Y19" s="173">
        <v>1.2</v>
      </c>
      <c r="Z19" s="173">
        <v>0.8</v>
      </c>
      <c r="AA19" s="173">
        <v>1</v>
      </c>
      <c r="AB19" s="173">
        <v>1</v>
      </c>
      <c r="AC19" s="173">
        <v>1</v>
      </c>
      <c r="AD19" s="173">
        <v>1.5</v>
      </c>
      <c r="AE19" s="173">
        <v>2.0833333330000001</v>
      </c>
      <c r="AF19" s="173">
        <v>1.5</v>
      </c>
      <c r="AG19" s="173">
        <v>0.625</v>
      </c>
      <c r="AH19" s="173">
        <v>0.625</v>
      </c>
      <c r="AI19" s="173">
        <v>0</v>
      </c>
      <c r="AJ19" s="173">
        <v>0</v>
      </c>
      <c r="AK19" s="173">
        <v>0</v>
      </c>
    </row>
    <row r="20" spans="1:37" x14ac:dyDescent="0.15">
      <c r="A20">
        <v>1</v>
      </c>
      <c r="B20" s="139" t="s">
        <v>396</v>
      </c>
      <c r="C20" s="55">
        <v>1</v>
      </c>
      <c r="D20" s="55">
        <v>1.2</v>
      </c>
      <c r="E20" s="55">
        <v>1.2</v>
      </c>
      <c r="F20" s="55">
        <v>1</v>
      </c>
      <c r="G20" s="55">
        <v>1</v>
      </c>
      <c r="H20" s="55">
        <v>1</v>
      </c>
      <c r="I20" s="55">
        <v>0</v>
      </c>
      <c r="J20" s="55">
        <v>1</v>
      </c>
      <c r="K20" s="55">
        <v>0</v>
      </c>
      <c r="L20" s="55">
        <v>0</v>
      </c>
      <c r="M20" s="55">
        <v>0</v>
      </c>
      <c r="N20" s="55">
        <v>0</v>
      </c>
      <c r="O20" s="55">
        <v>0</v>
      </c>
      <c r="P20" s="55">
        <f>'2、属性成长'!H3</f>
        <v>12</v>
      </c>
      <c r="Q20" s="65">
        <f>P20/SUM($P$19:$P$26)</f>
        <v>0.38338658146964855</v>
      </c>
      <c r="R20" s="203" t="s">
        <v>209</v>
      </c>
      <c r="S20" s="204"/>
      <c r="T20" s="204"/>
      <c r="U20" s="204"/>
      <c r="X20" s="173" t="s">
        <v>480</v>
      </c>
      <c r="Y20" s="173">
        <v>1</v>
      </c>
      <c r="Z20" s="173">
        <v>1.2</v>
      </c>
      <c r="AA20" s="173">
        <v>1.2</v>
      </c>
      <c r="AB20" s="173">
        <v>1</v>
      </c>
      <c r="AC20" s="173">
        <v>1</v>
      </c>
      <c r="AD20" s="173">
        <v>1</v>
      </c>
      <c r="AE20" s="173">
        <v>0</v>
      </c>
      <c r="AF20" s="173">
        <v>1</v>
      </c>
      <c r="AG20" s="173">
        <v>0</v>
      </c>
      <c r="AH20" s="173">
        <v>0</v>
      </c>
      <c r="AI20" s="173">
        <v>0</v>
      </c>
      <c r="AJ20" s="173">
        <v>0</v>
      </c>
      <c r="AK20" s="173">
        <v>0</v>
      </c>
    </row>
    <row r="21" spans="1:37" x14ac:dyDescent="0.15">
      <c r="A21">
        <v>1</v>
      </c>
      <c r="B21" s="54" t="s">
        <v>213</v>
      </c>
      <c r="C21" s="54">
        <v>1</v>
      </c>
      <c r="D21" s="54">
        <v>1</v>
      </c>
      <c r="E21" s="54">
        <v>1</v>
      </c>
      <c r="F21" s="54">
        <v>1.2</v>
      </c>
      <c r="G21" s="54">
        <v>1.2</v>
      </c>
      <c r="H21" s="54">
        <v>3</v>
      </c>
      <c r="I21" s="54">
        <v>3.3333333333333335</v>
      </c>
      <c r="J21" s="54">
        <v>3</v>
      </c>
      <c r="K21" s="54">
        <v>1.2</v>
      </c>
      <c r="L21" s="54">
        <v>1.2</v>
      </c>
      <c r="M21" s="54">
        <v>1</v>
      </c>
      <c r="N21" s="54">
        <v>1.3333333333333335</v>
      </c>
      <c r="O21" s="54">
        <v>3</v>
      </c>
      <c r="P21" s="54">
        <f>'2、属性成长'!I3</f>
        <v>10</v>
      </c>
      <c r="Q21" s="64">
        <f>P21/SUM($P$19:$P$26)</f>
        <v>0.31948881789137379</v>
      </c>
      <c r="R21" s="201" t="s">
        <v>208</v>
      </c>
      <c r="S21" s="202"/>
      <c r="T21" s="202"/>
      <c r="U21" s="202"/>
      <c r="X21" s="173" t="s">
        <v>481</v>
      </c>
      <c r="Y21" s="173">
        <v>1</v>
      </c>
      <c r="Z21" s="173">
        <v>1</v>
      </c>
      <c r="AA21" s="173">
        <v>1</v>
      </c>
      <c r="AB21" s="173">
        <v>1.2</v>
      </c>
      <c r="AC21" s="173">
        <v>1.2</v>
      </c>
      <c r="AD21" s="173">
        <v>3</v>
      </c>
      <c r="AE21" s="173">
        <v>4.1666666670000003</v>
      </c>
      <c r="AF21" s="173">
        <v>3</v>
      </c>
      <c r="AG21" s="173">
        <v>1.5</v>
      </c>
      <c r="AH21" s="173">
        <v>1.5</v>
      </c>
      <c r="AI21" s="173">
        <v>0</v>
      </c>
      <c r="AJ21" s="173">
        <v>1.6666666670000001</v>
      </c>
      <c r="AK21" s="173">
        <v>3.75</v>
      </c>
    </row>
    <row r="22" spans="1:37" s="53" customFormat="1" x14ac:dyDescent="0.15">
      <c r="A22">
        <v>1</v>
      </c>
      <c r="B22" s="55" t="s">
        <v>69</v>
      </c>
      <c r="C22" s="55">
        <v>1</v>
      </c>
      <c r="D22" s="55">
        <v>1</v>
      </c>
      <c r="E22" s="55">
        <v>1</v>
      </c>
      <c r="F22" s="55">
        <v>0</v>
      </c>
      <c r="G22" s="55">
        <v>0</v>
      </c>
      <c r="H22" s="55">
        <v>0</v>
      </c>
      <c r="I22" s="55">
        <v>0</v>
      </c>
      <c r="J22" s="55">
        <v>0</v>
      </c>
      <c r="K22" s="55">
        <v>0</v>
      </c>
      <c r="L22" s="55">
        <v>0</v>
      </c>
      <c r="M22" s="55"/>
      <c r="N22" s="55"/>
      <c r="O22" s="55"/>
      <c r="P22" s="55">
        <f>'2、属性成长'!J3</f>
        <v>0.3</v>
      </c>
      <c r="Q22" s="65">
        <f t="shared" si="5"/>
        <v>9.5846645367412137E-3</v>
      </c>
      <c r="R22" s="203" t="s">
        <v>210</v>
      </c>
      <c r="S22" s="204"/>
      <c r="T22" s="204"/>
      <c r="U22" s="204"/>
      <c r="X22" s="175" t="s">
        <v>482</v>
      </c>
      <c r="Y22" s="175">
        <v>1</v>
      </c>
      <c r="Z22" s="175">
        <v>1</v>
      </c>
      <c r="AA22" s="175">
        <v>1</v>
      </c>
      <c r="AB22" s="175">
        <v>0</v>
      </c>
      <c r="AC22" s="175">
        <v>0</v>
      </c>
      <c r="AD22" s="175">
        <v>0</v>
      </c>
      <c r="AE22" s="175">
        <v>0</v>
      </c>
      <c r="AF22" s="175">
        <v>0</v>
      </c>
      <c r="AG22" s="175">
        <v>0</v>
      </c>
      <c r="AH22" s="175">
        <v>0</v>
      </c>
      <c r="AI22" s="175"/>
      <c r="AJ22" s="175"/>
      <c r="AK22" s="175"/>
    </row>
    <row r="23" spans="1:37" x14ac:dyDescent="0.15">
      <c r="A23">
        <v>1</v>
      </c>
      <c r="B23" s="141" t="s">
        <v>214</v>
      </c>
      <c r="C23" s="54">
        <v>1</v>
      </c>
      <c r="D23" s="54">
        <v>1</v>
      </c>
      <c r="E23" s="54">
        <v>1.2</v>
      </c>
      <c r="F23" s="54">
        <v>0</v>
      </c>
      <c r="G23" s="54">
        <v>1</v>
      </c>
      <c r="H23" s="54">
        <v>0</v>
      </c>
      <c r="I23" s="54"/>
      <c r="J23" s="54">
        <v>0</v>
      </c>
      <c r="K23" s="54">
        <v>0</v>
      </c>
      <c r="L23" s="54">
        <v>0</v>
      </c>
      <c r="M23" s="54"/>
      <c r="N23" s="54"/>
      <c r="O23" s="54">
        <v>0</v>
      </c>
      <c r="P23" s="54">
        <f>'2、属性成长'!K3</f>
        <v>0</v>
      </c>
      <c r="Q23" s="64">
        <f t="shared" si="5"/>
        <v>0</v>
      </c>
      <c r="R23" s="201" t="s">
        <v>211</v>
      </c>
      <c r="S23" s="202"/>
      <c r="T23" s="202"/>
      <c r="U23" s="202"/>
      <c r="X23" s="173" t="s">
        <v>483</v>
      </c>
      <c r="Y23" s="173">
        <v>1</v>
      </c>
      <c r="Z23" s="173">
        <v>1</v>
      </c>
      <c r="AA23" s="173">
        <v>1.2</v>
      </c>
      <c r="AB23" s="173">
        <v>0</v>
      </c>
      <c r="AC23" s="173">
        <v>1</v>
      </c>
      <c r="AD23" s="173">
        <v>0</v>
      </c>
      <c r="AE23" s="173"/>
      <c r="AF23" s="173">
        <v>0</v>
      </c>
      <c r="AG23" s="173">
        <v>0</v>
      </c>
      <c r="AH23" s="173">
        <v>0</v>
      </c>
      <c r="AI23" s="173"/>
      <c r="AJ23" s="173"/>
      <c r="AK23" s="173">
        <v>0</v>
      </c>
    </row>
    <row r="24" spans="1:37" x14ac:dyDescent="0.15">
      <c r="A24">
        <v>1</v>
      </c>
      <c r="B24" s="140" t="s">
        <v>257</v>
      </c>
      <c r="C24" s="73">
        <v>1.2</v>
      </c>
      <c r="D24" s="73">
        <v>0.8</v>
      </c>
      <c r="E24" s="73">
        <v>0.8</v>
      </c>
      <c r="F24" s="73">
        <v>0.7</v>
      </c>
      <c r="G24" s="73">
        <v>0.7</v>
      </c>
      <c r="H24" s="73">
        <v>0</v>
      </c>
      <c r="I24" s="73">
        <v>0</v>
      </c>
      <c r="J24" s="73">
        <v>0</v>
      </c>
      <c r="K24" s="73">
        <v>0</v>
      </c>
      <c r="L24" s="73">
        <v>0</v>
      </c>
      <c r="M24" s="73">
        <v>1</v>
      </c>
      <c r="N24" s="73"/>
      <c r="O24" s="73"/>
      <c r="P24" s="73">
        <f>'2、属性成长'!L3</f>
        <v>0</v>
      </c>
      <c r="Q24" s="65">
        <f t="shared" si="5"/>
        <v>0</v>
      </c>
      <c r="R24" s="73"/>
      <c r="S24" s="73"/>
      <c r="T24" s="73"/>
      <c r="U24" s="73"/>
      <c r="X24" s="173" t="s">
        <v>484</v>
      </c>
      <c r="Y24" s="173">
        <v>1.2</v>
      </c>
      <c r="Z24" s="173">
        <v>0.8</v>
      </c>
      <c r="AA24" s="173">
        <v>0.8</v>
      </c>
      <c r="AB24" s="173">
        <v>0.7</v>
      </c>
      <c r="AC24" s="173">
        <v>0.7</v>
      </c>
      <c r="AD24" s="173">
        <v>0</v>
      </c>
      <c r="AE24" s="173">
        <v>0</v>
      </c>
      <c r="AF24" s="173">
        <v>0</v>
      </c>
      <c r="AG24" s="173">
        <v>0</v>
      </c>
      <c r="AH24" s="173">
        <v>0</v>
      </c>
      <c r="AI24" s="173">
        <v>1</v>
      </c>
      <c r="AJ24" s="173"/>
      <c r="AK24" s="173"/>
    </row>
    <row r="25" spans="1:37" s="53" customFormat="1" x14ac:dyDescent="0.15">
      <c r="A25">
        <v>1</v>
      </c>
      <c r="B25" s="141" t="s">
        <v>216</v>
      </c>
      <c r="C25" s="54">
        <v>0.8</v>
      </c>
      <c r="D25" s="54">
        <v>1.2</v>
      </c>
      <c r="E25" s="54">
        <v>0.8</v>
      </c>
      <c r="F25" s="54">
        <v>0.5</v>
      </c>
      <c r="G25" s="54">
        <v>0</v>
      </c>
      <c r="H25" s="54">
        <v>0.6</v>
      </c>
      <c r="I25" s="54">
        <v>0</v>
      </c>
      <c r="J25" s="54">
        <v>0</v>
      </c>
      <c r="K25" s="54">
        <v>0</v>
      </c>
      <c r="L25" s="54">
        <v>0</v>
      </c>
      <c r="M25" s="54"/>
      <c r="N25" s="54">
        <v>1</v>
      </c>
      <c r="O25" s="54"/>
      <c r="P25" s="54">
        <f>'2、属性成长'!M3</f>
        <v>0</v>
      </c>
      <c r="Q25" s="64">
        <f t="shared" si="5"/>
        <v>0</v>
      </c>
      <c r="R25" s="201" t="s">
        <v>210</v>
      </c>
      <c r="S25" s="202"/>
      <c r="T25" s="202"/>
      <c r="U25" s="202"/>
      <c r="X25" s="175" t="s">
        <v>485</v>
      </c>
      <c r="Y25" s="175">
        <v>0.8</v>
      </c>
      <c r="Z25" s="175">
        <v>1.2</v>
      </c>
      <c r="AA25" s="175">
        <v>0.8</v>
      </c>
      <c r="AB25" s="175">
        <v>0.5</v>
      </c>
      <c r="AC25" s="175">
        <v>0</v>
      </c>
      <c r="AD25" s="175">
        <v>0.6</v>
      </c>
      <c r="AE25" s="175">
        <v>0</v>
      </c>
      <c r="AF25" s="175">
        <v>0</v>
      </c>
      <c r="AG25" s="175">
        <v>0</v>
      </c>
      <c r="AH25" s="175">
        <v>0</v>
      </c>
      <c r="AI25" s="175"/>
      <c r="AJ25" s="175">
        <v>1</v>
      </c>
      <c r="AK25" s="175"/>
    </row>
    <row r="26" spans="1:37" s="53" customFormat="1" x14ac:dyDescent="0.15">
      <c r="A26">
        <v>1</v>
      </c>
      <c r="B26" s="55" t="s">
        <v>217</v>
      </c>
      <c r="C26" s="55">
        <v>1</v>
      </c>
      <c r="D26" s="55">
        <v>1</v>
      </c>
      <c r="E26" s="55">
        <v>1</v>
      </c>
      <c r="F26" s="55">
        <v>0</v>
      </c>
      <c r="G26" s="55">
        <v>0</v>
      </c>
      <c r="H26" s="55">
        <v>0</v>
      </c>
      <c r="I26" s="55">
        <v>0</v>
      </c>
      <c r="J26" s="55">
        <v>0</v>
      </c>
      <c r="K26" s="55">
        <v>0</v>
      </c>
      <c r="L26" s="55">
        <v>0</v>
      </c>
      <c r="M26" s="55"/>
      <c r="N26" s="55"/>
      <c r="O26" s="55"/>
      <c r="P26" s="55">
        <f>'2、属性成长'!N3</f>
        <v>1</v>
      </c>
      <c r="Q26" s="65">
        <f t="shared" si="5"/>
        <v>3.1948881789137379E-2</v>
      </c>
      <c r="R26" s="203" t="s">
        <v>210</v>
      </c>
      <c r="S26" s="204"/>
      <c r="T26" s="204"/>
      <c r="U26" s="204"/>
      <c r="X26" s="175" t="s">
        <v>486</v>
      </c>
      <c r="Y26" s="175">
        <v>1</v>
      </c>
      <c r="Z26" s="175">
        <v>1</v>
      </c>
      <c r="AA26" s="175">
        <v>1</v>
      </c>
      <c r="AB26" s="175">
        <v>0</v>
      </c>
      <c r="AC26" s="175">
        <v>0</v>
      </c>
      <c r="AD26" s="175">
        <v>0</v>
      </c>
      <c r="AE26" s="175">
        <v>0</v>
      </c>
      <c r="AF26" s="175">
        <v>0</v>
      </c>
      <c r="AG26" s="175">
        <v>0</v>
      </c>
      <c r="AH26" s="175">
        <v>0</v>
      </c>
      <c r="AI26" s="175"/>
      <c r="AJ26" s="175"/>
      <c r="AK26" s="175"/>
    </row>
    <row r="27" spans="1:37" x14ac:dyDescent="0.15">
      <c r="A27">
        <v>1</v>
      </c>
      <c r="B27" s="141" t="s">
        <v>215</v>
      </c>
      <c r="C27" s="54">
        <v>1</v>
      </c>
      <c r="D27" s="54">
        <v>1.2</v>
      </c>
      <c r="E27" s="54">
        <v>1.2</v>
      </c>
      <c r="F27" s="54">
        <v>0</v>
      </c>
      <c r="G27" s="54">
        <v>0</v>
      </c>
      <c r="H27" s="54">
        <v>0</v>
      </c>
      <c r="I27" s="54">
        <v>0</v>
      </c>
      <c r="J27" s="54">
        <v>0</v>
      </c>
      <c r="K27" s="54">
        <v>0</v>
      </c>
      <c r="L27" s="54">
        <v>0</v>
      </c>
      <c r="M27" s="54">
        <v>0</v>
      </c>
      <c r="N27" s="54">
        <v>0</v>
      </c>
      <c r="O27" s="54">
        <v>0</v>
      </c>
      <c r="P27" s="54">
        <f>'2、属性成长'!O3</f>
        <v>20</v>
      </c>
      <c r="Q27" s="64">
        <f t="shared" si="5"/>
        <v>0.63897763578274758</v>
      </c>
      <c r="R27" s="203" t="s">
        <v>212</v>
      </c>
      <c r="S27" s="204"/>
      <c r="T27" s="204"/>
      <c r="U27" s="204"/>
      <c r="X27" s="173" t="s">
        <v>487</v>
      </c>
      <c r="Y27" s="173">
        <v>1</v>
      </c>
      <c r="Z27" s="173">
        <v>1.2</v>
      </c>
      <c r="AA27" s="173">
        <v>1.2</v>
      </c>
      <c r="AB27" s="173">
        <v>0.3</v>
      </c>
      <c r="AC27" s="173">
        <v>0</v>
      </c>
      <c r="AD27" s="173">
        <v>0.2</v>
      </c>
      <c r="AE27" s="173">
        <v>1</v>
      </c>
      <c r="AF27" s="173">
        <v>0.2</v>
      </c>
      <c r="AG27" s="173">
        <v>0.4</v>
      </c>
      <c r="AH27" s="173">
        <v>0.4</v>
      </c>
      <c r="AI27" s="173">
        <v>1</v>
      </c>
      <c r="AJ27" s="173">
        <v>1</v>
      </c>
      <c r="AK27" s="173">
        <v>1</v>
      </c>
    </row>
    <row r="29" spans="1:37" x14ac:dyDescent="0.15">
      <c r="B29" s="1" t="s">
        <v>304</v>
      </c>
      <c r="C29" s="1" t="s">
        <v>305</v>
      </c>
    </row>
    <row r="30" spans="1:37" x14ac:dyDescent="0.15">
      <c r="B30" s="1"/>
      <c r="C30" s="1">
        <f>SUMPRODUCT(C$19:C$27,$P$19:$P$27)</f>
        <v>52.900000000000006</v>
      </c>
      <c r="D30" s="1">
        <f t="shared" ref="D30:L30" si="6">SUMPRODUCT(D$19:D$27,$P$19:$P$27)</f>
        <v>56.099999999999994</v>
      </c>
      <c r="E30" s="1">
        <f t="shared" si="6"/>
        <v>57.699999999999996</v>
      </c>
      <c r="F30" s="1">
        <f t="shared" si="6"/>
        <v>32</v>
      </c>
      <c r="G30" s="1">
        <f t="shared" si="6"/>
        <v>32</v>
      </c>
      <c r="H30" s="1">
        <f t="shared" si="6"/>
        <v>54</v>
      </c>
      <c r="I30" s="1">
        <f t="shared" si="6"/>
        <v>46.666666666666671</v>
      </c>
      <c r="J30" s="1">
        <f t="shared" si="6"/>
        <v>54</v>
      </c>
      <c r="K30" s="1">
        <f t="shared" si="6"/>
        <v>16</v>
      </c>
      <c r="L30" s="1">
        <f t="shared" si="6"/>
        <v>16</v>
      </c>
      <c r="M30" s="1">
        <f t="shared" ref="M30:O30" si="7">SUMPRODUCT(M$19:M$27,$P$19:$P$27)</f>
        <v>18</v>
      </c>
      <c r="N30" s="1">
        <f t="shared" si="7"/>
        <v>13.333333333333336</v>
      </c>
      <c r="O30" s="1">
        <f t="shared" si="7"/>
        <v>30</v>
      </c>
    </row>
    <row r="31" spans="1:37" x14ac:dyDescent="0.15">
      <c r="B31" s="9" t="s">
        <v>198</v>
      </c>
      <c r="C31" s="9" t="s">
        <v>268</v>
      </c>
      <c r="D31" s="9" t="s">
        <v>269</v>
      </c>
      <c r="E31" s="48" t="s">
        <v>270</v>
      </c>
      <c r="F31" s="9" t="s">
        <v>271</v>
      </c>
      <c r="G31" s="9" t="s">
        <v>272</v>
      </c>
      <c r="H31" s="9" t="s">
        <v>273</v>
      </c>
      <c r="I31" s="9" t="s">
        <v>274</v>
      </c>
      <c r="J31" s="9" t="s">
        <v>275</v>
      </c>
      <c r="K31" s="33" t="s">
        <v>276</v>
      </c>
      <c r="L31" s="33" t="s">
        <v>277</v>
      </c>
      <c r="M31" s="33" t="s">
        <v>353</v>
      </c>
      <c r="N31" s="33" t="s">
        <v>346</v>
      </c>
      <c r="O31" s="33" t="s">
        <v>348</v>
      </c>
    </row>
    <row r="32" spans="1:37" x14ac:dyDescent="0.15">
      <c r="B32" s="54" t="s">
        <v>393</v>
      </c>
      <c r="C32" s="92">
        <f>C19*$P19/C$30</f>
        <v>0.18147448015122872</v>
      </c>
      <c r="D32" s="92">
        <f t="shared" ref="D32:L32" si="8">D19*$P19/D$30</f>
        <v>0.11408199643493763</v>
      </c>
      <c r="E32" s="92">
        <f t="shared" si="8"/>
        <v>0.13864818024263434</v>
      </c>
      <c r="F32" s="92">
        <f t="shared" si="8"/>
        <v>0.25</v>
      </c>
      <c r="G32" s="92">
        <f t="shared" si="8"/>
        <v>0.25</v>
      </c>
      <c r="H32" s="92">
        <f t="shared" si="8"/>
        <v>0.22222222222222221</v>
      </c>
      <c r="I32" s="92">
        <f t="shared" si="8"/>
        <v>0.2857142857142857</v>
      </c>
      <c r="J32" s="92">
        <f t="shared" si="8"/>
        <v>0.22222222222222221</v>
      </c>
      <c r="K32" s="92">
        <f t="shared" si="8"/>
        <v>0.25</v>
      </c>
      <c r="L32" s="92">
        <f t="shared" si="8"/>
        <v>0.25</v>
      </c>
      <c r="M32" s="92">
        <f t="shared" ref="M32:O32" si="9">M19*$P19/M$30</f>
        <v>0.44444444444444442</v>
      </c>
      <c r="N32" s="92">
        <f t="shared" si="9"/>
        <v>0</v>
      </c>
      <c r="O32" s="92">
        <f t="shared" si="9"/>
        <v>0</v>
      </c>
    </row>
    <row r="33" spans="2:15" x14ac:dyDescent="0.15">
      <c r="B33" s="55" t="s">
        <v>43</v>
      </c>
      <c r="C33" s="92">
        <f t="shared" ref="C33:L33" si="10">C20*$P20/C$30</f>
        <v>0.22684310018903589</v>
      </c>
      <c r="D33" s="92">
        <f t="shared" si="10"/>
        <v>0.25668449197860965</v>
      </c>
      <c r="E33" s="92">
        <f t="shared" si="10"/>
        <v>0.24956672443674177</v>
      </c>
      <c r="F33" s="92">
        <f t="shared" si="10"/>
        <v>0.375</v>
      </c>
      <c r="G33" s="92">
        <f t="shared" si="10"/>
        <v>0.375</v>
      </c>
      <c r="H33" s="92">
        <f t="shared" si="10"/>
        <v>0.22222222222222221</v>
      </c>
      <c r="I33" s="92">
        <f t="shared" si="10"/>
        <v>0</v>
      </c>
      <c r="J33" s="92">
        <f t="shared" si="10"/>
        <v>0.22222222222222221</v>
      </c>
      <c r="K33" s="92">
        <f t="shared" si="10"/>
        <v>0</v>
      </c>
      <c r="L33" s="92">
        <f t="shared" si="10"/>
        <v>0</v>
      </c>
      <c r="M33" s="92">
        <f t="shared" ref="M33:O33" si="11">M20*$P20/M$30</f>
        <v>0</v>
      </c>
      <c r="N33" s="92">
        <f t="shared" si="11"/>
        <v>0</v>
      </c>
      <c r="O33" s="92">
        <f t="shared" si="11"/>
        <v>0</v>
      </c>
    </row>
    <row r="34" spans="2:15" x14ac:dyDescent="0.15">
      <c r="B34" s="54" t="s">
        <v>279</v>
      </c>
      <c r="C34" s="92">
        <f>C21*$P21/C$30</f>
        <v>0.18903591682419657</v>
      </c>
      <c r="D34" s="92">
        <f t="shared" ref="D34:L34" si="12">D21*$P21/D$30</f>
        <v>0.17825311942959005</v>
      </c>
      <c r="E34" s="92">
        <f t="shared" si="12"/>
        <v>0.1733102253032929</v>
      </c>
      <c r="F34" s="92">
        <f t="shared" si="12"/>
        <v>0.375</v>
      </c>
      <c r="G34" s="92">
        <f t="shared" si="12"/>
        <v>0.375</v>
      </c>
      <c r="H34" s="92">
        <f t="shared" si="12"/>
        <v>0.55555555555555558</v>
      </c>
      <c r="I34" s="92">
        <f t="shared" si="12"/>
        <v>0.7142857142857143</v>
      </c>
      <c r="J34" s="92">
        <f t="shared" si="12"/>
        <v>0.55555555555555558</v>
      </c>
      <c r="K34" s="92">
        <f t="shared" si="12"/>
        <v>0.75</v>
      </c>
      <c r="L34" s="92">
        <f t="shared" si="12"/>
        <v>0.75</v>
      </c>
      <c r="M34" s="92">
        <f>M21*$P21/M$30</f>
        <v>0.55555555555555558</v>
      </c>
      <c r="N34" s="92">
        <f t="shared" ref="N34:O34" si="13">N21*$P21/N$30</f>
        <v>1</v>
      </c>
      <c r="O34" s="92">
        <f t="shared" si="13"/>
        <v>1</v>
      </c>
    </row>
    <row r="35" spans="2:15" x14ac:dyDescent="0.15">
      <c r="B35" s="55" t="s">
        <v>280</v>
      </c>
      <c r="C35" s="92">
        <f t="shared" ref="C35:L35" si="14">C22*$P22/C$30</f>
        <v>5.6710775047258974E-3</v>
      </c>
      <c r="D35" s="92">
        <f t="shared" si="14"/>
        <v>5.3475935828877011E-3</v>
      </c>
      <c r="E35" s="92">
        <f t="shared" si="14"/>
        <v>5.1993067590987872E-3</v>
      </c>
      <c r="F35" s="92">
        <f t="shared" si="14"/>
        <v>0</v>
      </c>
      <c r="G35" s="92">
        <f t="shared" si="14"/>
        <v>0</v>
      </c>
      <c r="H35" s="92">
        <f t="shared" si="14"/>
        <v>0</v>
      </c>
      <c r="I35" s="92">
        <f t="shared" si="14"/>
        <v>0</v>
      </c>
      <c r="J35" s="92">
        <f t="shared" si="14"/>
        <v>0</v>
      </c>
      <c r="K35" s="92">
        <f t="shared" si="14"/>
        <v>0</v>
      </c>
      <c r="L35" s="92">
        <f t="shared" si="14"/>
        <v>0</v>
      </c>
      <c r="M35" s="92">
        <f t="shared" ref="M35:O35" si="15">M22*$P22/M$30</f>
        <v>0</v>
      </c>
      <c r="N35" s="92">
        <f t="shared" si="15"/>
        <v>0</v>
      </c>
      <c r="O35" s="92">
        <f t="shared" si="15"/>
        <v>0</v>
      </c>
    </row>
    <row r="36" spans="2:15" x14ac:dyDescent="0.15">
      <c r="B36" s="54" t="s">
        <v>281</v>
      </c>
      <c r="C36" s="92">
        <f t="shared" ref="C36:L36" si="16">C23*$P23/C$30</f>
        <v>0</v>
      </c>
      <c r="D36" s="92">
        <f t="shared" si="16"/>
        <v>0</v>
      </c>
      <c r="E36" s="92">
        <f t="shared" si="16"/>
        <v>0</v>
      </c>
      <c r="F36" s="92">
        <f t="shared" si="16"/>
        <v>0</v>
      </c>
      <c r="G36" s="92">
        <f t="shared" si="16"/>
        <v>0</v>
      </c>
      <c r="H36" s="92">
        <f t="shared" si="16"/>
        <v>0</v>
      </c>
      <c r="I36" s="92">
        <f t="shared" si="16"/>
        <v>0</v>
      </c>
      <c r="J36" s="92">
        <f t="shared" si="16"/>
        <v>0</v>
      </c>
      <c r="K36" s="92">
        <f t="shared" si="16"/>
        <v>0</v>
      </c>
      <c r="L36" s="92">
        <f t="shared" si="16"/>
        <v>0</v>
      </c>
      <c r="M36" s="92">
        <f t="shared" ref="M36:O36" si="17">M23*$P23/M$30</f>
        <v>0</v>
      </c>
      <c r="N36" s="92">
        <f t="shared" si="17"/>
        <v>0</v>
      </c>
      <c r="O36" s="92">
        <f t="shared" si="17"/>
        <v>0</v>
      </c>
    </row>
    <row r="37" spans="2:15" x14ac:dyDescent="0.15">
      <c r="B37" s="55" t="s">
        <v>282</v>
      </c>
      <c r="C37" s="92">
        <f t="shared" ref="C37:L37" si="18">C24*$P24/C$30</f>
        <v>0</v>
      </c>
      <c r="D37" s="92">
        <f t="shared" si="18"/>
        <v>0</v>
      </c>
      <c r="E37" s="92">
        <f t="shared" si="18"/>
        <v>0</v>
      </c>
      <c r="F37" s="92">
        <f t="shared" si="18"/>
        <v>0</v>
      </c>
      <c r="G37" s="92">
        <f t="shared" si="18"/>
        <v>0</v>
      </c>
      <c r="H37" s="92">
        <f t="shared" si="18"/>
        <v>0</v>
      </c>
      <c r="I37" s="92">
        <f t="shared" si="18"/>
        <v>0</v>
      </c>
      <c r="J37" s="92">
        <f t="shared" si="18"/>
        <v>0</v>
      </c>
      <c r="K37" s="92">
        <f t="shared" si="18"/>
        <v>0</v>
      </c>
      <c r="L37" s="92">
        <f t="shared" si="18"/>
        <v>0</v>
      </c>
      <c r="M37" s="92">
        <f t="shared" ref="M37:O37" si="19">M24*$P24/M$30</f>
        <v>0</v>
      </c>
      <c r="N37" s="92">
        <f t="shared" si="19"/>
        <v>0</v>
      </c>
      <c r="O37" s="92">
        <f t="shared" si="19"/>
        <v>0</v>
      </c>
    </row>
    <row r="38" spans="2:15" x14ac:dyDescent="0.15">
      <c r="B38" s="54" t="s">
        <v>283</v>
      </c>
      <c r="C38" s="92">
        <f t="shared" ref="C38:L38" si="20">C25*$P25/C$30</f>
        <v>0</v>
      </c>
      <c r="D38" s="92">
        <f t="shared" si="20"/>
        <v>0</v>
      </c>
      <c r="E38" s="92">
        <f t="shared" si="20"/>
        <v>0</v>
      </c>
      <c r="F38" s="92">
        <f t="shared" si="20"/>
        <v>0</v>
      </c>
      <c r="G38" s="92">
        <f t="shared" si="20"/>
        <v>0</v>
      </c>
      <c r="H38" s="92">
        <f t="shared" si="20"/>
        <v>0</v>
      </c>
      <c r="I38" s="92">
        <f t="shared" si="20"/>
        <v>0</v>
      </c>
      <c r="J38" s="92">
        <f t="shared" si="20"/>
        <v>0</v>
      </c>
      <c r="K38" s="92">
        <f t="shared" si="20"/>
        <v>0</v>
      </c>
      <c r="L38" s="92">
        <f t="shared" si="20"/>
        <v>0</v>
      </c>
      <c r="M38" s="92">
        <f t="shared" ref="M38:O38" si="21">M25*$P25/M$30</f>
        <v>0</v>
      </c>
      <c r="N38" s="92">
        <f t="shared" si="21"/>
        <v>0</v>
      </c>
      <c r="O38" s="92">
        <f t="shared" si="21"/>
        <v>0</v>
      </c>
    </row>
    <row r="39" spans="2:15" x14ac:dyDescent="0.15">
      <c r="B39" s="55" t="s">
        <v>284</v>
      </c>
      <c r="C39" s="92">
        <f t="shared" ref="C39:L39" si="22">C26*$P26/C$30</f>
        <v>1.8903591682419656E-2</v>
      </c>
      <c r="D39" s="92">
        <f t="shared" si="22"/>
        <v>1.7825311942959002E-2</v>
      </c>
      <c r="E39" s="92">
        <f t="shared" si="22"/>
        <v>1.7331022530329292E-2</v>
      </c>
      <c r="F39" s="92">
        <f t="shared" si="22"/>
        <v>0</v>
      </c>
      <c r="G39" s="92">
        <f t="shared" si="22"/>
        <v>0</v>
      </c>
      <c r="H39" s="92">
        <f t="shared" si="22"/>
        <v>0</v>
      </c>
      <c r="I39" s="92">
        <f t="shared" si="22"/>
        <v>0</v>
      </c>
      <c r="J39" s="92">
        <f t="shared" si="22"/>
        <v>0</v>
      </c>
      <c r="K39" s="92">
        <f t="shared" si="22"/>
        <v>0</v>
      </c>
      <c r="L39" s="92">
        <f t="shared" si="22"/>
        <v>0</v>
      </c>
      <c r="M39" s="92">
        <f t="shared" ref="M39:O39" si="23">M26*$P26/M$30</f>
        <v>0</v>
      </c>
      <c r="N39" s="92">
        <f t="shared" si="23"/>
        <v>0</v>
      </c>
      <c r="O39" s="92">
        <f t="shared" si="23"/>
        <v>0</v>
      </c>
    </row>
    <row r="40" spans="2:15" x14ac:dyDescent="0.15">
      <c r="B40" s="54" t="s">
        <v>285</v>
      </c>
      <c r="C40" s="92">
        <f t="shared" ref="C40:L40" si="24">C27*$P27/C$30</f>
        <v>0.37807183364839314</v>
      </c>
      <c r="D40" s="92">
        <f t="shared" si="24"/>
        <v>0.42780748663101609</v>
      </c>
      <c r="E40" s="92">
        <f t="shared" si="24"/>
        <v>0.41594454072790299</v>
      </c>
      <c r="F40" s="92">
        <f t="shared" si="24"/>
        <v>0</v>
      </c>
      <c r="G40" s="92">
        <f t="shared" si="24"/>
        <v>0</v>
      </c>
      <c r="H40" s="92">
        <f t="shared" si="24"/>
        <v>0</v>
      </c>
      <c r="I40" s="92">
        <f t="shared" si="24"/>
        <v>0</v>
      </c>
      <c r="J40" s="92">
        <f t="shared" si="24"/>
        <v>0</v>
      </c>
      <c r="K40" s="92">
        <f t="shared" si="24"/>
        <v>0</v>
      </c>
      <c r="L40" s="92">
        <f t="shared" si="24"/>
        <v>0</v>
      </c>
      <c r="M40" s="92">
        <f t="shared" ref="M40:O40" si="25">M27*$P27/M$30</f>
        <v>0</v>
      </c>
      <c r="N40" s="92">
        <f t="shared" si="25"/>
        <v>0</v>
      </c>
      <c r="O40" s="92">
        <f t="shared" si="25"/>
        <v>0</v>
      </c>
    </row>
    <row r="42" spans="2:15" x14ac:dyDescent="0.15">
      <c r="B42" s="190" t="s">
        <v>306</v>
      </c>
      <c r="C42" s="190"/>
    </row>
    <row r="43" spans="2:15" x14ac:dyDescent="0.15">
      <c r="B43" s="1">
        <v>1</v>
      </c>
      <c r="C43" s="1">
        <v>2</v>
      </c>
      <c r="D43" s="1">
        <v>3</v>
      </c>
      <c r="E43" s="1">
        <v>4</v>
      </c>
      <c r="F43" s="1">
        <v>5</v>
      </c>
      <c r="G43" s="1">
        <v>6</v>
      </c>
      <c r="H43" s="1">
        <v>7</v>
      </c>
      <c r="I43" s="1">
        <v>8</v>
      </c>
      <c r="J43" s="1">
        <v>9</v>
      </c>
      <c r="K43" s="1">
        <v>10</v>
      </c>
      <c r="L43" s="1">
        <v>11</v>
      </c>
      <c r="M43" s="1">
        <v>12</v>
      </c>
      <c r="N43" s="1">
        <v>13</v>
      </c>
      <c r="O43" s="1">
        <v>14</v>
      </c>
    </row>
    <row r="44" spans="2:15" x14ac:dyDescent="0.15">
      <c r="B44" s="9" t="s">
        <v>198</v>
      </c>
      <c r="C44" s="9" t="s">
        <v>268</v>
      </c>
      <c r="D44" s="9" t="s">
        <v>269</v>
      </c>
      <c r="E44" s="48" t="s">
        <v>270</v>
      </c>
      <c r="F44" s="9" t="s">
        <v>271</v>
      </c>
      <c r="G44" s="9" t="s">
        <v>272</v>
      </c>
      <c r="H44" s="9" t="s">
        <v>273</v>
      </c>
      <c r="I44" s="9" t="s">
        <v>274</v>
      </c>
      <c r="J44" s="9" t="s">
        <v>275</v>
      </c>
      <c r="K44" s="33" t="s">
        <v>276</v>
      </c>
      <c r="L44" s="33" t="s">
        <v>277</v>
      </c>
      <c r="M44" s="40" t="s">
        <v>353</v>
      </c>
      <c r="N44" s="40" t="s">
        <v>346</v>
      </c>
      <c r="O44" s="33" t="s">
        <v>348</v>
      </c>
    </row>
    <row r="45" spans="2:15" x14ac:dyDescent="0.15">
      <c r="B45" s="54" t="s">
        <v>393</v>
      </c>
      <c r="C45" s="64">
        <f t="shared" ref="C45:O45" si="26">C32/SUM(C$32:C$40)</f>
        <v>0.18147448015122875</v>
      </c>
      <c r="D45" s="64">
        <f t="shared" si="26"/>
        <v>0.11408199643493763</v>
      </c>
      <c r="E45" s="64">
        <f t="shared" si="26"/>
        <v>0.13864818024263434</v>
      </c>
      <c r="F45" s="64">
        <f t="shared" si="26"/>
        <v>0.25</v>
      </c>
      <c r="G45" s="64">
        <f t="shared" si="26"/>
        <v>0.25</v>
      </c>
      <c r="H45" s="64">
        <f t="shared" si="26"/>
        <v>0.22222222222222221</v>
      </c>
      <c r="I45" s="64">
        <f t="shared" si="26"/>
        <v>0.2857142857142857</v>
      </c>
      <c r="J45" s="64">
        <f t="shared" si="26"/>
        <v>0.22222222222222221</v>
      </c>
      <c r="K45" s="64">
        <f t="shared" si="26"/>
        <v>0.25</v>
      </c>
      <c r="L45" s="64">
        <f t="shared" si="26"/>
        <v>0.25</v>
      </c>
      <c r="M45" s="64">
        <f t="shared" si="26"/>
        <v>0.44444444444444442</v>
      </c>
      <c r="N45" s="64">
        <f t="shared" si="26"/>
        <v>0</v>
      </c>
      <c r="O45" s="64">
        <f t="shared" si="26"/>
        <v>0</v>
      </c>
    </row>
    <row r="46" spans="2:15" x14ac:dyDescent="0.15">
      <c r="B46" s="55" t="s">
        <v>43</v>
      </c>
      <c r="C46" s="64">
        <f t="shared" ref="C46:K47" si="27">C33/SUM(C$32:C$40)</f>
        <v>0.22684310018903592</v>
      </c>
      <c r="D46" s="64">
        <f t="shared" si="27"/>
        <v>0.25668449197860965</v>
      </c>
      <c r="E46" s="64">
        <f t="shared" si="27"/>
        <v>0.24956672443674177</v>
      </c>
      <c r="F46" s="64">
        <f t="shared" si="27"/>
        <v>0.375</v>
      </c>
      <c r="G46" s="64">
        <f t="shared" si="27"/>
        <v>0.375</v>
      </c>
      <c r="H46" s="64">
        <f t="shared" si="27"/>
        <v>0.22222222222222221</v>
      </c>
      <c r="I46" s="64">
        <f t="shared" si="27"/>
        <v>0</v>
      </c>
      <c r="J46" s="64">
        <f t="shared" si="27"/>
        <v>0.22222222222222221</v>
      </c>
      <c r="K46" s="64">
        <f t="shared" si="27"/>
        <v>0</v>
      </c>
      <c r="L46" s="64">
        <f t="shared" ref="L46:O46" si="28">L33/SUM(L$32:L$40)</f>
        <v>0</v>
      </c>
      <c r="M46" s="64">
        <f t="shared" si="28"/>
        <v>0</v>
      </c>
      <c r="N46" s="64">
        <f t="shared" si="28"/>
        <v>0</v>
      </c>
      <c r="O46" s="64">
        <f t="shared" si="28"/>
        <v>0</v>
      </c>
    </row>
    <row r="47" spans="2:15" x14ac:dyDescent="0.15">
      <c r="B47" s="54" t="s">
        <v>279</v>
      </c>
      <c r="C47" s="64">
        <f t="shared" ref="C47:G47" si="29">C34/SUM(C$32:C$40)</f>
        <v>0.1890359168241966</v>
      </c>
      <c r="D47" s="64">
        <f t="shared" si="29"/>
        <v>0.17825311942959005</v>
      </c>
      <c r="E47" s="64">
        <f t="shared" si="29"/>
        <v>0.1733102253032929</v>
      </c>
      <c r="F47" s="176">
        <f t="shared" si="27"/>
        <v>0.375</v>
      </c>
      <c r="G47" s="64">
        <f t="shared" si="29"/>
        <v>0.375</v>
      </c>
      <c r="H47" s="176">
        <f t="shared" si="27"/>
        <v>0.55555555555555558</v>
      </c>
      <c r="I47" s="176">
        <v>0.5</v>
      </c>
      <c r="J47" s="176">
        <f t="shared" si="27"/>
        <v>0.55555555555555558</v>
      </c>
      <c r="K47" s="64">
        <v>0.5</v>
      </c>
      <c r="L47" s="64">
        <v>0.5</v>
      </c>
      <c r="M47" s="64">
        <f t="shared" ref="M47" si="30">M34/SUM(M$32:M$40)</f>
        <v>0.55555555555555558</v>
      </c>
      <c r="N47" s="64">
        <v>0.4</v>
      </c>
      <c r="O47" s="64">
        <v>0.6</v>
      </c>
    </row>
    <row r="48" spans="2:15" x14ac:dyDescent="0.15">
      <c r="B48" s="55" t="s">
        <v>280</v>
      </c>
      <c r="C48" s="64">
        <f t="shared" ref="C48:K48" si="31">C35/SUM(C$32:C$40)</f>
        <v>5.6710775047258983E-3</v>
      </c>
      <c r="D48" s="64">
        <f t="shared" si="31"/>
        <v>5.3475935828877011E-3</v>
      </c>
      <c r="E48" s="64">
        <f t="shared" si="31"/>
        <v>5.1993067590987872E-3</v>
      </c>
      <c r="F48" s="64">
        <f t="shared" si="31"/>
        <v>0</v>
      </c>
      <c r="G48" s="64">
        <f t="shared" si="31"/>
        <v>0</v>
      </c>
      <c r="H48" s="64">
        <f t="shared" si="31"/>
        <v>0</v>
      </c>
      <c r="I48" s="64">
        <f t="shared" si="31"/>
        <v>0</v>
      </c>
      <c r="J48" s="64">
        <f t="shared" si="31"/>
        <v>0</v>
      </c>
      <c r="K48" s="64">
        <f t="shared" si="31"/>
        <v>0</v>
      </c>
      <c r="L48" s="64">
        <f t="shared" ref="L48:O48" si="32">L35/SUM(L$32:L$40)</f>
        <v>0</v>
      </c>
      <c r="M48" s="64">
        <f t="shared" si="32"/>
        <v>0</v>
      </c>
      <c r="N48" s="64">
        <f t="shared" si="32"/>
        <v>0</v>
      </c>
      <c r="O48" s="64">
        <f t="shared" si="32"/>
        <v>0</v>
      </c>
    </row>
    <row r="49" spans="2:15" x14ac:dyDescent="0.15">
      <c r="B49" s="54" t="s">
        <v>281</v>
      </c>
      <c r="C49" s="64">
        <f t="shared" ref="C49:K49" si="33">C36/SUM(C$32:C$40)</f>
        <v>0</v>
      </c>
      <c r="D49" s="64">
        <f t="shared" si="33"/>
        <v>0</v>
      </c>
      <c r="E49" s="64">
        <f t="shared" si="33"/>
        <v>0</v>
      </c>
      <c r="F49" s="64">
        <f t="shared" si="33"/>
        <v>0</v>
      </c>
      <c r="G49" s="64">
        <f t="shared" si="33"/>
        <v>0</v>
      </c>
      <c r="H49" s="64">
        <f t="shared" si="33"/>
        <v>0</v>
      </c>
      <c r="I49" s="64">
        <f t="shared" si="33"/>
        <v>0</v>
      </c>
      <c r="J49" s="64">
        <f t="shared" si="33"/>
        <v>0</v>
      </c>
      <c r="K49" s="64">
        <f t="shared" si="33"/>
        <v>0</v>
      </c>
      <c r="L49" s="64">
        <f t="shared" ref="L49:O49" si="34">L36/SUM(L$32:L$40)</f>
        <v>0</v>
      </c>
      <c r="M49" s="64">
        <f t="shared" si="34"/>
        <v>0</v>
      </c>
      <c r="N49" s="64">
        <f t="shared" si="34"/>
        <v>0</v>
      </c>
      <c r="O49" s="64">
        <f t="shared" si="34"/>
        <v>0</v>
      </c>
    </row>
    <row r="50" spans="2:15" x14ac:dyDescent="0.15">
      <c r="B50" s="55" t="s">
        <v>282</v>
      </c>
      <c r="C50" s="64">
        <f t="shared" ref="C50:K50" si="35">C37/SUM(C$32:C$40)</f>
        <v>0</v>
      </c>
      <c r="D50" s="64">
        <f t="shared" si="35"/>
        <v>0</v>
      </c>
      <c r="E50" s="64">
        <f t="shared" si="35"/>
        <v>0</v>
      </c>
      <c r="F50" s="64">
        <f t="shared" si="35"/>
        <v>0</v>
      </c>
      <c r="G50" s="64">
        <f t="shared" si="35"/>
        <v>0</v>
      </c>
      <c r="H50" s="64">
        <f t="shared" si="35"/>
        <v>0</v>
      </c>
      <c r="I50" s="64">
        <f t="shared" si="35"/>
        <v>0</v>
      </c>
      <c r="J50" s="64">
        <f t="shared" si="35"/>
        <v>0</v>
      </c>
      <c r="K50" s="64">
        <f t="shared" si="35"/>
        <v>0</v>
      </c>
      <c r="L50" s="64">
        <f t="shared" ref="L50:O50" si="36">L37/SUM(L$32:L$40)</f>
        <v>0</v>
      </c>
      <c r="M50" s="64">
        <f t="shared" si="36"/>
        <v>0</v>
      </c>
      <c r="N50" s="64">
        <f t="shared" si="36"/>
        <v>0</v>
      </c>
      <c r="O50" s="64">
        <f t="shared" si="36"/>
        <v>0</v>
      </c>
    </row>
    <row r="51" spans="2:15" x14ac:dyDescent="0.15">
      <c r="B51" s="54" t="s">
        <v>283</v>
      </c>
      <c r="C51" s="64">
        <f t="shared" ref="C51:K51" si="37">C38/SUM(C$32:C$40)</f>
        <v>0</v>
      </c>
      <c r="D51" s="64">
        <f t="shared" si="37"/>
        <v>0</v>
      </c>
      <c r="E51" s="64">
        <f t="shared" si="37"/>
        <v>0</v>
      </c>
      <c r="F51" s="64">
        <f t="shared" si="37"/>
        <v>0</v>
      </c>
      <c r="G51" s="64">
        <f t="shared" si="37"/>
        <v>0</v>
      </c>
      <c r="H51" s="64">
        <f t="shared" si="37"/>
        <v>0</v>
      </c>
      <c r="I51" s="64">
        <f t="shared" si="37"/>
        <v>0</v>
      </c>
      <c r="J51" s="64">
        <f t="shared" si="37"/>
        <v>0</v>
      </c>
      <c r="K51" s="64">
        <f t="shared" si="37"/>
        <v>0</v>
      </c>
      <c r="L51" s="64">
        <f t="shared" ref="L51:O51" si="38">L38/SUM(L$32:L$40)</f>
        <v>0</v>
      </c>
      <c r="M51" s="64">
        <f t="shared" si="38"/>
        <v>0</v>
      </c>
      <c r="N51" s="64">
        <f t="shared" si="38"/>
        <v>0</v>
      </c>
      <c r="O51" s="64">
        <f t="shared" si="38"/>
        <v>0</v>
      </c>
    </row>
    <row r="52" spans="2:15" x14ac:dyDescent="0.15">
      <c r="B52" s="55" t="s">
        <v>284</v>
      </c>
      <c r="C52" s="64">
        <f t="shared" ref="C52:K52" si="39">C39/SUM(C$32:C$40)</f>
        <v>1.890359168241966E-2</v>
      </c>
      <c r="D52" s="64">
        <f t="shared" si="39"/>
        <v>1.7825311942959002E-2</v>
      </c>
      <c r="E52" s="64">
        <f t="shared" si="39"/>
        <v>1.7331022530329292E-2</v>
      </c>
      <c r="F52" s="64">
        <f t="shared" si="39"/>
        <v>0</v>
      </c>
      <c r="G52" s="64">
        <f t="shared" si="39"/>
        <v>0</v>
      </c>
      <c r="H52" s="64">
        <f t="shared" si="39"/>
        <v>0</v>
      </c>
      <c r="I52" s="64">
        <f t="shared" si="39"/>
        <v>0</v>
      </c>
      <c r="J52" s="64">
        <f t="shared" si="39"/>
        <v>0</v>
      </c>
      <c r="K52" s="64">
        <f t="shared" si="39"/>
        <v>0</v>
      </c>
      <c r="L52" s="64">
        <f t="shared" ref="L52:O52" si="40">L39/SUM(L$32:L$40)</f>
        <v>0</v>
      </c>
      <c r="M52" s="64">
        <f t="shared" si="40"/>
        <v>0</v>
      </c>
      <c r="N52" s="64">
        <f t="shared" si="40"/>
        <v>0</v>
      </c>
      <c r="O52" s="64">
        <f t="shared" si="40"/>
        <v>0</v>
      </c>
    </row>
    <row r="53" spans="2:15" x14ac:dyDescent="0.15">
      <c r="B53" s="54" t="s">
        <v>285</v>
      </c>
      <c r="C53" s="64">
        <f t="shared" ref="C53:K53" si="41">C40/SUM(C$32:C$40)</f>
        <v>0.3780718336483932</v>
      </c>
      <c r="D53" s="64">
        <f t="shared" si="41"/>
        <v>0.42780748663101609</v>
      </c>
      <c r="E53" s="64">
        <f t="shared" si="41"/>
        <v>0.41594454072790299</v>
      </c>
      <c r="F53" s="64">
        <f t="shared" si="41"/>
        <v>0</v>
      </c>
      <c r="G53" s="64">
        <f t="shared" si="41"/>
        <v>0</v>
      </c>
      <c r="H53" s="64">
        <f t="shared" si="41"/>
        <v>0</v>
      </c>
      <c r="I53" s="64">
        <f t="shared" si="41"/>
        <v>0</v>
      </c>
      <c r="J53" s="64">
        <f t="shared" si="41"/>
        <v>0</v>
      </c>
      <c r="K53" s="64">
        <f t="shared" si="41"/>
        <v>0</v>
      </c>
      <c r="L53" s="64">
        <f t="shared" ref="L53:O53" si="42">L40/SUM(L$32:L$40)</f>
        <v>0</v>
      </c>
      <c r="M53" s="64">
        <f t="shared" si="42"/>
        <v>0</v>
      </c>
      <c r="N53" s="64">
        <f t="shared" si="42"/>
        <v>0</v>
      </c>
      <c r="O53" s="64">
        <f t="shared" si="42"/>
        <v>0</v>
      </c>
    </row>
    <row r="56" spans="2:15" x14ac:dyDescent="0.15">
      <c r="B56" s="173">
        <v>1</v>
      </c>
      <c r="C56" s="173">
        <v>2</v>
      </c>
      <c r="D56" s="173">
        <v>3</v>
      </c>
      <c r="E56" s="173">
        <v>4</v>
      </c>
      <c r="F56" s="173">
        <v>5</v>
      </c>
      <c r="G56" s="173">
        <v>6</v>
      </c>
      <c r="H56" s="173">
        <v>7</v>
      </c>
      <c r="I56" s="173">
        <v>8</v>
      </c>
      <c r="J56" s="173">
        <v>9</v>
      </c>
      <c r="K56" s="173">
        <v>10</v>
      </c>
      <c r="L56" s="173">
        <v>11</v>
      </c>
      <c r="M56" s="173">
        <v>12</v>
      </c>
      <c r="N56" s="173">
        <v>13</v>
      </c>
      <c r="O56" s="173">
        <v>14</v>
      </c>
    </row>
    <row r="57" spans="2:15" x14ac:dyDescent="0.15">
      <c r="B57" s="173" t="s">
        <v>465</v>
      </c>
      <c r="C57" s="173" t="s">
        <v>466</v>
      </c>
      <c r="D57" s="173" t="s">
        <v>467</v>
      </c>
      <c r="E57" s="173" t="s">
        <v>468</v>
      </c>
      <c r="F57" s="173" t="s">
        <v>469</v>
      </c>
      <c r="G57" s="173" t="s">
        <v>470</v>
      </c>
      <c r="H57" s="173" t="s">
        <v>471</v>
      </c>
      <c r="I57" s="173" t="s">
        <v>472</v>
      </c>
      <c r="J57" s="173" t="s">
        <v>473</v>
      </c>
      <c r="K57" s="173" t="s">
        <v>488</v>
      </c>
      <c r="L57" s="173" t="s">
        <v>489</v>
      </c>
      <c r="M57" s="173" t="s">
        <v>476</v>
      </c>
      <c r="N57" s="173" t="s">
        <v>477</v>
      </c>
      <c r="O57" s="173" t="s">
        <v>478</v>
      </c>
    </row>
    <row r="58" spans="2:15" x14ac:dyDescent="0.15">
      <c r="B58" s="173" t="s">
        <v>479</v>
      </c>
      <c r="C58" s="174">
        <v>0.1658</v>
      </c>
      <c r="D58" s="174">
        <v>0.1031</v>
      </c>
      <c r="E58" s="174">
        <v>0.12559999999999999</v>
      </c>
      <c r="F58" s="174">
        <v>0.20250000000000001</v>
      </c>
      <c r="G58" s="174">
        <v>0.25</v>
      </c>
      <c r="H58" s="174">
        <v>0.2034</v>
      </c>
      <c r="I58" s="174">
        <v>0.2</v>
      </c>
      <c r="J58" s="174">
        <v>0.2034</v>
      </c>
      <c r="K58" s="174">
        <v>0.16669999999999999</v>
      </c>
      <c r="L58" s="174">
        <v>0.16669999999999999</v>
      </c>
      <c r="M58" s="174">
        <v>0</v>
      </c>
      <c r="N58" s="174">
        <v>0</v>
      </c>
      <c r="O58" s="174">
        <v>0</v>
      </c>
    </row>
    <row r="59" spans="2:15" x14ac:dyDescent="0.15">
      <c r="B59" s="173" t="s">
        <v>480</v>
      </c>
      <c r="C59" s="174">
        <v>0.20730000000000001</v>
      </c>
      <c r="D59" s="174">
        <v>0.2319</v>
      </c>
      <c r="E59" s="174">
        <v>0.2261</v>
      </c>
      <c r="F59" s="174">
        <v>0.30380000000000001</v>
      </c>
      <c r="G59" s="174">
        <v>0.375</v>
      </c>
      <c r="H59" s="174">
        <v>0.2034</v>
      </c>
      <c r="I59" s="174">
        <v>0</v>
      </c>
      <c r="J59" s="174">
        <v>0.2034</v>
      </c>
      <c r="K59" s="174">
        <v>0</v>
      </c>
      <c r="L59" s="174">
        <v>0</v>
      </c>
      <c r="M59" s="174">
        <v>0</v>
      </c>
      <c r="N59" s="174">
        <v>0</v>
      </c>
      <c r="O59" s="174">
        <v>0</v>
      </c>
    </row>
    <row r="60" spans="2:15" x14ac:dyDescent="0.15">
      <c r="B60" s="173" t="s">
        <v>481</v>
      </c>
      <c r="C60" s="174">
        <v>0.17269999999999999</v>
      </c>
      <c r="D60" s="174">
        <v>0.161</v>
      </c>
      <c r="E60" s="174">
        <v>0.157</v>
      </c>
      <c r="F60" s="174">
        <v>0.30380000000000001</v>
      </c>
      <c r="G60" s="174">
        <v>0.375</v>
      </c>
      <c r="H60" s="174">
        <v>0.50849999999999995</v>
      </c>
      <c r="I60" s="174">
        <v>0.5</v>
      </c>
      <c r="J60" s="174">
        <v>0.50849999999999995</v>
      </c>
      <c r="K60" s="174">
        <v>0.5</v>
      </c>
      <c r="L60" s="174">
        <v>0.5</v>
      </c>
      <c r="M60" s="174">
        <v>0</v>
      </c>
      <c r="N60" s="174">
        <v>0.4</v>
      </c>
      <c r="O60" s="174">
        <v>0.6</v>
      </c>
    </row>
    <row r="61" spans="2:15" x14ac:dyDescent="0.15">
      <c r="B61" s="173" t="s">
        <v>482</v>
      </c>
      <c r="C61" s="174">
        <v>5.1999999999999998E-3</v>
      </c>
      <c r="D61" s="174">
        <v>4.7999999999999996E-3</v>
      </c>
      <c r="E61" s="174">
        <v>4.7000000000000002E-3</v>
      </c>
      <c r="F61" s="174">
        <v>0</v>
      </c>
      <c r="G61" s="174">
        <v>0</v>
      </c>
      <c r="H61" s="174">
        <v>0</v>
      </c>
      <c r="I61" s="174">
        <v>0</v>
      </c>
      <c r="J61" s="174">
        <v>0</v>
      </c>
      <c r="K61" s="174">
        <v>0</v>
      </c>
      <c r="L61" s="174">
        <v>0</v>
      </c>
      <c r="M61" s="174">
        <v>0</v>
      </c>
      <c r="N61" s="174">
        <v>0</v>
      </c>
      <c r="O61" s="174">
        <v>0</v>
      </c>
    </row>
    <row r="62" spans="2:15" x14ac:dyDescent="0.15">
      <c r="B62" s="173" t="s">
        <v>483</v>
      </c>
      <c r="C62" s="174">
        <v>0</v>
      </c>
      <c r="D62" s="174">
        <v>0</v>
      </c>
      <c r="E62" s="174">
        <v>0</v>
      </c>
      <c r="F62" s="174">
        <v>0</v>
      </c>
      <c r="G62" s="174">
        <v>0</v>
      </c>
      <c r="H62" s="174">
        <v>0</v>
      </c>
      <c r="I62" s="174">
        <v>0</v>
      </c>
      <c r="J62" s="174">
        <v>0</v>
      </c>
      <c r="K62" s="174">
        <v>0</v>
      </c>
      <c r="L62" s="174">
        <v>0</v>
      </c>
      <c r="M62" s="174">
        <v>0</v>
      </c>
      <c r="N62" s="174">
        <v>0</v>
      </c>
      <c r="O62" s="174">
        <v>0</v>
      </c>
    </row>
    <row r="63" spans="2:15" x14ac:dyDescent="0.15">
      <c r="B63" s="173" t="s">
        <v>484</v>
      </c>
      <c r="C63" s="174">
        <v>0</v>
      </c>
      <c r="D63" s="174">
        <v>0</v>
      </c>
      <c r="E63" s="174">
        <v>0</v>
      </c>
      <c r="F63" s="174">
        <v>0</v>
      </c>
      <c r="G63" s="174">
        <v>0</v>
      </c>
      <c r="H63" s="174">
        <v>0</v>
      </c>
      <c r="I63" s="174">
        <v>0</v>
      </c>
      <c r="J63" s="174">
        <v>0</v>
      </c>
      <c r="K63" s="174">
        <v>0</v>
      </c>
      <c r="L63" s="174">
        <v>0</v>
      </c>
      <c r="M63" s="174">
        <v>0</v>
      </c>
      <c r="N63" s="174">
        <v>0</v>
      </c>
      <c r="O63" s="174">
        <v>0</v>
      </c>
    </row>
    <row r="64" spans="2:15" x14ac:dyDescent="0.15">
      <c r="B64" s="173" t="s">
        <v>485</v>
      </c>
      <c r="C64" s="174">
        <v>0</v>
      </c>
      <c r="D64" s="174">
        <v>0</v>
      </c>
      <c r="E64" s="174">
        <v>0</v>
      </c>
      <c r="F64" s="174">
        <v>0</v>
      </c>
      <c r="G64" s="174">
        <v>0</v>
      </c>
      <c r="H64" s="174">
        <v>0</v>
      </c>
      <c r="I64" s="174">
        <v>0</v>
      </c>
      <c r="J64" s="174">
        <v>0</v>
      </c>
      <c r="K64" s="174">
        <v>0</v>
      </c>
      <c r="L64" s="174">
        <v>0</v>
      </c>
      <c r="M64" s="174">
        <v>0</v>
      </c>
      <c r="N64" s="174">
        <v>0</v>
      </c>
      <c r="O64" s="174">
        <v>0</v>
      </c>
    </row>
    <row r="65" spans="2:15" x14ac:dyDescent="0.15">
      <c r="B65" s="173" t="s">
        <v>486</v>
      </c>
      <c r="C65" s="174">
        <v>1.7299999999999999E-2</v>
      </c>
      <c r="D65" s="174">
        <v>1.61E-2</v>
      </c>
      <c r="E65" s="174">
        <v>1.5699999999999999E-2</v>
      </c>
      <c r="F65" s="174">
        <v>0</v>
      </c>
      <c r="G65" s="174">
        <v>0</v>
      </c>
      <c r="H65" s="174">
        <v>0</v>
      </c>
      <c r="I65" s="174">
        <v>0</v>
      </c>
      <c r="J65" s="174">
        <v>0</v>
      </c>
      <c r="K65" s="174">
        <v>0</v>
      </c>
      <c r="L65" s="174">
        <v>0</v>
      </c>
      <c r="M65" s="174">
        <v>0</v>
      </c>
      <c r="N65" s="174">
        <v>0</v>
      </c>
      <c r="O65" s="174">
        <v>0</v>
      </c>
    </row>
    <row r="66" spans="2:15" x14ac:dyDescent="0.15">
      <c r="B66" s="173" t="s">
        <v>487</v>
      </c>
      <c r="C66" s="174">
        <v>0.43180000000000002</v>
      </c>
      <c r="D66" s="174">
        <v>0.48309999999999997</v>
      </c>
      <c r="E66" s="174">
        <v>0.47099999999999997</v>
      </c>
      <c r="F66" s="174">
        <v>0.18990000000000001</v>
      </c>
      <c r="G66" s="174">
        <v>0</v>
      </c>
      <c r="H66" s="174">
        <v>8.4699999999999998E-2</v>
      </c>
      <c r="I66" s="174">
        <v>0.3</v>
      </c>
      <c r="J66" s="174">
        <v>8.4699999999999998E-2</v>
      </c>
      <c r="K66" s="174">
        <v>0.33329999999999999</v>
      </c>
      <c r="L66" s="174">
        <v>0.33329999999999999</v>
      </c>
      <c r="M66" s="174">
        <v>1</v>
      </c>
      <c r="N66" s="174">
        <v>0.6</v>
      </c>
      <c r="O66" s="174">
        <v>0.4</v>
      </c>
    </row>
  </sheetData>
  <mergeCells count="20">
    <mergeCell ref="B42:C42"/>
    <mergeCell ref="R27:U27"/>
    <mergeCell ref="R25:U25"/>
    <mergeCell ref="R26:U26"/>
    <mergeCell ref="P11:Q11"/>
    <mergeCell ref="P12:Q12"/>
    <mergeCell ref="R19:U19"/>
    <mergeCell ref="R20:U20"/>
    <mergeCell ref="R21:U21"/>
    <mergeCell ref="R22:U22"/>
    <mergeCell ref="P7:Q7"/>
    <mergeCell ref="P8:Q8"/>
    <mergeCell ref="P9:Q9"/>
    <mergeCell ref="P10:Q10"/>
    <mergeCell ref="R23:U23"/>
    <mergeCell ref="P2:Q2"/>
    <mergeCell ref="P3:Q3"/>
    <mergeCell ref="P4:Q4"/>
    <mergeCell ref="P5:Q5"/>
    <mergeCell ref="P6:Q6"/>
  </mergeCells>
  <phoneticPr fontId="1" type="noConversion"/>
  <conditionalFormatting sqref="C19:O27">
    <cfRule type="cellIs" dxfId="112" priority="203" operator="greaterThan">
      <formula>0</formula>
    </cfRule>
  </conditionalFormatting>
  <conditionalFormatting sqref="C45:C53">
    <cfRule type="top10" dxfId="111" priority="27" bottom="1" rank="3"/>
    <cfRule type="top10" dxfId="110" priority="28" rank="3"/>
  </conditionalFormatting>
  <conditionalFormatting sqref="D45:D53">
    <cfRule type="top10" dxfId="109" priority="25" bottom="1" rank="3"/>
    <cfRule type="top10" dxfId="108" priority="26" rank="3"/>
  </conditionalFormatting>
  <conditionalFormatting sqref="E45:E53">
    <cfRule type="top10" dxfId="107" priority="23" bottom="1" rank="3"/>
    <cfRule type="top10" dxfId="106" priority="24" rank="3"/>
  </conditionalFormatting>
  <conditionalFormatting sqref="F45:F53">
    <cfRule type="top10" dxfId="105" priority="21" bottom="1" rank="3"/>
    <cfRule type="top10" dxfId="104" priority="22" rank="3"/>
  </conditionalFormatting>
  <conditionalFormatting sqref="G45:G53">
    <cfRule type="top10" dxfId="103" priority="19" bottom="1" rank="3"/>
    <cfRule type="top10" dxfId="102" priority="20" rank="3"/>
  </conditionalFormatting>
  <conditionalFormatting sqref="H45:H53">
    <cfRule type="top10" dxfId="101" priority="17" bottom="1" rank="3"/>
    <cfRule type="top10" dxfId="100" priority="18" rank="3"/>
  </conditionalFormatting>
  <conditionalFormatting sqref="I45:I53">
    <cfRule type="top10" dxfId="99" priority="15" bottom="1" rank="3"/>
    <cfRule type="top10" dxfId="98" priority="16" rank="3"/>
  </conditionalFormatting>
  <conditionalFormatting sqref="J45:J53">
    <cfRule type="top10" dxfId="97" priority="13" bottom="1" rank="3"/>
    <cfRule type="top10" dxfId="96" priority="14" rank="3"/>
  </conditionalFormatting>
  <conditionalFormatting sqref="K45:K53">
    <cfRule type="top10" dxfId="95" priority="11" bottom="1" rank="3"/>
    <cfRule type="top10" dxfId="94" priority="12" rank="3"/>
  </conditionalFormatting>
  <conditionalFormatting sqref="L45:L53">
    <cfRule type="top10" dxfId="93" priority="208" bottom="1" rank="3"/>
    <cfRule type="top10" dxfId="92" priority="209" rank="3"/>
  </conditionalFormatting>
  <conditionalFormatting sqref="C32:O40">
    <cfRule type="top10" dxfId="91" priority="210" bottom="1" rank="3"/>
    <cfRule type="top10" dxfId="90" priority="211" rank="3"/>
  </conditionalFormatting>
  <conditionalFormatting sqref="M45:M53">
    <cfRule type="top10" dxfId="89" priority="5" bottom="1" rank="3"/>
    <cfRule type="top10" dxfId="88" priority="6" rank="3"/>
  </conditionalFormatting>
  <conditionalFormatting sqref="N45:N53">
    <cfRule type="top10" dxfId="87" priority="3" bottom="1" rank="3"/>
    <cfRule type="top10" dxfId="86" priority="4" rank="3"/>
  </conditionalFormatting>
  <conditionalFormatting sqref="O45:O53">
    <cfRule type="top10" dxfId="85" priority="1" bottom="1" rank="3"/>
    <cfRule type="top10" dxfId="84" priority="2" rank="3"/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O26"/>
  <sheetViews>
    <sheetView topLeftCell="C1" workbookViewId="0">
      <selection activeCell="G39" sqref="G39"/>
    </sheetView>
  </sheetViews>
  <sheetFormatPr defaultRowHeight="13.5" x14ac:dyDescent="0.15"/>
  <cols>
    <col min="2" max="2" width="16.625" customWidth="1"/>
    <col min="3" max="3" width="22.625" customWidth="1"/>
    <col min="4" max="11" width="13.875" bestFit="1" customWidth="1"/>
    <col min="12" max="12" width="13.875" customWidth="1"/>
    <col min="13" max="13" width="11.75" bestFit="1" customWidth="1"/>
    <col min="14" max="14" width="13.875" customWidth="1"/>
    <col min="15" max="15" width="13.75" customWidth="1"/>
  </cols>
  <sheetData>
    <row r="1" spans="2:15" x14ac:dyDescent="0.15">
      <c r="C1" s="96" t="s">
        <v>179</v>
      </c>
      <c r="D1" s="96" t="s">
        <v>11</v>
      </c>
      <c r="E1" s="96" t="s">
        <v>12</v>
      </c>
      <c r="F1" s="96" t="s">
        <v>183</v>
      </c>
      <c r="G1" s="96" t="s">
        <v>182</v>
      </c>
      <c r="H1" s="96" t="s">
        <v>197</v>
      </c>
      <c r="I1" s="96" t="s">
        <v>189</v>
      </c>
      <c r="J1" s="96" t="s">
        <v>185</v>
      </c>
      <c r="K1" s="75" t="s">
        <v>186</v>
      </c>
      <c r="L1" s="75" t="s">
        <v>199</v>
      </c>
      <c r="M1" s="40" t="s">
        <v>353</v>
      </c>
      <c r="N1" s="40" t="s">
        <v>346</v>
      </c>
      <c r="O1" s="40" t="s">
        <v>348</v>
      </c>
    </row>
    <row r="2" spans="2:15" ht="14.25" thickBot="1" x14ac:dyDescent="0.2">
      <c r="B2" s="67" t="s">
        <v>442</v>
      </c>
      <c r="C2" s="150">
        <f>人物总属性查询表!C83</f>
        <v>2073582.6544695653</v>
      </c>
      <c r="D2" s="150">
        <f>人物总属性查询表!D83</f>
        <v>93078.720000000016</v>
      </c>
      <c r="E2" s="150">
        <f>人物总属性查询表!E83</f>
        <v>41368.320000000007</v>
      </c>
      <c r="F2" s="150">
        <f>人物总属性查询表!F83</f>
        <v>50000</v>
      </c>
      <c r="G2" s="150">
        <f>人物总属性查询表!G83</f>
        <v>50000</v>
      </c>
      <c r="H2" s="150">
        <f>人物总属性查询表!H83</f>
        <v>50000</v>
      </c>
      <c r="I2" s="150">
        <f>人物总属性查询表!I83</f>
        <v>50000</v>
      </c>
      <c r="J2" s="150">
        <f>人物总属性查询表!J83</f>
        <v>50000</v>
      </c>
      <c r="K2" s="150">
        <f>人物总属性查询表!K83</f>
        <v>20000</v>
      </c>
      <c r="L2" s="150">
        <f>人物总属性查询表!L83</f>
        <v>20000</v>
      </c>
      <c r="M2" s="150">
        <f>人物总属性查询表!M83</f>
        <v>10000</v>
      </c>
      <c r="N2" s="150">
        <f>人物总属性查询表!N83</f>
        <v>20000</v>
      </c>
      <c r="O2" s="150">
        <f>人物总属性查询表!O83</f>
        <v>20000</v>
      </c>
    </row>
    <row r="3" spans="2:15" x14ac:dyDescent="0.15">
      <c r="B3" s="98" t="s">
        <v>301</v>
      </c>
      <c r="C3" s="151">
        <f>龙魂规划!I33</f>
        <v>229739.12710775033</v>
      </c>
      <c r="D3" s="151">
        <f>龙魂规划!J33</f>
        <v>5878.1570053475907</v>
      </c>
      <c r="E3" s="151">
        <f>龙魂规划!K33</f>
        <v>3175.0876949740014</v>
      </c>
      <c r="F3" s="151">
        <f>龙魂规划!L33</f>
        <v>5859.375</v>
      </c>
      <c r="G3" s="151">
        <f>龙魂规划!M33</f>
        <v>5859.375</v>
      </c>
      <c r="H3" s="132">
        <f>龙魂规划!N33</f>
        <v>5208.333333333333</v>
      </c>
      <c r="I3" s="132">
        <f>龙魂规划!O33</f>
        <v>6696.4285714285706</v>
      </c>
      <c r="J3" s="132">
        <f>龙魂规划!P33</f>
        <v>5208.333333333333</v>
      </c>
      <c r="K3" s="132">
        <f>龙魂规划!Q33</f>
        <v>2343.75</v>
      </c>
      <c r="L3" s="132">
        <f>龙魂规划!R33</f>
        <v>2343.75</v>
      </c>
      <c r="M3" s="132">
        <f>龙魂规划!S34</f>
        <v>0</v>
      </c>
      <c r="N3" s="132">
        <f>龙魂规划!T34</f>
        <v>0</v>
      </c>
      <c r="O3" s="132">
        <f>龙魂规划!U34</f>
        <v>0</v>
      </c>
    </row>
    <row r="4" spans="2:15" x14ac:dyDescent="0.15">
      <c r="B4" s="99" t="s">
        <v>43</v>
      </c>
      <c r="C4" s="68" t="e">
        <f>装备规划!#REF!</f>
        <v>#REF!</v>
      </c>
      <c r="D4" s="68" t="e">
        <f>装备规划!#REF!</f>
        <v>#REF!</v>
      </c>
      <c r="E4" s="68" t="e">
        <f>装备规划!#REF!</f>
        <v>#REF!</v>
      </c>
      <c r="F4" s="68" t="e">
        <f>装备规划!#REF!</f>
        <v>#REF!</v>
      </c>
      <c r="G4" s="68" t="e">
        <f>装备规划!#REF!</f>
        <v>#REF!</v>
      </c>
      <c r="H4" s="133" t="e">
        <f>装备规划!#REF!</f>
        <v>#REF!</v>
      </c>
      <c r="I4" s="133" t="e">
        <f>装备规划!#REF!</f>
        <v>#REF!</v>
      </c>
      <c r="J4" s="133" t="e">
        <f>装备规划!#REF!</f>
        <v>#REF!</v>
      </c>
      <c r="K4" s="133" t="e">
        <f>装备规划!#REF!</f>
        <v>#REF!</v>
      </c>
      <c r="L4" s="134" t="e">
        <f>装备规划!#REF!</f>
        <v>#REF!</v>
      </c>
      <c r="M4" s="134" t="e">
        <f>装备规划!#REF!</f>
        <v>#REF!</v>
      </c>
      <c r="N4" s="134" t="e">
        <f>装备规划!#REF!</f>
        <v>#REF!</v>
      </c>
      <c r="O4" s="134" t="e">
        <f>装备规划!#REF!</f>
        <v>#REF!</v>
      </c>
    </row>
    <row r="5" spans="2:15" x14ac:dyDescent="0.15">
      <c r="B5" s="99" t="s">
        <v>279</v>
      </c>
      <c r="C5" s="68">
        <f>命格规划!H32</f>
        <v>638164.24196597305</v>
      </c>
      <c r="D5" s="68">
        <f>命格规划!I32</f>
        <v>24492.320855614958</v>
      </c>
      <c r="E5" s="68">
        <f>命格规划!J32</f>
        <v>10583.625649913338</v>
      </c>
      <c r="F5" s="68">
        <f>命格规划!K32</f>
        <v>23437.5</v>
      </c>
      <c r="G5" s="68">
        <f>命格规划!L32</f>
        <v>23437.5</v>
      </c>
      <c r="H5" s="133">
        <f>命格规划!M32</f>
        <v>34722.222222222226</v>
      </c>
      <c r="I5" s="133">
        <f>命格规划!N32</f>
        <v>31250</v>
      </c>
      <c r="J5" s="133">
        <f>命格规划!O32</f>
        <v>34722.222222222226</v>
      </c>
      <c r="K5" s="133">
        <f>命格规划!P32</f>
        <v>12500</v>
      </c>
      <c r="L5" s="134">
        <f>命格规划!Q32</f>
        <v>12500</v>
      </c>
      <c r="M5" s="134">
        <f>命格规划!R32</f>
        <v>6944.4444444444443</v>
      </c>
      <c r="N5" s="134">
        <f>命格规划!S32</f>
        <v>10000</v>
      </c>
      <c r="O5" s="134">
        <f>命格规划!T32</f>
        <v>15000</v>
      </c>
    </row>
    <row r="6" spans="2:15" x14ac:dyDescent="0.15">
      <c r="B6" s="99" t="s">
        <v>280</v>
      </c>
      <c r="C6" s="68">
        <f>称号规划!K16</f>
        <v>19144.927258979194</v>
      </c>
      <c r="D6" s="68">
        <f>称号规划!L16</f>
        <v>734.76962566844873</v>
      </c>
      <c r="E6" s="68">
        <f>称号规划!M16</f>
        <v>317.50876949740012</v>
      </c>
      <c r="F6" s="68">
        <f>称号规划!N16</f>
        <v>0</v>
      </c>
      <c r="G6" s="68">
        <f>称号规划!O16</f>
        <v>0</v>
      </c>
      <c r="H6" s="133">
        <f>称号规划!P16</f>
        <v>0</v>
      </c>
      <c r="I6" s="133">
        <f>称号规划!Q16</f>
        <v>0</v>
      </c>
      <c r="J6" s="133">
        <f>称号规划!R16</f>
        <v>0</v>
      </c>
      <c r="K6" s="133">
        <f>称号规划!S16</f>
        <v>0</v>
      </c>
      <c r="L6" s="134">
        <f>称号规划!T16</f>
        <v>0</v>
      </c>
      <c r="M6" s="134">
        <f>称号规划!U16</f>
        <v>0</v>
      </c>
      <c r="N6" s="134">
        <f>称号规划!V16</f>
        <v>0</v>
      </c>
      <c r="O6" s="134">
        <f>称号规划!W16</f>
        <v>0</v>
      </c>
    </row>
    <row r="7" spans="2:15" x14ac:dyDescent="0.15">
      <c r="B7" s="99" t="s">
        <v>281</v>
      </c>
      <c r="C7" s="68" t="e">
        <f>时装规划!G24</f>
        <v>#DIV/0!</v>
      </c>
      <c r="D7" s="68" t="e">
        <f>时装规划!H24</f>
        <v>#DIV/0!</v>
      </c>
      <c r="E7" s="68" t="e">
        <f>时装规划!I24</f>
        <v>#DIV/0!</v>
      </c>
      <c r="F7" s="68" t="e">
        <f>时装规划!J24</f>
        <v>#DIV/0!</v>
      </c>
      <c r="G7" s="68" t="e">
        <f>时装规划!K24</f>
        <v>#DIV/0!</v>
      </c>
      <c r="H7" s="133" t="e">
        <f>时装规划!L24</f>
        <v>#DIV/0!</v>
      </c>
      <c r="I7" s="133" t="e">
        <f>时装规划!M24</f>
        <v>#DIV/0!</v>
      </c>
      <c r="J7" s="133" t="e">
        <f>时装规划!N24</f>
        <v>#DIV/0!</v>
      </c>
      <c r="K7" s="133" t="e">
        <f>时装规划!O24</f>
        <v>#DIV/0!</v>
      </c>
      <c r="L7" s="134" t="e">
        <f>时装规划!P24</f>
        <v>#DIV/0!</v>
      </c>
      <c r="M7" s="134" t="e">
        <f>时装规划!Q24</f>
        <v>#DIV/0!</v>
      </c>
      <c r="N7" s="134" t="e">
        <f>时装规划!R24</f>
        <v>#DIV/0!</v>
      </c>
      <c r="O7" s="134" t="e">
        <f>时装规划!S24</f>
        <v>#DIV/0!</v>
      </c>
    </row>
    <row r="8" spans="2:15" x14ac:dyDescent="0.15">
      <c r="B8" s="99" t="s">
        <v>282</v>
      </c>
      <c r="C8" s="68" t="e">
        <f>祥云!H26</f>
        <v>#DIV/0!</v>
      </c>
      <c r="D8" s="68" t="e">
        <f>祥云!I26</f>
        <v>#DIV/0!</v>
      </c>
      <c r="E8" s="68" t="e">
        <f>祥云!J26</f>
        <v>#DIV/0!</v>
      </c>
      <c r="F8" s="68" t="e">
        <f>祥云!K26</f>
        <v>#DIV/0!</v>
      </c>
      <c r="G8" s="68" t="e">
        <f>祥云!L26</f>
        <v>#DIV/0!</v>
      </c>
      <c r="H8" s="133" t="e">
        <f>祥云!M26</f>
        <v>#DIV/0!</v>
      </c>
      <c r="I8" s="133" t="e">
        <f>祥云!N26</f>
        <v>#DIV/0!</v>
      </c>
      <c r="J8" s="133" t="e">
        <f>祥云!O26</f>
        <v>#DIV/0!</v>
      </c>
      <c r="K8" s="133" t="e">
        <f>祥云!P26</f>
        <v>#DIV/0!</v>
      </c>
      <c r="L8" s="134" t="e">
        <f>祥云!Q26</f>
        <v>#DIV/0!</v>
      </c>
      <c r="M8" s="134" t="e">
        <f>祥云!R26</f>
        <v>#DIV/0!</v>
      </c>
      <c r="N8" s="134" t="e">
        <f>祥云!S26</f>
        <v>#DIV/0!</v>
      </c>
      <c r="O8" s="134" t="e">
        <f>祥云!T26</f>
        <v>#DIV/0!</v>
      </c>
    </row>
    <row r="9" spans="2:15" x14ac:dyDescent="0.15">
      <c r="B9" s="99" t="s">
        <v>283</v>
      </c>
      <c r="C9" s="68" t="e">
        <f>翅膀规划!H24</f>
        <v>#DIV/0!</v>
      </c>
      <c r="D9" s="68" t="e">
        <f>翅膀规划!I24</f>
        <v>#DIV/0!</v>
      </c>
      <c r="E9" s="68" t="e">
        <f>翅膀规划!J24</f>
        <v>#DIV/0!</v>
      </c>
      <c r="F9" s="68" t="e">
        <f>翅膀规划!K24</f>
        <v>#DIV/0!</v>
      </c>
      <c r="G9" s="68" t="e">
        <f>翅膀规划!L24</f>
        <v>#DIV/0!</v>
      </c>
      <c r="H9" s="133" t="e">
        <f>翅膀规划!M24</f>
        <v>#DIV/0!</v>
      </c>
      <c r="I9" s="133" t="e">
        <f>翅膀规划!N24</f>
        <v>#DIV/0!</v>
      </c>
      <c r="J9" s="133" t="e">
        <f>翅膀规划!O24</f>
        <v>#DIV/0!</v>
      </c>
      <c r="K9" s="133" t="e">
        <f>翅膀规划!P24</f>
        <v>#DIV/0!</v>
      </c>
      <c r="L9" s="134" t="e">
        <f>翅膀规划!Q24</f>
        <v>#DIV/0!</v>
      </c>
      <c r="M9" s="134" t="e">
        <f>翅膀规划!R24</f>
        <v>#DIV/0!</v>
      </c>
      <c r="N9" s="134" t="e">
        <f>翅膀规划!S24</f>
        <v>#DIV/0!</v>
      </c>
      <c r="O9" s="134" t="e">
        <f>翅膀规划!T24</f>
        <v>#DIV/0!</v>
      </c>
    </row>
    <row r="10" spans="2:15" x14ac:dyDescent="0.15">
      <c r="B10" s="99" t="s">
        <v>284</v>
      </c>
      <c r="C10" s="68">
        <f>'4、人物躶体&amp;总属性表'!C104</f>
        <v>86303.999999999942</v>
      </c>
      <c r="D10" s="68">
        <f>'4、人物躶体&amp;总属性表'!D104</f>
        <v>2678.3999999999983</v>
      </c>
      <c r="E10" s="68">
        <f>'4、人物躶体&amp;总属性表'!E104</f>
        <v>1190.3999999999992</v>
      </c>
      <c r="F10" s="68"/>
      <c r="G10" s="68"/>
      <c r="H10" s="133"/>
      <c r="I10" s="133"/>
      <c r="J10" s="133"/>
      <c r="K10" s="133"/>
      <c r="L10" s="133"/>
      <c r="M10" s="133"/>
      <c r="N10" s="133"/>
      <c r="O10" s="133"/>
    </row>
    <row r="11" spans="2:15" ht="14.25" thickBot="1" x14ac:dyDescent="0.2">
      <c r="B11" s="100" t="s">
        <v>285</v>
      </c>
      <c r="C11" s="152">
        <f ca="1">马仔规划!K52</f>
        <v>1276328.4839319463</v>
      </c>
      <c r="D11" s="152">
        <f ca="1">马仔规划!L52</f>
        <v>58781.570053475909</v>
      </c>
      <c r="E11" s="152">
        <f ca="1">马仔规划!M52</f>
        <v>25400.701559792018</v>
      </c>
      <c r="F11" s="152">
        <f ca="1">马仔规划!N52</f>
        <v>0</v>
      </c>
      <c r="G11" s="152">
        <f ca="1">马仔规划!O52</f>
        <v>0</v>
      </c>
      <c r="H11" s="135">
        <f ca="1">马仔规划!P52</f>
        <v>0</v>
      </c>
      <c r="I11" s="135">
        <f ca="1">马仔规划!Q52</f>
        <v>0</v>
      </c>
      <c r="J11" s="135">
        <f ca="1">马仔规划!R52</f>
        <v>0</v>
      </c>
      <c r="K11" s="135">
        <f ca="1">马仔规划!S52</f>
        <v>0</v>
      </c>
      <c r="L11" s="136">
        <f ca="1">马仔规划!T52</f>
        <v>0</v>
      </c>
      <c r="M11" s="136">
        <f ca="1">马仔规划!U52</f>
        <v>0</v>
      </c>
      <c r="N11" s="136">
        <f ca="1">马仔规划!V52</f>
        <v>0</v>
      </c>
      <c r="O11" s="136">
        <f ca="1">马仔规划!W52</f>
        <v>0</v>
      </c>
    </row>
    <row r="12" spans="2:15" x14ac:dyDescent="0.15">
      <c r="B12" s="74" t="s">
        <v>307</v>
      </c>
      <c r="C12" s="97" t="e">
        <f>SUM(C3:C11)-C2</f>
        <v>#REF!</v>
      </c>
      <c r="D12" s="97" t="e">
        <f t="shared" ref="D12:O12" si="0">SUM(D3:D11)-D2</f>
        <v>#REF!</v>
      </c>
      <c r="E12" s="97" t="e">
        <f t="shared" si="0"/>
        <v>#REF!</v>
      </c>
      <c r="F12" s="97" t="e">
        <f t="shared" si="0"/>
        <v>#REF!</v>
      </c>
      <c r="G12" s="97" t="e">
        <f t="shared" si="0"/>
        <v>#REF!</v>
      </c>
      <c r="H12" s="97" t="e">
        <f t="shared" si="0"/>
        <v>#REF!</v>
      </c>
      <c r="I12" s="97" t="e">
        <f t="shared" si="0"/>
        <v>#REF!</v>
      </c>
      <c r="J12" s="97" t="e">
        <f t="shared" si="0"/>
        <v>#REF!</v>
      </c>
      <c r="K12" s="97" t="e">
        <f t="shared" si="0"/>
        <v>#REF!</v>
      </c>
      <c r="L12" s="97" t="e">
        <f t="shared" si="0"/>
        <v>#REF!</v>
      </c>
      <c r="M12" s="97" t="e">
        <f t="shared" si="0"/>
        <v>#REF!</v>
      </c>
      <c r="N12" s="97" t="e">
        <f t="shared" si="0"/>
        <v>#REF!</v>
      </c>
      <c r="O12" s="97" t="e">
        <f t="shared" si="0"/>
        <v>#REF!</v>
      </c>
    </row>
    <row r="14" spans="2:15" x14ac:dyDescent="0.15">
      <c r="B14" s="1" t="s">
        <v>311</v>
      </c>
      <c r="C14" s="1">
        <f>C2/C15</f>
        <v>40.099915190552863</v>
      </c>
    </row>
    <row r="15" spans="2:15" x14ac:dyDescent="0.15">
      <c r="B15" s="34" t="s">
        <v>312</v>
      </c>
      <c r="C15" s="34">
        <f>D2-E2</f>
        <v>51710.400000000009</v>
      </c>
    </row>
    <row r="17" spans="2:6" x14ac:dyDescent="0.15">
      <c r="B17" s="205" t="s">
        <v>313</v>
      </c>
      <c r="C17" s="205"/>
      <c r="D17" s="205"/>
      <c r="F17" s="31"/>
    </row>
    <row r="18" spans="2:6" x14ac:dyDescent="0.15">
      <c r="B18" s="94" t="s">
        <v>301</v>
      </c>
      <c r="C18" s="91" t="e">
        <f>ROUND(C3/SUM($C$3:$C$11),5)</f>
        <v>#REF!</v>
      </c>
      <c r="D18" s="91">
        <f>ROUND('5、系统属性规划'!C45,5)</f>
        <v>0.18146999999999999</v>
      </c>
      <c r="E18" s="101" t="e">
        <f>C18-D18</f>
        <v>#REF!</v>
      </c>
      <c r="F18" s="31"/>
    </row>
    <row r="19" spans="2:6" x14ac:dyDescent="0.15">
      <c r="B19" s="95" t="s">
        <v>43</v>
      </c>
      <c r="C19" s="91" t="e">
        <f t="shared" ref="C19:C26" si="1">ROUND(C4/SUM($C$3:$C$11),5)</f>
        <v>#REF!</v>
      </c>
      <c r="D19" s="91">
        <f>ROUND('5、系统属性规划'!C46,5)</f>
        <v>0.22684000000000001</v>
      </c>
      <c r="E19" s="101" t="e">
        <f t="shared" ref="E19:E26" si="2">C19-D19</f>
        <v>#REF!</v>
      </c>
      <c r="F19" s="31"/>
    </row>
    <row r="20" spans="2:6" x14ac:dyDescent="0.15">
      <c r="B20" s="95" t="s">
        <v>279</v>
      </c>
      <c r="C20" s="91" t="e">
        <f t="shared" si="1"/>
        <v>#REF!</v>
      </c>
      <c r="D20" s="91">
        <f>ROUND('5、系统属性规划'!C47,5)</f>
        <v>0.18904000000000001</v>
      </c>
      <c r="E20" s="101" t="e">
        <f t="shared" si="2"/>
        <v>#REF!</v>
      </c>
      <c r="F20" s="31"/>
    </row>
    <row r="21" spans="2:6" x14ac:dyDescent="0.15">
      <c r="B21" s="95" t="s">
        <v>280</v>
      </c>
      <c r="C21" s="91" t="e">
        <f t="shared" si="1"/>
        <v>#REF!</v>
      </c>
      <c r="D21" s="91">
        <f>ROUND('5、系统属性规划'!C48,5)</f>
        <v>5.6699999999999997E-3</v>
      </c>
      <c r="E21" s="101" t="e">
        <f t="shared" si="2"/>
        <v>#REF!</v>
      </c>
      <c r="F21" s="31"/>
    </row>
    <row r="22" spans="2:6" x14ac:dyDescent="0.15">
      <c r="B22" s="95" t="s">
        <v>281</v>
      </c>
      <c r="C22" s="91" t="e">
        <f t="shared" si="1"/>
        <v>#DIV/0!</v>
      </c>
      <c r="D22" s="91">
        <f>ROUND('5、系统属性规划'!C49,5)</f>
        <v>0</v>
      </c>
      <c r="E22" s="101" t="e">
        <f t="shared" si="2"/>
        <v>#DIV/0!</v>
      </c>
      <c r="F22" s="31"/>
    </row>
    <row r="23" spans="2:6" x14ac:dyDescent="0.15">
      <c r="B23" s="95" t="s">
        <v>282</v>
      </c>
      <c r="C23" s="91" t="e">
        <f t="shared" si="1"/>
        <v>#DIV/0!</v>
      </c>
      <c r="D23" s="91">
        <f>ROUND('5、系统属性规划'!C50,5)</f>
        <v>0</v>
      </c>
      <c r="E23" s="101" t="e">
        <f t="shared" si="2"/>
        <v>#DIV/0!</v>
      </c>
      <c r="F23" s="31"/>
    </row>
    <row r="24" spans="2:6" x14ac:dyDescent="0.15">
      <c r="B24" s="95" t="s">
        <v>283</v>
      </c>
      <c r="C24" s="91" t="e">
        <f t="shared" si="1"/>
        <v>#DIV/0!</v>
      </c>
      <c r="D24" s="91">
        <f>ROUND('5、系统属性规划'!C51,5)</f>
        <v>0</v>
      </c>
      <c r="E24" s="101" t="e">
        <f t="shared" si="2"/>
        <v>#DIV/0!</v>
      </c>
      <c r="F24" s="31"/>
    </row>
    <row r="25" spans="2:6" x14ac:dyDescent="0.15">
      <c r="B25" s="95" t="s">
        <v>284</v>
      </c>
      <c r="C25" s="91" t="e">
        <f t="shared" si="1"/>
        <v>#REF!</v>
      </c>
      <c r="D25" s="91">
        <f>ROUND('5、系统属性规划'!C52,5)</f>
        <v>1.89E-2</v>
      </c>
      <c r="E25" s="101" t="e">
        <f t="shared" si="2"/>
        <v>#REF!</v>
      </c>
      <c r="F25" s="31"/>
    </row>
    <row r="26" spans="2:6" x14ac:dyDescent="0.15">
      <c r="B26" s="95" t="s">
        <v>285</v>
      </c>
      <c r="C26" s="91" t="e">
        <f t="shared" ca="1" si="1"/>
        <v>#REF!</v>
      </c>
      <c r="D26" s="91">
        <f>ROUND('5、系统属性规划'!C53,5)</f>
        <v>0.37807000000000002</v>
      </c>
      <c r="E26" s="101" t="e">
        <f t="shared" ca="1" si="2"/>
        <v>#REF!</v>
      </c>
    </row>
  </sheetData>
  <mergeCells count="1">
    <mergeCell ref="B17:D17"/>
  </mergeCells>
  <phoneticPr fontId="1" type="noConversion"/>
  <conditionalFormatting sqref="C12:O12">
    <cfRule type="cellIs" dxfId="83" priority="3" operator="greaterThan">
      <formula>0</formula>
    </cfRule>
    <cfRule type="cellIs" dxfId="82" priority="4" operator="lessThan">
      <formula>0</formula>
    </cfRule>
  </conditionalFormatting>
  <conditionalFormatting sqref="E18:E26">
    <cfRule type="cellIs" dxfId="81" priority="1" operator="greaterThan">
      <formula>0</formula>
    </cfRule>
    <cfRule type="cellIs" dxfId="80" priority="2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137"/>
  <sheetViews>
    <sheetView tabSelected="1" topLeftCell="A7" workbookViewId="0">
      <selection activeCell="D30" sqref="D30"/>
    </sheetView>
  </sheetViews>
  <sheetFormatPr defaultRowHeight="13.5" x14ac:dyDescent="0.15"/>
  <cols>
    <col min="1" max="1" width="17.125" customWidth="1"/>
    <col min="2" max="2" width="13.875" customWidth="1"/>
    <col min="3" max="3" width="13.875" bestFit="1" customWidth="1"/>
    <col min="6" max="7" width="11.625" bestFit="1" customWidth="1"/>
    <col min="8" max="8" width="12.75" bestFit="1" customWidth="1"/>
    <col min="9" max="9" width="11.625" bestFit="1" customWidth="1"/>
    <col min="10" max="10" width="14.125" customWidth="1"/>
    <col min="11" max="11" width="18.5" bestFit="1" customWidth="1"/>
    <col min="12" max="14" width="12.75" bestFit="1" customWidth="1"/>
    <col min="15" max="15" width="11.5" customWidth="1"/>
    <col min="16" max="16" width="12.75" bestFit="1" customWidth="1"/>
    <col min="17" max="17" width="23.875" customWidth="1"/>
    <col min="18" max="18" width="12.375" customWidth="1"/>
    <col min="19" max="19" width="18.375" bestFit="1" customWidth="1"/>
    <col min="20" max="20" width="11.75" bestFit="1" customWidth="1"/>
    <col min="21" max="22" width="10.5" bestFit="1" customWidth="1"/>
    <col min="23" max="23" width="13.375" customWidth="1"/>
    <col min="24" max="25" width="12.875" bestFit="1" customWidth="1"/>
    <col min="26" max="26" width="9" bestFit="1" customWidth="1"/>
  </cols>
  <sheetData>
    <row r="1" spans="1:23" x14ac:dyDescent="0.15">
      <c r="A1" s="6" t="s">
        <v>28</v>
      </c>
      <c r="B1" s="9"/>
      <c r="C1" s="9"/>
      <c r="D1" s="28"/>
      <c r="E1" s="29"/>
      <c r="F1" s="10"/>
      <c r="G1" s="1">
        <v>1</v>
      </c>
      <c r="H1" s="1"/>
      <c r="J1" s="36" t="s">
        <v>219</v>
      </c>
      <c r="K1" s="36"/>
      <c r="L1" s="36"/>
      <c r="M1" s="36"/>
      <c r="N1" s="36"/>
      <c r="O1" s="36"/>
      <c r="Q1" s="1" t="s">
        <v>332</v>
      </c>
      <c r="R1" s="1">
        <v>10</v>
      </c>
    </row>
    <row r="2" spans="1:23" x14ac:dyDescent="0.15">
      <c r="A2" s="6"/>
      <c r="B2" s="9" t="s">
        <v>29</v>
      </c>
      <c r="C2" s="9"/>
      <c r="D2" s="28" t="s">
        <v>30</v>
      </c>
      <c r="E2" s="29"/>
      <c r="F2" s="10"/>
      <c r="G2" s="1">
        <v>2</v>
      </c>
      <c r="H2" s="1"/>
      <c r="K2" t="s">
        <v>135</v>
      </c>
      <c r="L2" t="s">
        <v>47</v>
      </c>
      <c r="M2" t="s">
        <v>136</v>
      </c>
      <c r="N2" t="s">
        <v>49</v>
      </c>
      <c r="O2" t="s">
        <v>137</v>
      </c>
      <c r="Q2" s="1" t="s">
        <v>333</v>
      </c>
      <c r="R2" s="1">
        <v>1.32</v>
      </c>
      <c r="S2" s="23" t="s">
        <v>334</v>
      </c>
      <c r="T2">
        <f>R2^4</f>
        <v>3.0359577600000005</v>
      </c>
    </row>
    <row r="3" spans="1:23" ht="33" customHeight="1" x14ac:dyDescent="0.15">
      <c r="A3" s="6"/>
      <c r="B3" s="9" t="s">
        <v>31</v>
      </c>
      <c r="C3" s="9"/>
      <c r="D3" s="28" t="s">
        <v>32</v>
      </c>
      <c r="E3" s="29"/>
      <c r="F3" s="10"/>
      <c r="G3" s="1">
        <v>2</v>
      </c>
      <c r="H3" s="1"/>
      <c r="J3" s="30" t="s">
        <v>336</v>
      </c>
      <c r="K3" s="103">
        <v>0</v>
      </c>
      <c r="L3" s="103">
        <v>1</v>
      </c>
      <c r="M3" s="103">
        <v>2</v>
      </c>
      <c r="N3" s="103">
        <v>3</v>
      </c>
      <c r="O3" s="103">
        <v>4</v>
      </c>
      <c r="Q3" s="30" t="s">
        <v>131</v>
      </c>
      <c r="R3" s="103">
        <v>0</v>
      </c>
      <c r="S3" s="103">
        <v>1</v>
      </c>
      <c r="T3" s="103">
        <v>2</v>
      </c>
      <c r="U3" s="103">
        <v>3</v>
      </c>
      <c r="V3" s="103">
        <v>4</v>
      </c>
      <c r="W3" s="77" t="s">
        <v>331</v>
      </c>
    </row>
    <row r="4" spans="1:23" x14ac:dyDescent="0.15">
      <c r="A4" s="6"/>
      <c r="B4" s="9"/>
      <c r="C4" s="9"/>
      <c r="D4" s="28" t="s">
        <v>33</v>
      </c>
      <c r="E4" s="29" t="s">
        <v>34</v>
      </c>
      <c r="F4" s="10"/>
      <c r="G4" s="1">
        <v>2</v>
      </c>
      <c r="H4" s="1"/>
      <c r="J4" s="1"/>
      <c r="K4" s="1">
        <v>30</v>
      </c>
      <c r="L4" s="1">
        <v>45</v>
      </c>
      <c r="M4" s="1">
        <v>65</v>
      </c>
      <c r="N4" s="1">
        <v>85</v>
      </c>
      <c r="O4" s="41">
        <v>100</v>
      </c>
      <c r="Q4" s="1">
        <v>1</v>
      </c>
      <c r="R4" s="12">
        <v>100</v>
      </c>
      <c r="S4" s="12">
        <f t="shared" ref="S4:V12" si="0">R4*$R$2</f>
        <v>132</v>
      </c>
      <c r="T4" s="12">
        <f t="shared" si="0"/>
        <v>174.24</v>
      </c>
      <c r="U4" s="12">
        <f t="shared" si="0"/>
        <v>229.99680000000004</v>
      </c>
      <c r="V4" s="109">
        <f t="shared" si="0"/>
        <v>303.59577600000006</v>
      </c>
      <c r="W4" s="12">
        <f>V4*$B$16</f>
        <v>30.359577600000009</v>
      </c>
    </row>
    <row r="5" spans="1:23" x14ac:dyDescent="0.15">
      <c r="A5" s="6"/>
      <c r="B5" s="9"/>
      <c r="C5" s="9"/>
      <c r="D5" s="28" t="s">
        <v>35</v>
      </c>
      <c r="E5" s="29" t="s">
        <v>36</v>
      </c>
      <c r="F5" s="10" t="s">
        <v>37</v>
      </c>
      <c r="G5" s="1">
        <v>3</v>
      </c>
      <c r="H5" s="1"/>
      <c r="J5" s="28" t="s">
        <v>138</v>
      </c>
      <c r="K5" s="28">
        <f>K4/$O$4</f>
        <v>0.3</v>
      </c>
      <c r="L5" s="28">
        <f t="shared" ref="L5:M5" si="1">L4/$O$4</f>
        <v>0.45</v>
      </c>
      <c r="M5" s="28">
        <f t="shared" si="1"/>
        <v>0.65</v>
      </c>
      <c r="N5" s="28">
        <f>N4/$O$4</f>
        <v>0.85</v>
      </c>
      <c r="O5" s="71">
        <v>1</v>
      </c>
      <c r="Q5" s="1">
        <v>15</v>
      </c>
      <c r="R5" s="12">
        <f t="shared" ref="R5:R12" si="2">$R$1*Q5+$R$4</f>
        <v>250</v>
      </c>
      <c r="S5" s="12">
        <f t="shared" si="0"/>
        <v>330</v>
      </c>
      <c r="T5" s="12">
        <f t="shared" si="0"/>
        <v>435.6</v>
      </c>
      <c r="U5" s="12">
        <f t="shared" si="0"/>
        <v>574.99200000000008</v>
      </c>
      <c r="V5" s="109">
        <f t="shared" si="0"/>
        <v>758.98944000000017</v>
      </c>
      <c r="W5" s="12">
        <f>$V$5*$B$16</f>
        <v>75.898944000000014</v>
      </c>
    </row>
    <row r="6" spans="1:23" x14ac:dyDescent="0.15">
      <c r="A6" s="6"/>
      <c r="B6" s="9"/>
      <c r="C6" s="9"/>
      <c r="D6" s="28" t="s">
        <v>38</v>
      </c>
      <c r="E6" s="29" t="s">
        <v>39</v>
      </c>
      <c r="F6" s="10" t="s">
        <v>40</v>
      </c>
      <c r="G6" s="1">
        <v>3</v>
      </c>
      <c r="H6" s="1"/>
      <c r="J6" s="1">
        <v>0</v>
      </c>
      <c r="K6" s="1"/>
      <c r="L6" s="1"/>
      <c r="M6" s="1"/>
      <c r="N6" s="1"/>
      <c r="O6" s="1">
        <v>0</v>
      </c>
      <c r="Q6" s="1">
        <v>30</v>
      </c>
      <c r="R6" s="12">
        <f t="shared" si="2"/>
        <v>400</v>
      </c>
      <c r="S6" s="12">
        <f t="shared" si="0"/>
        <v>528</v>
      </c>
      <c r="T6" s="12">
        <f t="shared" si="0"/>
        <v>696.96</v>
      </c>
      <c r="U6" s="12">
        <f t="shared" si="0"/>
        <v>919.98720000000014</v>
      </c>
      <c r="V6" s="109">
        <f t="shared" si="0"/>
        <v>1214.3831040000002</v>
      </c>
      <c r="W6" s="12">
        <f>$V$6*$B$16</f>
        <v>121.43831040000003</v>
      </c>
    </row>
    <row r="7" spans="1:23" x14ac:dyDescent="0.15">
      <c r="A7" s="1"/>
      <c r="B7" s="1"/>
      <c r="C7" s="1"/>
      <c r="D7" s="1"/>
      <c r="E7" s="29" t="s">
        <v>41</v>
      </c>
      <c r="F7" s="10" t="s">
        <v>42</v>
      </c>
      <c r="G7" s="1">
        <v>2</v>
      </c>
      <c r="H7" s="1"/>
      <c r="J7" s="1">
        <v>5</v>
      </c>
      <c r="K7" s="1">
        <f t="shared" ref="K7:N12" si="3">K$5*$O7</f>
        <v>0.01</v>
      </c>
      <c r="L7" s="1">
        <f t="shared" si="3"/>
        <v>1.4999999999999999E-2</v>
      </c>
      <c r="M7" s="1">
        <f t="shared" si="3"/>
        <v>2.1666666666666667E-2</v>
      </c>
      <c r="N7" s="1">
        <f t="shared" si="3"/>
        <v>2.8333333333333332E-2</v>
      </c>
      <c r="O7" s="1">
        <f t="shared" ref="O7:O10" si="4">$O$13*VLOOKUP(J7,$C$19:$F$28,4,FALSE)</f>
        <v>3.3333333333333333E-2</v>
      </c>
      <c r="Q7" s="1">
        <v>45</v>
      </c>
      <c r="R7" s="12">
        <f t="shared" si="2"/>
        <v>550</v>
      </c>
      <c r="S7" s="12">
        <f t="shared" si="0"/>
        <v>726</v>
      </c>
      <c r="T7" s="12">
        <f t="shared" si="0"/>
        <v>958.32</v>
      </c>
      <c r="U7" s="12">
        <f t="shared" si="0"/>
        <v>1264.9824000000001</v>
      </c>
      <c r="V7" s="109">
        <f t="shared" si="0"/>
        <v>1669.7767680000002</v>
      </c>
      <c r="W7" s="12">
        <f>$V$7*$B$16</f>
        <v>166.97767680000004</v>
      </c>
    </row>
    <row r="8" spans="1:23" x14ac:dyDescent="0.15">
      <c r="F8" s="5" t="s">
        <v>445</v>
      </c>
      <c r="G8" s="5">
        <v>15</v>
      </c>
      <c r="J8" s="1">
        <v>15</v>
      </c>
      <c r="K8" s="1">
        <f>K$5*$O8</f>
        <v>0.02</v>
      </c>
      <c r="L8" s="1">
        <f t="shared" si="3"/>
        <v>0.03</v>
      </c>
      <c r="M8" s="1">
        <f t="shared" si="3"/>
        <v>4.3333333333333335E-2</v>
      </c>
      <c r="N8" s="1">
        <f t="shared" si="3"/>
        <v>5.6666666666666664E-2</v>
      </c>
      <c r="O8" s="1">
        <f t="shared" si="4"/>
        <v>6.6666666666666666E-2</v>
      </c>
      <c r="Q8" s="1">
        <v>60</v>
      </c>
      <c r="R8" s="12">
        <f t="shared" si="2"/>
        <v>700</v>
      </c>
      <c r="S8" s="12">
        <f t="shared" si="0"/>
        <v>924</v>
      </c>
      <c r="T8" s="12">
        <f t="shared" si="0"/>
        <v>1219.68</v>
      </c>
      <c r="U8" s="12">
        <f t="shared" si="0"/>
        <v>1609.9776000000002</v>
      </c>
      <c r="V8" s="109">
        <f t="shared" si="0"/>
        <v>2125.1704320000003</v>
      </c>
      <c r="W8" s="12">
        <f>$V$8*$B$16</f>
        <v>212.51704320000005</v>
      </c>
    </row>
    <row r="9" spans="1:23" x14ac:dyDescent="0.15">
      <c r="G9" t="s">
        <v>68</v>
      </c>
      <c r="J9" s="1">
        <v>30</v>
      </c>
      <c r="K9" s="1">
        <f t="shared" si="3"/>
        <v>0.04</v>
      </c>
      <c r="L9" s="1">
        <f t="shared" si="3"/>
        <v>0.06</v>
      </c>
      <c r="M9" s="1">
        <f t="shared" si="3"/>
        <v>8.666666666666667E-2</v>
      </c>
      <c r="N9" s="1">
        <f t="shared" si="3"/>
        <v>0.11333333333333333</v>
      </c>
      <c r="O9" s="1">
        <f t="shared" si="4"/>
        <v>0.13333333333333333</v>
      </c>
      <c r="Q9" s="1">
        <v>70</v>
      </c>
      <c r="R9" s="12">
        <f t="shared" si="2"/>
        <v>800</v>
      </c>
      <c r="S9" s="12">
        <f t="shared" si="0"/>
        <v>1056</v>
      </c>
      <c r="T9" s="12">
        <f t="shared" si="0"/>
        <v>1393.92</v>
      </c>
      <c r="U9" s="12">
        <f t="shared" si="0"/>
        <v>1839.9744000000003</v>
      </c>
      <c r="V9" s="109">
        <f t="shared" si="0"/>
        <v>2428.7662080000005</v>
      </c>
      <c r="W9" s="12">
        <f>$V$9*$B$16</f>
        <v>242.87662080000007</v>
      </c>
    </row>
    <row r="10" spans="1:23" x14ac:dyDescent="0.15">
      <c r="A10" s="1" t="s">
        <v>129</v>
      </c>
      <c r="B10" s="7">
        <v>15</v>
      </c>
      <c r="C10" s="15"/>
      <c r="D10" t="s">
        <v>124</v>
      </c>
      <c r="E10" s="1" t="s">
        <v>22</v>
      </c>
      <c r="F10" s="7">
        <v>5</v>
      </c>
      <c r="G10" s="172">
        <f>F10/SUM($F$10:$F$12)</f>
        <v>0.27777777777777779</v>
      </c>
      <c r="H10" s="1">
        <f>$B$11*G10</f>
        <v>3.3333333333333335</v>
      </c>
      <c r="J10" s="1">
        <v>45</v>
      </c>
      <c r="K10" s="1">
        <f t="shared" si="3"/>
        <v>0.08</v>
      </c>
      <c r="L10" s="1">
        <f t="shared" si="3"/>
        <v>0.12</v>
      </c>
      <c r="M10" s="1">
        <f t="shared" si="3"/>
        <v>0.17333333333333334</v>
      </c>
      <c r="N10" s="1">
        <f t="shared" si="3"/>
        <v>0.22666666666666666</v>
      </c>
      <c r="O10" s="1">
        <f t="shared" si="4"/>
        <v>0.26666666666666666</v>
      </c>
      <c r="Q10" s="1">
        <v>80</v>
      </c>
      <c r="R10" s="12">
        <f t="shared" si="2"/>
        <v>900</v>
      </c>
      <c r="S10" s="12">
        <f t="shared" si="0"/>
        <v>1188</v>
      </c>
      <c r="T10" s="12">
        <f t="shared" si="0"/>
        <v>1568.16</v>
      </c>
      <c r="U10" s="12">
        <f t="shared" si="0"/>
        <v>2069.9712000000004</v>
      </c>
      <c r="V10" s="109">
        <f t="shared" si="0"/>
        <v>2732.3619840000006</v>
      </c>
      <c r="W10" s="12">
        <f>V10*$B$16</f>
        <v>273.23619840000009</v>
      </c>
    </row>
    <row r="11" spans="1:23" x14ac:dyDescent="0.15">
      <c r="A11" s="1" t="s">
        <v>130</v>
      </c>
      <c r="B11" s="1">
        <f>'2、属性成长'!H3</f>
        <v>12</v>
      </c>
      <c r="C11" s="15"/>
      <c r="E11" s="1" t="s">
        <v>21</v>
      </c>
      <c r="F11" s="7">
        <v>12</v>
      </c>
      <c r="G11" s="172">
        <f t="shared" ref="G11:G12" si="5">F11/SUM($F$10:$F$12)</f>
        <v>0.66666666666666663</v>
      </c>
      <c r="H11" s="1">
        <f t="shared" ref="H11:H12" si="6">$B$11*G11</f>
        <v>8</v>
      </c>
      <c r="J11" s="1">
        <v>60</v>
      </c>
      <c r="K11" s="1">
        <f t="shared" si="3"/>
        <v>0.11999999999999998</v>
      </c>
      <c r="L11" s="1">
        <f t="shared" si="3"/>
        <v>0.18</v>
      </c>
      <c r="M11" s="1">
        <f t="shared" si="3"/>
        <v>0.26</v>
      </c>
      <c r="N11" s="1">
        <f t="shared" si="3"/>
        <v>0.33999999999999997</v>
      </c>
      <c r="O11" s="1">
        <f>$O$13*VLOOKUP(J11,$C$19:$F$28,4,FALSE)</f>
        <v>0.39999999999999997</v>
      </c>
      <c r="Q11" s="1">
        <v>90</v>
      </c>
      <c r="R11" s="12">
        <f t="shared" si="2"/>
        <v>1000</v>
      </c>
      <c r="S11" s="12">
        <f t="shared" si="0"/>
        <v>1320</v>
      </c>
      <c r="T11" s="12">
        <f t="shared" si="0"/>
        <v>1742.4</v>
      </c>
      <c r="U11" s="12">
        <f t="shared" si="0"/>
        <v>2299.9680000000003</v>
      </c>
      <c r="V11" s="109">
        <f t="shared" si="0"/>
        <v>3035.9577600000007</v>
      </c>
      <c r="W11" s="12">
        <f>V11*$B$16</f>
        <v>303.59577600000006</v>
      </c>
    </row>
    <row r="12" spans="1:23" x14ac:dyDescent="0.15">
      <c r="A12" s="1" t="s">
        <v>133</v>
      </c>
      <c r="B12" s="7">
        <v>10</v>
      </c>
      <c r="C12" s="15"/>
      <c r="E12" s="1" t="s">
        <v>43</v>
      </c>
      <c r="F12" s="7">
        <v>1</v>
      </c>
      <c r="G12" s="172">
        <f t="shared" si="5"/>
        <v>5.5555555555555552E-2</v>
      </c>
      <c r="H12" s="1">
        <f t="shared" si="6"/>
        <v>0.66666666666666663</v>
      </c>
      <c r="J12" s="1">
        <v>70</v>
      </c>
      <c r="K12" s="1">
        <f t="shared" si="3"/>
        <v>0.16</v>
      </c>
      <c r="L12" s="1">
        <f t="shared" si="3"/>
        <v>0.24</v>
      </c>
      <c r="M12" s="1">
        <f t="shared" si="3"/>
        <v>0.34666666666666668</v>
      </c>
      <c r="N12" s="1">
        <f t="shared" si="3"/>
        <v>0.45333333333333331</v>
      </c>
      <c r="O12" s="1">
        <f>$O$13*VLOOKUP(J12,$C$19:$F$28,4,FALSE)</f>
        <v>0.53333333333333333</v>
      </c>
      <c r="Q12" s="1">
        <v>100</v>
      </c>
      <c r="R12" s="12">
        <f t="shared" si="2"/>
        <v>1100</v>
      </c>
      <c r="S12" s="12">
        <f t="shared" si="0"/>
        <v>1452</v>
      </c>
      <c r="T12" s="12">
        <f t="shared" si="0"/>
        <v>1916.64</v>
      </c>
      <c r="U12" s="12">
        <f t="shared" si="0"/>
        <v>2529.9648000000002</v>
      </c>
      <c r="V12" s="109">
        <f t="shared" si="0"/>
        <v>3339.5535360000003</v>
      </c>
      <c r="W12" s="12">
        <f>V12*$B$16</f>
        <v>333.95535360000008</v>
      </c>
    </row>
    <row r="13" spans="1:23" x14ac:dyDescent="0.15">
      <c r="A13" s="1" t="s">
        <v>134</v>
      </c>
      <c r="B13" s="7">
        <v>100</v>
      </c>
      <c r="C13" s="15"/>
      <c r="J13" s="1">
        <v>80</v>
      </c>
      <c r="K13" s="1">
        <f>K$5*$O13</f>
        <v>0.19999999999999998</v>
      </c>
      <c r="L13" s="1">
        <f t="shared" ref="L13:M13" si="7">L$5*$O13</f>
        <v>0.3</v>
      </c>
      <c r="M13" s="1">
        <f t="shared" si="7"/>
        <v>0.43333333333333335</v>
      </c>
      <c r="N13" s="1">
        <f>N$5*$O13</f>
        <v>0.56666666666666665</v>
      </c>
      <c r="O13" s="1">
        <f>H12</f>
        <v>0.66666666666666663</v>
      </c>
      <c r="Q13" s="1"/>
      <c r="R13" s="1"/>
      <c r="S13" s="1"/>
      <c r="T13" s="1"/>
      <c r="U13" s="1"/>
      <c r="V13" s="41"/>
      <c r="W13" s="1"/>
    </row>
    <row r="14" spans="1:23" x14ac:dyDescent="0.15">
      <c r="A14" s="5" t="s">
        <v>139</v>
      </c>
      <c r="B14" s="7">
        <v>6</v>
      </c>
      <c r="C14" s="15"/>
      <c r="J14" s="5">
        <v>90</v>
      </c>
      <c r="K14" s="1"/>
      <c r="L14" s="1"/>
      <c r="M14" s="1"/>
      <c r="N14" s="1"/>
      <c r="O14" s="1"/>
      <c r="Q14" s="28"/>
      <c r="R14" s="28"/>
      <c r="S14" s="28"/>
      <c r="T14" s="28"/>
      <c r="U14" s="28"/>
      <c r="V14" s="71"/>
      <c r="W14" s="1"/>
    </row>
    <row r="15" spans="1:23" x14ac:dyDescent="0.15">
      <c r="A15" s="5" t="s">
        <v>290</v>
      </c>
      <c r="B15" s="1" t="s">
        <v>303</v>
      </c>
      <c r="J15" s="5">
        <v>100</v>
      </c>
      <c r="K15" s="1"/>
      <c r="L15" s="1"/>
      <c r="M15" s="1"/>
      <c r="N15" s="1"/>
      <c r="O15" s="1"/>
      <c r="Q15" s="128" t="s">
        <v>335</v>
      </c>
      <c r="R15" s="128"/>
      <c r="S15" s="128"/>
      <c r="T15" s="128"/>
      <c r="U15" s="128"/>
      <c r="V15" s="128"/>
    </row>
    <row r="16" spans="1:23" ht="32.450000000000003" customHeight="1" x14ac:dyDescent="0.15">
      <c r="A16" s="1" t="s">
        <v>337</v>
      </c>
      <c r="B16" s="60">
        <v>0.1</v>
      </c>
      <c r="J16" s="187" t="s">
        <v>256</v>
      </c>
      <c r="K16" s="7">
        <v>30</v>
      </c>
      <c r="L16" s="7">
        <v>45</v>
      </c>
      <c r="M16" s="7">
        <v>65</v>
      </c>
      <c r="N16" s="7">
        <v>85</v>
      </c>
      <c r="O16" s="7">
        <v>100</v>
      </c>
      <c r="Q16" s="30" t="s">
        <v>131</v>
      </c>
      <c r="R16" s="103">
        <v>0</v>
      </c>
      <c r="S16" s="103">
        <v>1</v>
      </c>
      <c r="T16" s="103">
        <v>2</v>
      </c>
      <c r="U16" s="103">
        <v>3</v>
      </c>
      <c r="V16" s="103">
        <v>4</v>
      </c>
    </row>
    <row r="17" spans="2:22" x14ac:dyDescent="0.15">
      <c r="J17" s="189"/>
      <c r="K17" s="1">
        <f t="shared" ref="K17:M17" si="8">K16/$O$16</f>
        <v>0.3</v>
      </c>
      <c r="L17" s="1">
        <f t="shared" si="8"/>
        <v>0.45</v>
      </c>
      <c r="M17" s="1">
        <f t="shared" si="8"/>
        <v>0.65</v>
      </c>
      <c r="N17" s="1">
        <f>N16/$O$16</f>
        <v>0.85</v>
      </c>
      <c r="O17" s="1">
        <v>1</v>
      </c>
      <c r="Q17" s="1">
        <v>1</v>
      </c>
      <c r="R17" s="12">
        <f t="shared" ref="R17:R25" si="9">R4</f>
        <v>100</v>
      </c>
      <c r="S17" s="12">
        <f t="shared" ref="S17:V25" si="10">S4*(1-$B$16*(S$16-1))</f>
        <v>132</v>
      </c>
      <c r="T17" s="12">
        <f t="shared" si="10"/>
        <v>156.816</v>
      </c>
      <c r="U17" s="12">
        <f t="shared" si="10"/>
        <v>183.99744000000004</v>
      </c>
      <c r="V17" s="12">
        <f t="shared" si="10"/>
        <v>212.51704320000002</v>
      </c>
    </row>
    <row r="18" spans="2:22" x14ac:dyDescent="0.15">
      <c r="C18" s="1" t="s">
        <v>443</v>
      </c>
      <c r="D18" s="1" t="s">
        <v>444</v>
      </c>
      <c r="E18" s="1" t="s">
        <v>447</v>
      </c>
      <c r="F18" s="1" t="s">
        <v>446</v>
      </c>
      <c r="G18" s="1"/>
      <c r="H18" s="1"/>
      <c r="J18" s="3" t="s">
        <v>19</v>
      </c>
      <c r="K18" s="103">
        <v>0</v>
      </c>
      <c r="L18" s="103">
        <v>1</v>
      </c>
      <c r="M18" s="103">
        <v>2</v>
      </c>
      <c r="N18" s="103">
        <v>3</v>
      </c>
      <c r="O18" s="103">
        <v>4</v>
      </c>
      <c r="Q18" s="1">
        <v>15</v>
      </c>
      <c r="R18" s="12">
        <f t="shared" si="9"/>
        <v>250</v>
      </c>
      <c r="S18" s="12">
        <f t="shared" si="10"/>
        <v>330</v>
      </c>
      <c r="T18" s="12">
        <f t="shared" si="10"/>
        <v>392.04</v>
      </c>
      <c r="U18" s="12">
        <f t="shared" si="10"/>
        <v>459.99360000000007</v>
      </c>
      <c r="V18" s="12">
        <f t="shared" si="10"/>
        <v>531.29260800000009</v>
      </c>
    </row>
    <row r="19" spans="2:22" ht="14.45" customHeight="1" x14ac:dyDescent="0.15">
      <c r="C19" s="1">
        <v>1</v>
      </c>
      <c r="D19" s="7">
        <v>0</v>
      </c>
      <c r="E19" s="1">
        <f t="shared" ref="E19:E21" si="11">D19/$D$26*$E$26</f>
        <v>0</v>
      </c>
      <c r="F19" s="1">
        <f t="shared" ref="F19:F28" si="12">D19/$D$26</f>
        <v>0</v>
      </c>
      <c r="G19" s="1"/>
      <c r="H19" s="1"/>
      <c r="J19" s="27">
        <v>0</v>
      </c>
      <c r="K19" s="1"/>
      <c r="L19" s="1">
        <f>M19*$L$5</f>
        <v>0</v>
      </c>
      <c r="M19" s="1">
        <f>N19*$M$5</f>
        <v>0</v>
      </c>
      <c r="N19" s="1">
        <f>O19*$N$5</f>
        <v>0</v>
      </c>
      <c r="O19" s="1">
        <v>0</v>
      </c>
      <c r="Q19" s="1">
        <v>30</v>
      </c>
      <c r="R19" s="12">
        <f t="shared" si="9"/>
        <v>400</v>
      </c>
      <c r="S19" s="12">
        <f t="shared" si="10"/>
        <v>528</v>
      </c>
      <c r="T19" s="12">
        <f t="shared" si="10"/>
        <v>627.26400000000001</v>
      </c>
      <c r="U19" s="12">
        <f t="shared" si="10"/>
        <v>735.98976000000016</v>
      </c>
      <c r="V19" s="12">
        <f t="shared" si="10"/>
        <v>850.06817280000007</v>
      </c>
    </row>
    <row r="20" spans="2:22" x14ac:dyDescent="0.15">
      <c r="C20" s="1">
        <v>5</v>
      </c>
      <c r="D20" s="7">
        <v>5</v>
      </c>
      <c r="E20" s="1">
        <f t="shared" si="11"/>
        <v>0.60000000000000009</v>
      </c>
      <c r="F20" s="1">
        <f t="shared" si="12"/>
        <v>0.05</v>
      </c>
      <c r="G20" s="1"/>
      <c r="H20" s="1"/>
      <c r="J20" s="27">
        <v>5</v>
      </c>
      <c r="K20" s="1">
        <f t="shared" ref="K20:L28" si="13">$O20*K$17</f>
        <v>0.05</v>
      </c>
      <c r="L20" s="1">
        <f t="shared" si="13"/>
        <v>7.5000000000000011E-2</v>
      </c>
      <c r="M20" s="1">
        <f t="shared" ref="M20:M28" si="14">$O20*$M$17</f>
        <v>0.10833333333333335</v>
      </c>
      <c r="N20" s="1">
        <f t="shared" ref="N20:N28" si="15">$O20*$N$17</f>
        <v>0.14166666666666669</v>
      </c>
      <c r="O20" s="1">
        <f>$H$10*VLOOKUP(J20,$C$19:$F$28,4,FALSE)</f>
        <v>0.16666666666666669</v>
      </c>
      <c r="Q20" s="1">
        <v>45</v>
      </c>
      <c r="R20" s="12">
        <f t="shared" si="9"/>
        <v>550</v>
      </c>
      <c r="S20" s="12">
        <f t="shared" si="10"/>
        <v>726</v>
      </c>
      <c r="T20" s="12">
        <f t="shared" si="10"/>
        <v>862.48800000000006</v>
      </c>
      <c r="U20" s="12">
        <f t="shared" si="10"/>
        <v>1011.9859200000001</v>
      </c>
      <c r="V20" s="12">
        <f t="shared" si="10"/>
        <v>1168.8437375999999</v>
      </c>
    </row>
    <row r="21" spans="2:22" x14ac:dyDescent="0.15">
      <c r="C21" s="1">
        <v>15</v>
      </c>
      <c r="D21" s="7">
        <v>10</v>
      </c>
      <c r="E21" s="1">
        <f t="shared" si="11"/>
        <v>1.2000000000000002</v>
      </c>
      <c r="F21" s="1">
        <f t="shared" si="12"/>
        <v>0.1</v>
      </c>
      <c r="G21" s="1"/>
      <c r="H21" s="1"/>
      <c r="J21" s="27">
        <v>15</v>
      </c>
      <c r="K21" s="1">
        <f t="shared" si="13"/>
        <v>0.1</v>
      </c>
      <c r="L21" s="1">
        <f t="shared" si="13"/>
        <v>0.15000000000000002</v>
      </c>
      <c r="M21" s="1">
        <f t="shared" si="14"/>
        <v>0.2166666666666667</v>
      </c>
      <c r="N21" s="1">
        <f t="shared" si="15"/>
        <v>0.28333333333333338</v>
      </c>
      <c r="O21" s="1">
        <f t="shared" ref="O21:O28" si="16">$H$10*VLOOKUP(J21,$C$19:$F$28,4,FALSE)</f>
        <v>0.33333333333333337</v>
      </c>
      <c r="Q21" s="1">
        <v>60</v>
      </c>
      <c r="R21" s="12">
        <f t="shared" si="9"/>
        <v>700</v>
      </c>
      <c r="S21" s="12">
        <f t="shared" si="10"/>
        <v>924</v>
      </c>
      <c r="T21" s="12">
        <f t="shared" si="10"/>
        <v>1097.712</v>
      </c>
      <c r="U21" s="12">
        <f t="shared" si="10"/>
        <v>1287.9820800000002</v>
      </c>
      <c r="V21" s="12">
        <f t="shared" si="10"/>
        <v>1487.6193024000002</v>
      </c>
    </row>
    <row r="22" spans="2:22" x14ac:dyDescent="0.15">
      <c r="C22" s="1">
        <v>30</v>
      </c>
      <c r="D22" s="7">
        <v>20</v>
      </c>
      <c r="E22" s="1">
        <v>2</v>
      </c>
      <c r="F22" s="1">
        <f t="shared" si="12"/>
        <v>0.2</v>
      </c>
      <c r="G22" s="1"/>
      <c r="H22" s="1"/>
      <c r="J22" s="27">
        <v>30</v>
      </c>
      <c r="K22" s="1">
        <f t="shared" si="13"/>
        <v>0.2</v>
      </c>
      <c r="L22" s="1">
        <f t="shared" si="13"/>
        <v>0.30000000000000004</v>
      </c>
      <c r="M22" s="1">
        <f t="shared" si="14"/>
        <v>0.4333333333333334</v>
      </c>
      <c r="N22" s="1">
        <f t="shared" si="15"/>
        <v>0.56666666666666676</v>
      </c>
      <c r="O22" s="1">
        <f t="shared" si="16"/>
        <v>0.66666666666666674</v>
      </c>
      <c r="Q22" s="1">
        <v>70</v>
      </c>
      <c r="R22" s="12">
        <f t="shared" si="9"/>
        <v>800</v>
      </c>
      <c r="S22" s="12">
        <f t="shared" si="10"/>
        <v>1056</v>
      </c>
      <c r="T22" s="12">
        <f t="shared" si="10"/>
        <v>1254.528</v>
      </c>
      <c r="U22" s="12">
        <f t="shared" si="10"/>
        <v>1471.9795200000003</v>
      </c>
      <c r="V22" s="12">
        <f t="shared" si="10"/>
        <v>1700.1363456000001</v>
      </c>
    </row>
    <row r="23" spans="2:22" ht="14.45" customHeight="1" x14ac:dyDescent="0.15">
      <c r="C23" s="1">
        <v>45</v>
      </c>
      <c r="D23" s="7">
        <v>40</v>
      </c>
      <c r="E23" s="1">
        <v>4</v>
      </c>
      <c r="F23" s="1">
        <f t="shared" si="12"/>
        <v>0.4</v>
      </c>
      <c r="G23" s="1"/>
      <c r="H23" s="1"/>
      <c r="J23" s="27">
        <v>45</v>
      </c>
      <c r="K23" s="1">
        <f t="shared" si="13"/>
        <v>0.4</v>
      </c>
      <c r="L23" s="1">
        <f t="shared" si="13"/>
        <v>0.60000000000000009</v>
      </c>
      <c r="M23" s="1">
        <f t="shared" si="14"/>
        <v>0.86666666666666681</v>
      </c>
      <c r="N23" s="1">
        <f t="shared" si="15"/>
        <v>1.1333333333333335</v>
      </c>
      <c r="O23" s="1">
        <f t="shared" si="16"/>
        <v>1.3333333333333335</v>
      </c>
      <c r="Q23" s="1">
        <v>80</v>
      </c>
      <c r="R23" s="12">
        <f t="shared" si="9"/>
        <v>900</v>
      </c>
      <c r="S23" s="12">
        <f t="shared" si="10"/>
        <v>1188</v>
      </c>
      <c r="T23" s="12">
        <f t="shared" si="10"/>
        <v>1411.3440000000001</v>
      </c>
      <c r="U23" s="12">
        <f t="shared" si="10"/>
        <v>1655.9769600000004</v>
      </c>
      <c r="V23" s="12">
        <f t="shared" si="10"/>
        <v>1912.6533888000004</v>
      </c>
    </row>
    <row r="24" spans="2:22" x14ac:dyDescent="0.15">
      <c r="C24" s="1">
        <v>60</v>
      </c>
      <c r="D24" s="7">
        <v>60</v>
      </c>
      <c r="E24" s="1">
        <v>6</v>
      </c>
      <c r="F24" s="1">
        <f t="shared" si="12"/>
        <v>0.6</v>
      </c>
      <c r="G24" s="1"/>
      <c r="H24" s="1"/>
      <c r="J24" s="27">
        <v>60</v>
      </c>
      <c r="K24" s="1">
        <f t="shared" si="13"/>
        <v>0.6</v>
      </c>
      <c r="L24" s="1">
        <f t="shared" si="13"/>
        <v>0.9</v>
      </c>
      <c r="M24" s="1">
        <f t="shared" si="14"/>
        <v>1.3</v>
      </c>
      <c r="N24" s="1">
        <f t="shared" si="15"/>
        <v>1.7</v>
      </c>
      <c r="O24" s="1">
        <f t="shared" si="16"/>
        <v>2</v>
      </c>
      <c r="Q24" s="1">
        <v>90</v>
      </c>
      <c r="R24" s="12">
        <f t="shared" si="9"/>
        <v>1000</v>
      </c>
      <c r="S24" s="12">
        <f t="shared" si="10"/>
        <v>1320</v>
      </c>
      <c r="T24" s="12">
        <f t="shared" si="10"/>
        <v>1568.16</v>
      </c>
      <c r="U24" s="12">
        <f t="shared" si="10"/>
        <v>1839.9744000000003</v>
      </c>
      <c r="V24" s="12">
        <f t="shared" si="10"/>
        <v>2125.1704320000003</v>
      </c>
    </row>
    <row r="25" spans="2:22" x14ac:dyDescent="0.15">
      <c r="C25" s="1">
        <v>70</v>
      </c>
      <c r="D25" s="7">
        <v>80</v>
      </c>
      <c r="E25" s="1">
        <v>9</v>
      </c>
      <c r="F25" s="1">
        <f t="shared" si="12"/>
        <v>0.8</v>
      </c>
      <c r="G25" s="1"/>
      <c r="H25" s="1"/>
      <c r="J25" s="27">
        <v>70</v>
      </c>
      <c r="K25" s="1">
        <f t="shared" si="13"/>
        <v>0.8</v>
      </c>
      <c r="L25" s="1">
        <f t="shared" si="13"/>
        <v>1.2000000000000002</v>
      </c>
      <c r="M25" s="1">
        <f t="shared" si="14"/>
        <v>1.7333333333333336</v>
      </c>
      <c r="N25" s="1">
        <f t="shared" si="15"/>
        <v>2.2666666666666671</v>
      </c>
      <c r="O25" s="1">
        <f t="shared" si="16"/>
        <v>2.666666666666667</v>
      </c>
      <c r="Q25" s="1">
        <v>100</v>
      </c>
      <c r="R25" s="12">
        <f t="shared" si="9"/>
        <v>1100</v>
      </c>
      <c r="S25" s="12">
        <f t="shared" si="10"/>
        <v>1452</v>
      </c>
      <c r="T25" s="12">
        <f t="shared" si="10"/>
        <v>1724.9760000000001</v>
      </c>
      <c r="U25" s="12">
        <f t="shared" si="10"/>
        <v>2023.9718400000002</v>
      </c>
      <c r="V25" s="12">
        <f t="shared" si="10"/>
        <v>2337.6874751999999</v>
      </c>
    </row>
    <row r="26" spans="2:22" x14ac:dyDescent="0.15">
      <c r="C26" s="1">
        <v>80</v>
      </c>
      <c r="D26" s="7">
        <v>100</v>
      </c>
      <c r="E26" s="1">
        <f>B11</f>
        <v>12</v>
      </c>
      <c r="F26" s="1">
        <f t="shared" si="12"/>
        <v>1</v>
      </c>
      <c r="G26" s="1"/>
      <c r="H26" s="1"/>
      <c r="J26" s="27">
        <v>80</v>
      </c>
      <c r="K26" s="1">
        <f t="shared" si="13"/>
        <v>1</v>
      </c>
      <c r="L26" s="1">
        <f t="shared" si="13"/>
        <v>1.5</v>
      </c>
      <c r="M26" s="1">
        <f t="shared" si="14"/>
        <v>2.166666666666667</v>
      </c>
      <c r="N26" s="1">
        <f t="shared" si="15"/>
        <v>2.8333333333333335</v>
      </c>
      <c r="O26" s="1">
        <f t="shared" si="16"/>
        <v>3.3333333333333335</v>
      </c>
      <c r="Q26" s="1" t="s">
        <v>354</v>
      </c>
      <c r="R26" s="1">
        <f>R17/R4</f>
        <v>1</v>
      </c>
      <c r="S26" s="1">
        <f>S17/S4</f>
        <v>1</v>
      </c>
      <c r="T26" s="1">
        <f>T17/T4</f>
        <v>0.9</v>
      </c>
      <c r="U26" s="1">
        <f>U17/U4</f>
        <v>0.8</v>
      </c>
      <c r="V26" s="1">
        <f>V17/V4</f>
        <v>0.7</v>
      </c>
    </row>
    <row r="27" spans="2:22" x14ac:dyDescent="0.15">
      <c r="C27" s="5">
        <v>90</v>
      </c>
      <c r="D27" s="7">
        <v>100</v>
      </c>
      <c r="E27" s="1">
        <f>E26</f>
        <v>12</v>
      </c>
      <c r="F27" s="1">
        <f t="shared" si="12"/>
        <v>1</v>
      </c>
      <c r="G27" s="1"/>
      <c r="H27" s="1"/>
      <c r="J27" s="27">
        <v>90</v>
      </c>
      <c r="K27" s="1">
        <f t="shared" si="13"/>
        <v>1</v>
      </c>
      <c r="L27" s="1">
        <f t="shared" si="13"/>
        <v>1.5</v>
      </c>
      <c r="M27" s="1">
        <f t="shared" si="14"/>
        <v>2.166666666666667</v>
      </c>
      <c r="N27" s="1">
        <f t="shared" si="15"/>
        <v>2.8333333333333335</v>
      </c>
      <c r="O27" s="1">
        <f t="shared" si="16"/>
        <v>3.3333333333333335</v>
      </c>
      <c r="Q27" s="1" t="s">
        <v>355</v>
      </c>
      <c r="R27" s="76">
        <f>R16*0.1</f>
        <v>0</v>
      </c>
      <c r="S27" s="76">
        <f t="shared" ref="S27:V27" si="17">S16*0.1</f>
        <v>0.1</v>
      </c>
      <c r="T27" s="76">
        <f t="shared" si="17"/>
        <v>0.2</v>
      </c>
      <c r="U27" s="76">
        <f t="shared" si="17"/>
        <v>0.30000000000000004</v>
      </c>
      <c r="V27" s="76">
        <f t="shared" si="17"/>
        <v>0.4</v>
      </c>
    </row>
    <row r="28" spans="2:22" x14ac:dyDescent="0.15">
      <c r="B28" s="15"/>
      <c r="C28" s="5">
        <v>100</v>
      </c>
      <c r="D28" s="7">
        <v>100</v>
      </c>
      <c r="E28" s="1">
        <f>E27</f>
        <v>12</v>
      </c>
      <c r="F28" s="1">
        <f t="shared" si="12"/>
        <v>1</v>
      </c>
      <c r="G28" s="1"/>
      <c r="H28" s="1"/>
      <c r="J28" s="27">
        <v>100</v>
      </c>
      <c r="K28" s="1">
        <f t="shared" si="13"/>
        <v>1</v>
      </c>
      <c r="L28" s="1">
        <f t="shared" si="13"/>
        <v>1.5</v>
      </c>
      <c r="M28" s="1">
        <f t="shared" si="14"/>
        <v>2.166666666666667</v>
      </c>
      <c r="N28" s="1">
        <f t="shared" si="15"/>
        <v>2.8333333333333335</v>
      </c>
      <c r="O28" s="1">
        <f t="shared" si="16"/>
        <v>3.3333333333333335</v>
      </c>
    </row>
    <row r="29" spans="2:22" x14ac:dyDescent="0.15">
      <c r="B29" s="15"/>
      <c r="C29" s="15"/>
      <c r="J29" s="5"/>
      <c r="K29" s="1"/>
      <c r="L29" s="1"/>
      <c r="M29" s="1"/>
      <c r="N29" s="1"/>
      <c r="O29" s="1"/>
    </row>
    <row r="30" spans="2:22" x14ac:dyDescent="0.15">
      <c r="B30" s="15"/>
      <c r="C30" s="15"/>
      <c r="J30" s="187" t="s">
        <v>255</v>
      </c>
      <c r="K30" s="7">
        <v>30</v>
      </c>
      <c r="L30" s="7">
        <v>45</v>
      </c>
      <c r="M30" s="7">
        <v>65</v>
      </c>
      <c r="N30" s="7">
        <v>85</v>
      </c>
      <c r="O30" s="7">
        <v>100</v>
      </c>
    </row>
    <row r="31" spans="2:22" x14ac:dyDescent="0.15">
      <c r="B31" s="15"/>
      <c r="C31" s="15"/>
      <c r="J31" s="189"/>
      <c r="K31" s="1">
        <f>K30/$O$30</f>
        <v>0.3</v>
      </c>
      <c r="L31" s="1">
        <f>L30/$O$30</f>
        <v>0.45</v>
      </c>
      <c r="M31" s="1">
        <f>M30/$O$30</f>
        <v>0.65</v>
      </c>
      <c r="N31" s="1">
        <f>N30/$O$30</f>
        <v>0.85</v>
      </c>
      <c r="O31" s="1">
        <v>1</v>
      </c>
    </row>
    <row r="32" spans="2:22" x14ac:dyDescent="0.15">
      <c r="J32" s="3" t="s">
        <v>132</v>
      </c>
      <c r="K32" s="103">
        <v>0</v>
      </c>
      <c r="L32" s="103">
        <v>1</v>
      </c>
      <c r="M32" s="103">
        <v>2</v>
      </c>
      <c r="N32" s="103">
        <v>3</v>
      </c>
      <c r="O32" s="103">
        <v>4</v>
      </c>
    </row>
    <row r="33" spans="3:20" x14ac:dyDescent="0.15">
      <c r="D33" s="14"/>
      <c r="E33" s="14"/>
      <c r="F33" s="14"/>
      <c r="G33" s="14"/>
      <c r="H33" s="14"/>
      <c r="I33" s="14"/>
      <c r="J33" s="27">
        <v>0</v>
      </c>
      <c r="K33" s="1"/>
      <c r="L33" s="1">
        <v>0</v>
      </c>
      <c r="M33" s="1">
        <v>0</v>
      </c>
      <c r="N33" s="1">
        <v>0</v>
      </c>
      <c r="O33" s="1">
        <v>0</v>
      </c>
    </row>
    <row r="34" spans="3:20" x14ac:dyDescent="0.15">
      <c r="C34" s="57"/>
      <c r="J34" s="27">
        <v>5</v>
      </c>
      <c r="K34" s="1">
        <f t="shared" ref="K34:N42" si="18">$O34*K$31</f>
        <v>0.12</v>
      </c>
      <c r="L34" s="1">
        <f t="shared" si="18"/>
        <v>0.18000000000000002</v>
      </c>
      <c r="M34" s="1">
        <f t="shared" si="18"/>
        <v>0.26</v>
      </c>
      <c r="N34" s="1">
        <f t="shared" si="18"/>
        <v>0.34</v>
      </c>
      <c r="O34" s="1">
        <f t="shared" ref="O34:O41" si="19">$H$11*VLOOKUP(J34,$C$19:$F$28,4,FALSE)</f>
        <v>0.4</v>
      </c>
    </row>
    <row r="35" spans="3:20" x14ac:dyDescent="0.15">
      <c r="J35" s="27">
        <v>15</v>
      </c>
      <c r="K35" s="1">
        <f t="shared" si="18"/>
        <v>0.24</v>
      </c>
      <c r="L35" s="1">
        <f t="shared" si="18"/>
        <v>0.36000000000000004</v>
      </c>
      <c r="M35" s="1">
        <f t="shared" si="18"/>
        <v>0.52</v>
      </c>
      <c r="N35" s="1">
        <f t="shared" si="18"/>
        <v>0.68</v>
      </c>
      <c r="O35" s="1">
        <f t="shared" si="19"/>
        <v>0.8</v>
      </c>
    </row>
    <row r="36" spans="3:20" x14ac:dyDescent="0.15">
      <c r="J36" s="27">
        <v>30</v>
      </c>
      <c r="K36" s="1">
        <f t="shared" si="18"/>
        <v>0.48</v>
      </c>
      <c r="L36" s="1">
        <f t="shared" si="18"/>
        <v>0.72000000000000008</v>
      </c>
      <c r="M36" s="1">
        <f t="shared" si="18"/>
        <v>1.04</v>
      </c>
      <c r="N36" s="1">
        <f t="shared" si="18"/>
        <v>1.36</v>
      </c>
      <c r="O36" s="1">
        <f t="shared" si="19"/>
        <v>1.6</v>
      </c>
    </row>
    <row r="37" spans="3:20" x14ac:dyDescent="0.15">
      <c r="J37" s="27">
        <v>45</v>
      </c>
      <c r="K37" s="1">
        <f t="shared" si="18"/>
        <v>0.96</v>
      </c>
      <c r="L37" s="1">
        <f t="shared" si="18"/>
        <v>1.4400000000000002</v>
      </c>
      <c r="M37" s="1">
        <f t="shared" si="18"/>
        <v>2.08</v>
      </c>
      <c r="N37" s="1">
        <f t="shared" si="18"/>
        <v>2.72</v>
      </c>
      <c r="O37" s="1">
        <f t="shared" si="19"/>
        <v>3.2</v>
      </c>
    </row>
    <row r="38" spans="3:20" x14ac:dyDescent="0.15">
      <c r="J38" s="27">
        <v>60</v>
      </c>
      <c r="K38" s="1">
        <f t="shared" si="18"/>
        <v>1.44</v>
      </c>
      <c r="L38" s="1">
        <f t="shared" si="18"/>
        <v>2.16</v>
      </c>
      <c r="M38" s="1">
        <f t="shared" si="18"/>
        <v>3.12</v>
      </c>
      <c r="N38" s="1">
        <f t="shared" si="18"/>
        <v>4.08</v>
      </c>
      <c r="O38" s="1">
        <f t="shared" si="19"/>
        <v>4.8</v>
      </c>
    </row>
    <row r="39" spans="3:20" x14ac:dyDescent="0.15">
      <c r="J39" s="27">
        <v>70</v>
      </c>
      <c r="K39" s="1">
        <f t="shared" si="18"/>
        <v>1.92</v>
      </c>
      <c r="L39" s="1">
        <f t="shared" si="18"/>
        <v>2.8800000000000003</v>
      </c>
      <c r="M39" s="1">
        <f t="shared" si="18"/>
        <v>4.16</v>
      </c>
      <c r="N39" s="1">
        <f t="shared" si="18"/>
        <v>5.44</v>
      </c>
      <c r="O39" s="1">
        <f t="shared" si="19"/>
        <v>6.4</v>
      </c>
    </row>
    <row r="40" spans="3:20" x14ac:dyDescent="0.15">
      <c r="J40" s="27">
        <v>80</v>
      </c>
      <c r="K40" s="1">
        <f t="shared" si="18"/>
        <v>2.4</v>
      </c>
      <c r="L40" s="1">
        <f t="shared" si="18"/>
        <v>3.6</v>
      </c>
      <c r="M40" s="1">
        <f t="shared" si="18"/>
        <v>5.2</v>
      </c>
      <c r="N40" s="1">
        <f t="shared" si="18"/>
        <v>6.8</v>
      </c>
      <c r="O40" s="1">
        <f t="shared" si="19"/>
        <v>8</v>
      </c>
    </row>
    <row r="41" spans="3:20" x14ac:dyDescent="0.15">
      <c r="J41" s="27">
        <v>90</v>
      </c>
      <c r="K41" s="1">
        <f t="shared" si="18"/>
        <v>2.4</v>
      </c>
      <c r="L41" s="1">
        <f t="shared" si="18"/>
        <v>3.6</v>
      </c>
      <c r="M41" s="1">
        <f t="shared" si="18"/>
        <v>5.2</v>
      </c>
      <c r="N41" s="1">
        <f t="shared" si="18"/>
        <v>6.8</v>
      </c>
      <c r="O41" s="1">
        <f t="shared" si="19"/>
        <v>8</v>
      </c>
    </row>
    <row r="42" spans="3:20" x14ac:dyDescent="0.15">
      <c r="J42" s="27">
        <v>100</v>
      </c>
      <c r="K42" s="1">
        <f t="shared" si="18"/>
        <v>2.4</v>
      </c>
      <c r="L42" s="1">
        <f t="shared" si="18"/>
        <v>3.6</v>
      </c>
      <c r="M42" s="1">
        <f t="shared" si="18"/>
        <v>5.2</v>
      </c>
      <c r="N42" s="1">
        <f t="shared" si="18"/>
        <v>6.8</v>
      </c>
      <c r="O42" s="1">
        <f>$H$11*VLOOKUP(J42,$C$19:$F$28,4,FALSE)</f>
        <v>8</v>
      </c>
    </row>
    <row r="46" spans="3:20" x14ac:dyDescent="0.15">
      <c r="H46" s="169" t="s">
        <v>169</v>
      </c>
      <c r="I46" s="169" t="s">
        <v>170</v>
      </c>
      <c r="J46" s="169" t="s">
        <v>171</v>
      </c>
      <c r="K46" s="169" t="s">
        <v>449</v>
      </c>
      <c r="L46" s="169" t="s">
        <v>450</v>
      </c>
      <c r="M46" s="169" t="s">
        <v>451</v>
      </c>
      <c r="N46" s="169" t="s">
        <v>452</v>
      </c>
      <c r="O46" s="169" t="s">
        <v>453</v>
      </c>
      <c r="P46" s="169" t="s">
        <v>454</v>
      </c>
      <c r="Q46" s="169" t="s">
        <v>455</v>
      </c>
      <c r="R46" s="169" t="s">
        <v>456</v>
      </c>
      <c r="S46" s="169" t="s">
        <v>457</v>
      </c>
      <c r="T46" s="169" t="s">
        <v>458</v>
      </c>
    </row>
    <row r="47" spans="3:20" x14ac:dyDescent="0.15">
      <c r="G47" t="s">
        <v>448</v>
      </c>
      <c r="H47">
        <f>属性分配验证!C2</f>
        <v>2073582.6544695653</v>
      </c>
      <c r="I47">
        <f>属性分配验证!D2</f>
        <v>93078.720000000016</v>
      </c>
      <c r="J47">
        <f>属性分配验证!E2</f>
        <v>41368.320000000007</v>
      </c>
      <c r="K47">
        <f>属性分配验证!F2</f>
        <v>50000</v>
      </c>
      <c r="L47">
        <f>属性分配验证!G2</f>
        <v>50000</v>
      </c>
      <c r="M47">
        <f>属性分配验证!H2</f>
        <v>50000</v>
      </c>
      <c r="N47">
        <f>属性分配验证!I2</f>
        <v>50000</v>
      </c>
      <c r="O47">
        <f>属性分配验证!J2</f>
        <v>50000</v>
      </c>
      <c r="P47">
        <f>属性分配验证!K2</f>
        <v>20000</v>
      </c>
      <c r="Q47">
        <f>属性分配验证!L2</f>
        <v>20000</v>
      </c>
      <c r="R47">
        <f>属性分配验证!M2</f>
        <v>10000</v>
      </c>
      <c r="S47">
        <f>属性分配验证!N2</f>
        <v>20000</v>
      </c>
      <c r="T47">
        <f>属性分配验证!O2</f>
        <v>20000</v>
      </c>
    </row>
    <row r="49" spans="3:23" x14ac:dyDescent="0.15">
      <c r="D49" s="125" t="s">
        <v>356</v>
      </c>
      <c r="E49" s="125"/>
      <c r="F49" s="90"/>
      <c r="H49" s="59">
        <v>2</v>
      </c>
      <c r="I49" s="59">
        <v>3</v>
      </c>
      <c r="J49" s="59">
        <v>4</v>
      </c>
      <c r="K49" s="59">
        <v>5</v>
      </c>
      <c r="L49" s="59">
        <v>6</v>
      </c>
      <c r="M49" s="59">
        <v>7</v>
      </c>
      <c r="N49" s="59">
        <v>8</v>
      </c>
      <c r="O49" s="59">
        <v>9</v>
      </c>
      <c r="P49" s="59">
        <v>10</v>
      </c>
      <c r="Q49" s="59">
        <v>11</v>
      </c>
      <c r="R49" s="59">
        <v>12</v>
      </c>
      <c r="S49" s="59">
        <v>13</v>
      </c>
      <c r="T49" s="59">
        <v>14</v>
      </c>
    </row>
    <row r="50" spans="3:23" ht="16.899999999999999" customHeight="1" x14ac:dyDescent="0.15">
      <c r="C50" s="206" t="s">
        <v>357</v>
      </c>
      <c r="D50" s="1" t="s">
        <v>317</v>
      </c>
      <c r="E50" s="1" t="s">
        <v>314</v>
      </c>
      <c r="F50" s="1" t="s">
        <v>315</v>
      </c>
      <c r="G50" s="1" t="s">
        <v>316</v>
      </c>
      <c r="H50" s="9" t="str">
        <f>各种公式!C12</f>
        <v>生命</v>
      </c>
      <c r="I50" s="9" t="str">
        <f>各种公式!D12</f>
        <v>攻击</v>
      </c>
      <c r="J50" s="9" t="str">
        <f>各种公式!E12</f>
        <v>防御</v>
      </c>
      <c r="K50" s="9" t="str">
        <f>各种公式!F12</f>
        <v>闪避值</v>
      </c>
      <c r="L50" s="9" t="str">
        <f>各种公式!G12</f>
        <v>命中值</v>
      </c>
      <c r="M50" s="9" t="str">
        <f>各种公式!H12</f>
        <v>暴击值</v>
      </c>
      <c r="N50" s="9" t="str">
        <f>各种公式!I12</f>
        <v>暴击倍数</v>
      </c>
      <c r="O50" s="9" t="str">
        <f>各种公式!J12</f>
        <v>韧性值</v>
      </c>
      <c r="P50" s="9" t="str">
        <f>各种公式!K12</f>
        <v>伤害减免</v>
      </c>
      <c r="Q50" s="9" t="str">
        <f>各种公式!L12</f>
        <v>伤害加深</v>
      </c>
      <c r="R50" s="9" t="str">
        <f>各种公式!M12</f>
        <v>生命加成</v>
      </c>
      <c r="S50" s="9" t="str">
        <f>各种公式!N12</f>
        <v>攻击加成</v>
      </c>
      <c r="T50" s="9" t="str">
        <f>各种公式!O12</f>
        <v>防御加成</v>
      </c>
    </row>
    <row r="51" spans="3:23" x14ac:dyDescent="0.15">
      <c r="C51" s="206"/>
      <c r="D51" s="1" t="str">
        <f>E51&amp;F51</f>
        <v>50</v>
      </c>
      <c r="E51" s="1">
        <v>5</v>
      </c>
      <c r="F51" s="103">
        <v>0</v>
      </c>
      <c r="G51" s="1">
        <f>VLOOKUP(E51,$J$6:$O$13,F51+2,FALSE)</f>
        <v>0.01</v>
      </c>
      <c r="H51" s="34">
        <f>H$47*VLOOKUP($B$15,属性权重数组,H$49,FALSE)*$G51/$B$11</f>
        <v>391.98159819840561</v>
      </c>
      <c r="I51" s="34">
        <f t="shared" ref="H51:T62" si="20">I$47*VLOOKUP($B$15,属性权重数组,I$49,FALSE)*$G51/$B$11</f>
        <v>19.90988663101605</v>
      </c>
      <c r="J51" s="34">
        <f t="shared" si="20"/>
        <v>8.6034634315424618</v>
      </c>
      <c r="K51" s="34">
        <f t="shared" si="20"/>
        <v>15.625</v>
      </c>
      <c r="L51" s="34">
        <f t="shared" si="20"/>
        <v>15.625</v>
      </c>
      <c r="M51" s="34">
        <f t="shared" si="20"/>
        <v>9.2592592592592595</v>
      </c>
      <c r="N51" s="34">
        <f t="shared" si="20"/>
        <v>0</v>
      </c>
      <c r="O51" s="34">
        <f t="shared" si="20"/>
        <v>9.2592592592592595</v>
      </c>
      <c r="P51" s="34">
        <f t="shared" si="20"/>
        <v>0</v>
      </c>
      <c r="Q51" s="34">
        <f t="shared" si="20"/>
        <v>0</v>
      </c>
      <c r="R51" s="34">
        <f t="shared" si="20"/>
        <v>0</v>
      </c>
      <c r="S51" s="34">
        <f t="shared" si="20"/>
        <v>0</v>
      </c>
      <c r="T51" s="34">
        <f t="shared" si="20"/>
        <v>0</v>
      </c>
      <c r="U51" s="170">
        <f t="shared" ref="U51:U76" si="21">SUMPRODUCT(H51:T51,属性价值比)</f>
        <v>58.150947323828063</v>
      </c>
      <c r="V51">
        <v>5</v>
      </c>
      <c r="W51">
        <v>0</v>
      </c>
    </row>
    <row r="52" spans="3:23" x14ac:dyDescent="0.15">
      <c r="C52" s="206"/>
      <c r="D52" s="1" t="str">
        <f>E52&amp;F52</f>
        <v>51</v>
      </c>
      <c r="E52" s="1">
        <v>5</v>
      </c>
      <c r="F52" s="103">
        <v>1</v>
      </c>
      <c r="G52" s="1">
        <f t="shared" ref="G52:G76" si="22">VLOOKUP(E52,$J$6:$O$13,F52+2,FALSE)</f>
        <v>1.4999999999999999E-2</v>
      </c>
      <c r="H52" s="34">
        <f>H$47*VLOOKUP($B$15,属性权重数组,H$49,FALSE)*$G52/$B$11</f>
        <v>587.97239729760838</v>
      </c>
      <c r="I52" s="34">
        <f t="shared" si="20"/>
        <v>29.864829946524072</v>
      </c>
      <c r="J52" s="34">
        <f t="shared" si="20"/>
        <v>12.905195147313693</v>
      </c>
      <c r="K52" s="34">
        <f t="shared" si="20"/>
        <v>23.4375</v>
      </c>
      <c r="L52" s="34">
        <f t="shared" si="20"/>
        <v>23.4375</v>
      </c>
      <c r="M52" s="34">
        <f t="shared" si="20"/>
        <v>13.888888888888888</v>
      </c>
      <c r="N52" s="34">
        <f t="shared" si="20"/>
        <v>0</v>
      </c>
      <c r="O52" s="34">
        <f t="shared" si="20"/>
        <v>13.888888888888888</v>
      </c>
      <c r="P52" s="34">
        <f t="shared" si="20"/>
        <v>0</v>
      </c>
      <c r="Q52" s="34">
        <f t="shared" si="20"/>
        <v>0</v>
      </c>
      <c r="R52" s="34">
        <f t="shared" si="20"/>
        <v>0</v>
      </c>
      <c r="S52" s="34">
        <f t="shared" si="20"/>
        <v>0</v>
      </c>
      <c r="T52" s="34">
        <f t="shared" si="20"/>
        <v>0</v>
      </c>
      <c r="U52" s="170">
        <f t="shared" si="21"/>
        <v>87.226420985742095</v>
      </c>
      <c r="V52">
        <v>5</v>
      </c>
      <c r="W52">
        <v>1</v>
      </c>
    </row>
    <row r="53" spans="3:23" x14ac:dyDescent="0.15">
      <c r="C53" s="206"/>
      <c r="D53" s="1" t="str">
        <f t="shared" ref="D53:D76" si="23">E53&amp;F53</f>
        <v>151</v>
      </c>
      <c r="E53" s="1">
        <v>15</v>
      </c>
      <c r="F53" s="103">
        <v>1</v>
      </c>
      <c r="G53" s="1">
        <f>VLOOKUP(E53,$J$6:$O$13,F53+2,FALSE)</f>
        <v>0.03</v>
      </c>
      <c r="H53" s="34">
        <f>H$47*VLOOKUP($B$15,属性权重数组,H$49,FALSE)*$G53/$B$11</f>
        <v>1175.9447945952168</v>
      </c>
      <c r="I53" s="34">
        <f t="shared" si="20"/>
        <v>59.729659893048144</v>
      </c>
      <c r="J53" s="34">
        <f t="shared" si="20"/>
        <v>25.810390294627386</v>
      </c>
      <c r="K53" s="34">
        <f t="shared" si="20"/>
        <v>46.875</v>
      </c>
      <c r="L53" s="34">
        <f t="shared" si="20"/>
        <v>46.875</v>
      </c>
      <c r="M53" s="34">
        <f t="shared" si="20"/>
        <v>27.777777777777775</v>
      </c>
      <c r="N53" s="34">
        <f t="shared" si="20"/>
        <v>0</v>
      </c>
      <c r="O53" s="34">
        <f t="shared" si="20"/>
        <v>27.777777777777775</v>
      </c>
      <c r="P53" s="34">
        <f t="shared" si="20"/>
        <v>0</v>
      </c>
      <c r="Q53" s="34">
        <f t="shared" si="20"/>
        <v>0</v>
      </c>
      <c r="R53" s="34">
        <f t="shared" si="20"/>
        <v>0</v>
      </c>
      <c r="S53" s="34">
        <f t="shared" si="20"/>
        <v>0</v>
      </c>
      <c r="T53" s="34">
        <f t="shared" si="20"/>
        <v>0</v>
      </c>
      <c r="U53" s="170">
        <f t="shared" si="21"/>
        <v>174.45284197148419</v>
      </c>
      <c r="V53">
        <v>15</v>
      </c>
      <c r="W53">
        <v>1</v>
      </c>
    </row>
    <row r="54" spans="3:23" x14ac:dyDescent="0.15">
      <c r="C54" s="206"/>
      <c r="D54" s="1" t="str">
        <f t="shared" si="23"/>
        <v>152</v>
      </c>
      <c r="E54" s="1">
        <v>15</v>
      </c>
      <c r="F54" s="103">
        <v>2</v>
      </c>
      <c r="G54" s="1">
        <f t="shared" si="22"/>
        <v>4.3333333333333335E-2</v>
      </c>
      <c r="H54" s="34">
        <f t="shared" si="20"/>
        <v>1698.5869255264242</v>
      </c>
      <c r="I54" s="34">
        <f t="shared" si="20"/>
        <v>86.276175401069551</v>
      </c>
      <c r="J54" s="34">
        <f t="shared" si="20"/>
        <v>37.281674870017333</v>
      </c>
      <c r="K54" s="34">
        <f t="shared" si="20"/>
        <v>67.708333333333329</v>
      </c>
      <c r="L54" s="34">
        <f t="shared" si="20"/>
        <v>67.708333333333329</v>
      </c>
      <c r="M54" s="34">
        <f t="shared" si="20"/>
        <v>40.123456790123463</v>
      </c>
      <c r="N54" s="34">
        <f t="shared" si="20"/>
        <v>0</v>
      </c>
      <c r="O54" s="34">
        <f t="shared" si="20"/>
        <v>40.123456790123463</v>
      </c>
      <c r="P54" s="34">
        <f t="shared" si="20"/>
        <v>0</v>
      </c>
      <c r="Q54" s="34">
        <f t="shared" si="20"/>
        <v>0</v>
      </c>
      <c r="R54" s="34">
        <f t="shared" si="20"/>
        <v>0</v>
      </c>
      <c r="S54" s="34">
        <f t="shared" si="20"/>
        <v>0</v>
      </c>
      <c r="T54" s="34">
        <f t="shared" si="20"/>
        <v>0</v>
      </c>
      <c r="U54" s="170">
        <f t="shared" si="21"/>
        <v>251.98743840325497</v>
      </c>
      <c r="V54">
        <v>15</v>
      </c>
      <c r="W54">
        <v>2</v>
      </c>
    </row>
    <row r="55" spans="3:23" s="173" customFormat="1" x14ac:dyDescent="0.15">
      <c r="C55" s="206"/>
      <c r="D55" s="1" t="str">
        <f t="shared" ref="D55" si="24">E55&amp;F55</f>
        <v>153</v>
      </c>
      <c r="E55" s="1">
        <v>15</v>
      </c>
      <c r="F55" s="103">
        <v>3</v>
      </c>
      <c r="G55" s="1">
        <f t="shared" ref="G55" si="25">VLOOKUP(E55,$J$6:$O$13,F55+2,FALSE)</f>
        <v>5.6666666666666664E-2</v>
      </c>
      <c r="H55" s="34">
        <f t="shared" si="20"/>
        <v>2221.2290564576315</v>
      </c>
      <c r="I55" s="34">
        <f t="shared" si="20"/>
        <v>112.82269090909095</v>
      </c>
      <c r="J55" s="34">
        <f t="shared" si="20"/>
        <v>48.752959445407278</v>
      </c>
      <c r="K55" s="34">
        <f t="shared" si="20"/>
        <v>88.541666666666671</v>
      </c>
      <c r="L55" s="34">
        <f t="shared" si="20"/>
        <v>88.541666666666671</v>
      </c>
      <c r="M55" s="34">
        <f t="shared" si="20"/>
        <v>52.469135802469133</v>
      </c>
      <c r="N55" s="34">
        <f t="shared" si="20"/>
        <v>0</v>
      </c>
      <c r="O55" s="34">
        <f t="shared" si="20"/>
        <v>52.469135802469133</v>
      </c>
      <c r="P55" s="34">
        <f t="shared" si="20"/>
        <v>0</v>
      </c>
      <c r="Q55" s="34">
        <f t="shared" si="20"/>
        <v>0</v>
      </c>
      <c r="R55" s="34">
        <f t="shared" si="20"/>
        <v>0</v>
      </c>
      <c r="S55" s="34">
        <f t="shared" si="20"/>
        <v>0</v>
      </c>
      <c r="T55" s="34">
        <f t="shared" si="20"/>
        <v>0</v>
      </c>
      <c r="U55" s="170">
        <f t="shared" ref="U55" si="26">SUMPRODUCT(H55:T55,属性价值比)</f>
        <v>329.52203483502575</v>
      </c>
      <c r="V55" s="173">
        <v>15</v>
      </c>
      <c r="W55" s="173">
        <v>2</v>
      </c>
    </row>
    <row r="56" spans="3:23" s="173" customFormat="1" x14ac:dyDescent="0.15">
      <c r="C56" s="206"/>
      <c r="D56" s="1" t="str">
        <f t="shared" ref="D56" si="27">E56&amp;F56</f>
        <v>154</v>
      </c>
      <c r="E56" s="1">
        <v>15</v>
      </c>
      <c r="F56" s="103">
        <v>4</v>
      </c>
      <c r="G56" s="1">
        <f t="shared" ref="G56" si="28">VLOOKUP(E56,$J$6:$O$13,F56+2,FALSE)</f>
        <v>6.6666666666666666E-2</v>
      </c>
      <c r="H56" s="34">
        <f t="shared" si="20"/>
        <v>2613.2106546560367</v>
      </c>
      <c r="I56" s="34">
        <f t="shared" si="20"/>
        <v>132.73257754010697</v>
      </c>
      <c r="J56" s="34">
        <f t="shared" si="20"/>
        <v>57.35642287694975</v>
      </c>
      <c r="K56" s="34">
        <f t="shared" si="20"/>
        <v>104.16666666666667</v>
      </c>
      <c r="L56" s="34">
        <f t="shared" si="20"/>
        <v>104.16666666666667</v>
      </c>
      <c r="M56" s="34">
        <f t="shared" si="20"/>
        <v>61.728395061728399</v>
      </c>
      <c r="N56" s="34">
        <f t="shared" si="20"/>
        <v>0</v>
      </c>
      <c r="O56" s="34">
        <f t="shared" si="20"/>
        <v>61.728395061728399</v>
      </c>
      <c r="P56" s="34">
        <f t="shared" si="20"/>
        <v>0</v>
      </c>
      <c r="Q56" s="34">
        <f t="shared" si="20"/>
        <v>0</v>
      </c>
      <c r="R56" s="34">
        <f t="shared" si="20"/>
        <v>0</v>
      </c>
      <c r="S56" s="34">
        <f t="shared" si="20"/>
        <v>0</v>
      </c>
      <c r="T56" s="34">
        <f t="shared" si="20"/>
        <v>0</v>
      </c>
      <c r="U56" s="170">
        <f t="shared" ref="U56" si="29">SUMPRODUCT(H56:T56,属性价值比)</f>
        <v>387.67298215885376</v>
      </c>
      <c r="V56" s="173">
        <v>15</v>
      </c>
      <c r="W56" s="173">
        <v>2</v>
      </c>
    </row>
    <row r="57" spans="3:23" x14ac:dyDescent="0.15">
      <c r="C57" s="206"/>
      <c r="D57" s="1" t="str">
        <f t="shared" si="23"/>
        <v>301</v>
      </c>
      <c r="E57" s="1">
        <v>30</v>
      </c>
      <c r="F57" s="103">
        <v>1</v>
      </c>
      <c r="G57" s="1">
        <f t="shared" si="22"/>
        <v>0.06</v>
      </c>
      <c r="H57" s="34">
        <f t="shared" si="20"/>
        <v>2351.8895891904335</v>
      </c>
      <c r="I57" s="34">
        <f t="shared" si="20"/>
        <v>119.45931978609629</v>
      </c>
      <c r="J57" s="34">
        <f t="shared" si="20"/>
        <v>51.620780589254771</v>
      </c>
      <c r="K57" s="34">
        <f t="shared" si="20"/>
        <v>93.75</v>
      </c>
      <c r="L57" s="34">
        <f t="shared" si="20"/>
        <v>93.75</v>
      </c>
      <c r="M57" s="34">
        <f t="shared" si="20"/>
        <v>55.55555555555555</v>
      </c>
      <c r="N57" s="34">
        <f t="shared" si="20"/>
        <v>0</v>
      </c>
      <c r="O57" s="34">
        <f t="shared" si="20"/>
        <v>55.55555555555555</v>
      </c>
      <c r="P57" s="34">
        <f t="shared" si="20"/>
        <v>0</v>
      </c>
      <c r="Q57" s="34">
        <f t="shared" si="20"/>
        <v>0</v>
      </c>
      <c r="R57" s="34">
        <f t="shared" si="20"/>
        <v>0</v>
      </c>
      <c r="S57" s="34">
        <f t="shared" si="20"/>
        <v>0</v>
      </c>
      <c r="T57" s="34">
        <f t="shared" si="20"/>
        <v>0</v>
      </c>
      <c r="U57" s="170">
        <f t="shared" si="21"/>
        <v>348.90568394296838</v>
      </c>
      <c r="V57">
        <v>30</v>
      </c>
      <c r="W57">
        <v>1</v>
      </c>
    </row>
    <row r="58" spans="3:23" x14ac:dyDescent="0.15">
      <c r="C58" s="206"/>
      <c r="D58" s="1" t="str">
        <f t="shared" si="23"/>
        <v>302</v>
      </c>
      <c r="E58" s="1">
        <v>30</v>
      </c>
      <c r="F58" s="103">
        <v>2</v>
      </c>
      <c r="G58" s="1">
        <f t="shared" si="22"/>
        <v>8.666666666666667E-2</v>
      </c>
      <c r="H58" s="34">
        <f t="shared" si="20"/>
        <v>3397.1738510528485</v>
      </c>
      <c r="I58" s="34">
        <f t="shared" si="20"/>
        <v>172.5523508021391</v>
      </c>
      <c r="J58" s="34">
        <f t="shared" si="20"/>
        <v>74.563349740034667</v>
      </c>
      <c r="K58" s="34">
        <f t="shared" si="20"/>
        <v>135.41666666666666</v>
      </c>
      <c r="L58" s="34">
        <f t="shared" si="20"/>
        <v>135.41666666666666</v>
      </c>
      <c r="M58" s="34">
        <f t="shared" si="20"/>
        <v>80.246913580246925</v>
      </c>
      <c r="N58" s="34">
        <f t="shared" si="20"/>
        <v>0</v>
      </c>
      <c r="O58" s="34">
        <f t="shared" si="20"/>
        <v>80.246913580246925</v>
      </c>
      <c r="P58" s="34">
        <f t="shared" si="20"/>
        <v>0</v>
      </c>
      <c r="Q58" s="34">
        <f t="shared" si="20"/>
        <v>0</v>
      </c>
      <c r="R58" s="34">
        <f t="shared" si="20"/>
        <v>0</v>
      </c>
      <c r="S58" s="34">
        <f t="shared" si="20"/>
        <v>0</v>
      </c>
      <c r="T58" s="34">
        <f t="shared" si="20"/>
        <v>0</v>
      </c>
      <c r="U58" s="170">
        <f t="shared" si="21"/>
        <v>503.97487680650994</v>
      </c>
      <c r="V58">
        <v>30</v>
      </c>
      <c r="W58">
        <v>2</v>
      </c>
    </row>
    <row r="59" spans="3:23" x14ac:dyDescent="0.15">
      <c r="C59" s="206"/>
      <c r="D59" s="1" t="str">
        <f t="shared" si="23"/>
        <v>303</v>
      </c>
      <c r="E59" s="1">
        <v>30</v>
      </c>
      <c r="F59" s="103">
        <v>3</v>
      </c>
      <c r="G59" s="1">
        <f t="shared" si="22"/>
        <v>0.11333333333333333</v>
      </c>
      <c r="H59" s="34">
        <f t="shared" si="20"/>
        <v>4442.458112915263</v>
      </c>
      <c r="I59" s="34">
        <f t="shared" si="20"/>
        <v>225.6453818181819</v>
      </c>
      <c r="J59" s="34">
        <f t="shared" si="20"/>
        <v>97.505918890814556</v>
      </c>
      <c r="K59" s="34">
        <f t="shared" si="20"/>
        <v>177.08333333333334</v>
      </c>
      <c r="L59" s="34">
        <f t="shared" si="20"/>
        <v>177.08333333333334</v>
      </c>
      <c r="M59" s="34">
        <f t="shared" si="20"/>
        <v>104.93827160493827</v>
      </c>
      <c r="N59" s="34">
        <f t="shared" si="20"/>
        <v>0</v>
      </c>
      <c r="O59" s="34">
        <f t="shared" si="20"/>
        <v>104.93827160493827</v>
      </c>
      <c r="P59" s="34">
        <f t="shared" si="20"/>
        <v>0</v>
      </c>
      <c r="Q59" s="34">
        <f t="shared" si="20"/>
        <v>0</v>
      </c>
      <c r="R59" s="34">
        <f t="shared" si="20"/>
        <v>0</v>
      </c>
      <c r="S59" s="34">
        <f t="shared" si="20"/>
        <v>0</v>
      </c>
      <c r="T59" s="34">
        <f t="shared" si="20"/>
        <v>0</v>
      </c>
      <c r="U59" s="170">
        <f t="shared" si="21"/>
        <v>659.0440696700515</v>
      </c>
      <c r="V59">
        <v>30</v>
      </c>
      <c r="W59">
        <v>3</v>
      </c>
    </row>
    <row r="60" spans="3:23" x14ac:dyDescent="0.15">
      <c r="C60" s="206"/>
      <c r="D60" s="1" t="str">
        <f t="shared" si="23"/>
        <v>304</v>
      </c>
      <c r="E60" s="1">
        <v>30</v>
      </c>
      <c r="F60" s="103">
        <v>4</v>
      </c>
      <c r="G60" s="1">
        <f t="shared" si="22"/>
        <v>0.13333333333333333</v>
      </c>
      <c r="H60" s="34">
        <f t="shared" si="20"/>
        <v>5226.4213093120734</v>
      </c>
      <c r="I60" s="34">
        <f t="shared" si="20"/>
        <v>265.46515508021395</v>
      </c>
      <c r="J60" s="34">
        <f t="shared" si="20"/>
        <v>114.7128457538995</v>
      </c>
      <c r="K60" s="34">
        <f t="shared" si="20"/>
        <v>208.33333333333334</v>
      </c>
      <c r="L60" s="34">
        <f t="shared" si="20"/>
        <v>208.33333333333334</v>
      </c>
      <c r="M60" s="34">
        <f t="shared" si="20"/>
        <v>123.4567901234568</v>
      </c>
      <c r="N60" s="34">
        <f t="shared" si="20"/>
        <v>0</v>
      </c>
      <c r="O60" s="34">
        <f t="shared" si="20"/>
        <v>123.4567901234568</v>
      </c>
      <c r="P60" s="34">
        <f t="shared" si="20"/>
        <v>0</v>
      </c>
      <c r="Q60" s="34">
        <f t="shared" si="20"/>
        <v>0</v>
      </c>
      <c r="R60" s="34">
        <f t="shared" si="20"/>
        <v>0</v>
      </c>
      <c r="S60" s="34">
        <f t="shared" si="20"/>
        <v>0</v>
      </c>
      <c r="T60" s="34">
        <f t="shared" si="20"/>
        <v>0</v>
      </c>
      <c r="U60" s="170">
        <f t="shared" si="21"/>
        <v>775.34596431770751</v>
      </c>
      <c r="V60">
        <v>30</v>
      </c>
      <c r="W60">
        <v>4</v>
      </c>
    </row>
    <row r="61" spans="3:23" x14ac:dyDescent="0.15">
      <c r="C61" s="206"/>
      <c r="D61" s="1" t="str">
        <f t="shared" si="23"/>
        <v>451</v>
      </c>
      <c r="E61" s="1">
        <v>45</v>
      </c>
      <c r="F61" s="103">
        <v>1</v>
      </c>
      <c r="G61" s="1">
        <f t="shared" si="22"/>
        <v>0.12</v>
      </c>
      <c r="H61" s="34">
        <f t="shared" si="20"/>
        <v>4703.7791783808671</v>
      </c>
      <c r="I61" s="34">
        <f t="shared" si="20"/>
        <v>238.91863957219257</v>
      </c>
      <c r="J61" s="34">
        <f t="shared" si="20"/>
        <v>103.24156117850954</v>
      </c>
      <c r="K61" s="34">
        <f t="shared" si="20"/>
        <v>187.5</v>
      </c>
      <c r="L61" s="34">
        <f t="shared" si="20"/>
        <v>187.5</v>
      </c>
      <c r="M61" s="34">
        <f t="shared" si="20"/>
        <v>111.1111111111111</v>
      </c>
      <c r="N61" s="34">
        <f t="shared" si="20"/>
        <v>0</v>
      </c>
      <c r="O61" s="34">
        <f t="shared" si="20"/>
        <v>111.1111111111111</v>
      </c>
      <c r="P61" s="34">
        <f t="shared" si="20"/>
        <v>0</v>
      </c>
      <c r="Q61" s="34">
        <f t="shared" si="20"/>
        <v>0</v>
      </c>
      <c r="R61" s="34">
        <f t="shared" si="20"/>
        <v>0</v>
      </c>
      <c r="S61" s="34">
        <f t="shared" si="20"/>
        <v>0</v>
      </c>
      <c r="T61" s="34">
        <f t="shared" si="20"/>
        <v>0</v>
      </c>
      <c r="U61" s="170">
        <f t="shared" si="21"/>
        <v>697.81136788593676</v>
      </c>
      <c r="V61">
        <v>45</v>
      </c>
      <c r="W61">
        <v>1</v>
      </c>
    </row>
    <row r="62" spans="3:23" x14ac:dyDescent="0.15">
      <c r="C62" s="206"/>
      <c r="D62" s="1" t="str">
        <f t="shared" si="23"/>
        <v>452</v>
      </c>
      <c r="E62" s="1">
        <v>45</v>
      </c>
      <c r="F62" s="103">
        <v>2</v>
      </c>
      <c r="G62" s="1">
        <f t="shared" si="22"/>
        <v>0.17333333333333334</v>
      </c>
      <c r="H62" s="34">
        <f t="shared" si="20"/>
        <v>6794.347702105697</v>
      </c>
      <c r="I62" s="34">
        <f t="shared" si="20"/>
        <v>345.1047016042782</v>
      </c>
      <c r="J62" s="34">
        <f t="shared" si="20"/>
        <v>149.12669948006933</v>
      </c>
      <c r="K62" s="34">
        <f t="shared" si="20"/>
        <v>270.83333333333331</v>
      </c>
      <c r="L62" s="34">
        <f t="shared" si="20"/>
        <v>270.83333333333331</v>
      </c>
      <c r="M62" s="34">
        <f t="shared" si="20"/>
        <v>160.49382716049385</v>
      </c>
      <c r="N62" s="34">
        <f t="shared" si="20"/>
        <v>0</v>
      </c>
      <c r="O62" s="34">
        <f t="shared" si="20"/>
        <v>160.49382716049385</v>
      </c>
      <c r="P62" s="34">
        <f t="shared" si="20"/>
        <v>0</v>
      </c>
      <c r="Q62" s="34">
        <f t="shared" si="20"/>
        <v>0</v>
      </c>
      <c r="R62" s="34">
        <f t="shared" si="20"/>
        <v>0</v>
      </c>
      <c r="S62" s="34">
        <f t="shared" si="20"/>
        <v>0</v>
      </c>
      <c r="T62" s="34">
        <f t="shared" si="20"/>
        <v>0</v>
      </c>
      <c r="U62" s="170">
        <f t="shared" si="21"/>
        <v>1007.9497536130199</v>
      </c>
      <c r="V62">
        <v>45</v>
      </c>
      <c r="W62">
        <v>2</v>
      </c>
    </row>
    <row r="63" spans="3:23" x14ac:dyDescent="0.15">
      <c r="C63" s="206"/>
      <c r="D63" s="1" t="str">
        <f t="shared" si="23"/>
        <v>453</v>
      </c>
      <c r="E63" s="1">
        <v>45</v>
      </c>
      <c r="F63" s="103">
        <v>3</v>
      </c>
      <c r="G63" s="1">
        <f t="shared" si="22"/>
        <v>0.22666666666666666</v>
      </c>
      <c r="H63" s="34">
        <f t="shared" ref="H63:T76" si="30">H$47*VLOOKUP($B$15,属性权重数组,H$49,FALSE)*$G63/$B$11</f>
        <v>8884.9162258305259</v>
      </c>
      <c r="I63" s="34">
        <f t="shared" si="30"/>
        <v>451.29076363636381</v>
      </c>
      <c r="J63" s="34">
        <f t="shared" si="30"/>
        <v>195.01183778162911</v>
      </c>
      <c r="K63" s="34">
        <f t="shared" si="30"/>
        <v>354.16666666666669</v>
      </c>
      <c r="L63" s="34">
        <f t="shared" si="30"/>
        <v>354.16666666666669</v>
      </c>
      <c r="M63" s="34">
        <f t="shared" si="30"/>
        <v>209.87654320987653</v>
      </c>
      <c r="N63" s="34">
        <f t="shared" si="30"/>
        <v>0</v>
      </c>
      <c r="O63" s="34">
        <f t="shared" si="30"/>
        <v>209.87654320987653</v>
      </c>
      <c r="P63" s="34">
        <f t="shared" si="30"/>
        <v>0</v>
      </c>
      <c r="Q63" s="34">
        <f t="shared" si="30"/>
        <v>0</v>
      </c>
      <c r="R63" s="34">
        <f t="shared" si="30"/>
        <v>0</v>
      </c>
      <c r="S63" s="34">
        <f t="shared" si="30"/>
        <v>0</v>
      </c>
      <c r="T63" s="34">
        <f t="shared" si="30"/>
        <v>0</v>
      </c>
      <c r="U63" s="170">
        <f t="shared" si="21"/>
        <v>1318.088139340103</v>
      </c>
      <c r="V63">
        <v>45</v>
      </c>
      <c r="W63">
        <v>3</v>
      </c>
    </row>
    <row r="64" spans="3:23" x14ac:dyDescent="0.15">
      <c r="C64" s="206"/>
      <c r="D64" s="1" t="str">
        <f t="shared" si="23"/>
        <v>454</v>
      </c>
      <c r="E64" s="1">
        <v>45</v>
      </c>
      <c r="F64" s="103">
        <v>4</v>
      </c>
      <c r="G64" s="1">
        <f t="shared" si="22"/>
        <v>0.26666666666666666</v>
      </c>
      <c r="H64" s="34">
        <f t="shared" si="30"/>
        <v>10452.842618624147</v>
      </c>
      <c r="I64" s="34">
        <f t="shared" si="30"/>
        <v>530.93031016042789</v>
      </c>
      <c r="J64" s="34">
        <f t="shared" si="30"/>
        <v>229.425691507799</v>
      </c>
      <c r="K64" s="34">
        <f t="shared" si="30"/>
        <v>416.66666666666669</v>
      </c>
      <c r="L64" s="34">
        <f t="shared" si="30"/>
        <v>416.66666666666669</v>
      </c>
      <c r="M64" s="34">
        <f t="shared" si="30"/>
        <v>246.9135802469136</v>
      </c>
      <c r="N64" s="34">
        <f t="shared" si="30"/>
        <v>0</v>
      </c>
      <c r="O64" s="34">
        <f t="shared" si="30"/>
        <v>246.9135802469136</v>
      </c>
      <c r="P64" s="34">
        <f t="shared" si="30"/>
        <v>0</v>
      </c>
      <c r="Q64" s="34">
        <f t="shared" si="30"/>
        <v>0</v>
      </c>
      <c r="R64" s="34">
        <f t="shared" si="30"/>
        <v>0</v>
      </c>
      <c r="S64" s="34">
        <f t="shared" si="30"/>
        <v>0</v>
      </c>
      <c r="T64" s="34">
        <f t="shared" si="30"/>
        <v>0</v>
      </c>
      <c r="U64" s="170">
        <f t="shared" si="21"/>
        <v>1550.691928635415</v>
      </c>
      <c r="V64">
        <v>45</v>
      </c>
      <c r="W64">
        <v>4</v>
      </c>
    </row>
    <row r="65" spans="3:23" x14ac:dyDescent="0.15">
      <c r="C65" s="206"/>
      <c r="D65" s="1" t="str">
        <f t="shared" si="23"/>
        <v>601</v>
      </c>
      <c r="E65" s="1">
        <v>60</v>
      </c>
      <c r="F65" s="103">
        <v>1</v>
      </c>
      <c r="G65" s="1">
        <f t="shared" si="22"/>
        <v>0.18</v>
      </c>
      <c r="H65" s="34">
        <f t="shared" si="30"/>
        <v>7055.6687675713001</v>
      </c>
      <c r="I65" s="34">
        <f t="shared" si="30"/>
        <v>358.37795935828882</v>
      </c>
      <c r="J65" s="34">
        <f t="shared" si="30"/>
        <v>154.86234176776432</v>
      </c>
      <c r="K65" s="34">
        <f t="shared" si="30"/>
        <v>281.25</v>
      </c>
      <c r="L65" s="34">
        <f t="shared" si="30"/>
        <v>281.25</v>
      </c>
      <c r="M65" s="34">
        <f t="shared" si="30"/>
        <v>166.66666666666666</v>
      </c>
      <c r="N65" s="34">
        <f t="shared" si="30"/>
        <v>0</v>
      </c>
      <c r="O65" s="34">
        <f t="shared" si="30"/>
        <v>166.66666666666666</v>
      </c>
      <c r="P65" s="34">
        <f t="shared" si="30"/>
        <v>0</v>
      </c>
      <c r="Q65" s="34">
        <f t="shared" si="30"/>
        <v>0</v>
      </c>
      <c r="R65" s="34">
        <f t="shared" si="30"/>
        <v>0</v>
      </c>
      <c r="S65" s="34">
        <f t="shared" si="30"/>
        <v>0</v>
      </c>
      <c r="T65" s="34">
        <f t="shared" si="30"/>
        <v>0</v>
      </c>
      <c r="U65" s="170">
        <f t="shared" si="21"/>
        <v>1046.7170518289051</v>
      </c>
      <c r="V65">
        <v>60</v>
      </c>
      <c r="W65">
        <v>1</v>
      </c>
    </row>
    <row r="66" spans="3:23" x14ac:dyDescent="0.15">
      <c r="C66" s="206"/>
      <c r="D66" s="1" t="str">
        <f t="shared" si="23"/>
        <v>602</v>
      </c>
      <c r="E66" s="1">
        <v>60</v>
      </c>
      <c r="F66" s="103">
        <v>2</v>
      </c>
      <c r="G66" s="1">
        <f t="shared" si="22"/>
        <v>0.26</v>
      </c>
      <c r="H66" s="34">
        <f t="shared" si="30"/>
        <v>10191.521553158544</v>
      </c>
      <c r="I66" s="34">
        <f t="shared" si="30"/>
        <v>517.65705240641728</v>
      </c>
      <c r="J66" s="34">
        <f t="shared" si="30"/>
        <v>223.69004922010402</v>
      </c>
      <c r="K66" s="34">
        <f t="shared" si="30"/>
        <v>406.25</v>
      </c>
      <c r="L66" s="34">
        <f t="shared" si="30"/>
        <v>406.25</v>
      </c>
      <c r="M66" s="34">
        <f t="shared" si="30"/>
        <v>240.74074074074076</v>
      </c>
      <c r="N66" s="34">
        <f t="shared" si="30"/>
        <v>0</v>
      </c>
      <c r="O66" s="34">
        <f t="shared" si="30"/>
        <v>240.74074074074076</v>
      </c>
      <c r="P66" s="34">
        <f t="shared" si="30"/>
        <v>0</v>
      </c>
      <c r="Q66" s="34">
        <f t="shared" si="30"/>
        <v>0</v>
      </c>
      <c r="R66" s="34">
        <f t="shared" si="30"/>
        <v>0</v>
      </c>
      <c r="S66" s="34">
        <f t="shared" si="30"/>
        <v>0</v>
      </c>
      <c r="T66" s="34">
        <f t="shared" si="30"/>
        <v>0</v>
      </c>
      <c r="U66" s="170">
        <f t="shared" si="21"/>
        <v>1511.9246304195294</v>
      </c>
      <c r="V66">
        <v>60</v>
      </c>
      <c r="W66">
        <v>2</v>
      </c>
    </row>
    <row r="67" spans="3:23" x14ac:dyDescent="0.15">
      <c r="C67" s="206"/>
      <c r="D67" s="1" t="str">
        <f t="shared" si="23"/>
        <v>603</v>
      </c>
      <c r="E67" s="1">
        <v>60</v>
      </c>
      <c r="F67" s="103">
        <v>3</v>
      </c>
      <c r="G67" s="1">
        <f t="shared" si="22"/>
        <v>0.33999999999999997</v>
      </c>
      <c r="H67" s="34">
        <f t="shared" si="30"/>
        <v>13327.374338745787</v>
      </c>
      <c r="I67" s="34">
        <f t="shared" si="30"/>
        <v>676.93614545454557</v>
      </c>
      <c r="J67" s="34">
        <f t="shared" si="30"/>
        <v>292.51775667244368</v>
      </c>
      <c r="K67" s="34">
        <f t="shared" si="30"/>
        <v>531.24999999999989</v>
      </c>
      <c r="L67" s="34">
        <f t="shared" si="30"/>
        <v>531.24999999999989</v>
      </c>
      <c r="M67" s="34">
        <f t="shared" si="30"/>
        <v>314.81481481481478</v>
      </c>
      <c r="N67" s="34">
        <f t="shared" si="30"/>
        <v>0</v>
      </c>
      <c r="O67" s="34">
        <f t="shared" si="30"/>
        <v>314.81481481481478</v>
      </c>
      <c r="P67" s="34">
        <f t="shared" si="30"/>
        <v>0</v>
      </c>
      <c r="Q67" s="34">
        <f t="shared" si="30"/>
        <v>0</v>
      </c>
      <c r="R67" s="34">
        <f t="shared" si="30"/>
        <v>0</v>
      </c>
      <c r="S67" s="34">
        <f t="shared" si="30"/>
        <v>0</v>
      </c>
      <c r="T67" s="34">
        <f t="shared" si="30"/>
        <v>0</v>
      </c>
      <c r="U67" s="170">
        <f t="shared" si="21"/>
        <v>1977.1322090101544</v>
      </c>
      <c r="V67">
        <v>60</v>
      </c>
      <c r="W67">
        <v>3</v>
      </c>
    </row>
    <row r="68" spans="3:23" ht="14.45" customHeight="1" x14ac:dyDescent="0.15">
      <c r="C68" s="206"/>
      <c r="D68" s="1" t="str">
        <f t="shared" si="23"/>
        <v>604</v>
      </c>
      <c r="E68" s="1">
        <v>60</v>
      </c>
      <c r="F68" s="103">
        <v>4</v>
      </c>
      <c r="G68" s="1">
        <f t="shared" si="22"/>
        <v>0.39999999999999997</v>
      </c>
      <c r="H68" s="34">
        <f t="shared" si="30"/>
        <v>15679.263927936221</v>
      </c>
      <c r="I68" s="34">
        <f t="shared" si="30"/>
        <v>796.3954652406419</v>
      </c>
      <c r="J68" s="34">
        <f t="shared" si="30"/>
        <v>344.13853726169845</v>
      </c>
      <c r="K68" s="34">
        <f t="shared" si="30"/>
        <v>624.99999999999989</v>
      </c>
      <c r="L68" s="34">
        <f t="shared" si="30"/>
        <v>624.99999999999989</v>
      </c>
      <c r="M68" s="34">
        <f t="shared" si="30"/>
        <v>370.37037037037038</v>
      </c>
      <c r="N68" s="34">
        <f t="shared" si="30"/>
        <v>0</v>
      </c>
      <c r="O68" s="34">
        <f t="shared" si="30"/>
        <v>370.37037037037038</v>
      </c>
      <c r="P68" s="34">
        <f t="shared" si="30"/>
        <v>0</v>
      </c>
      <c r="Q68" s="34">
        <f t="shared" si="30"/>
        <v>0</v>
      </c>
      <c r="R68" s="34">
        <f t="shared" si="30"/>
        <v>0</v>
      </c>
      <c r="S68" s="34">
        <f t="shared" si="30"/>
        <v>0</v>
      </c>
      <c r="T68" s="34">
        <f t="shared" si="30"/>
        <v>0</v>
      </c>
      <c r="U68" s="170">
        <f t="shared" si="21"/>
        <v>2326.0378929531221</v>
      </c>
      <c r="V68">
        <v>60</v>
      </c>
      <c r="W68">
        <v>4</v>
      </c>
    </row>
    <row r="69" spans="3:23" ht="14.45" customHeight="1" x14ac:dyDescent="0.15">
      <c r="C69" s="206"/>
      <c r="D69" s="1" t="str">
        <f t="shared" si="23"/>
        <v>701</v>
      </c>
      <c r="E69" s="1">
        <v>70</v>
      </c>
      <c r="F69" s="103">
        <v>1</v>
      </c>
      <c r="G69" s="1">
        <f t="shared" si="22"/>
        <v>0.24</v>
      </c>
      <c r="H69" s="34">
        <f t="shared" si="30"/>
        <v>9407.5583567617341</v>
      </c>
      <c r="I69" s="34">
        <f t="shared" si="30"/>
        <v>477.83727914438515</v>
      </c>
      <c r="J69" s="34">
        <f t="shared" si="30"/>
        <v>206.48312235701908</v>
      </c>
      <c r="K69" s="34">
        <f t="shared" si="30"/>
        <v>375</v>
      </c>
      <c r="L69" s="34">
        <f t="shared" si="30"/>
        <v>375</v>
      </c>
      <c r="M69" s="34">
        <f t="shared" si="30"/>
        <v>222.2222222222222</v>
      </c>
      <c r="N69" s="34">
        <f t="shared" si="30"/>
        <v>0</v>
      </c>
      <c r="O69" s="34">
        <f t="shared" si="30"/>
        <v>222.2222222222222</v>
      </c>
      <c r="P69" s="34">
        <f t="shared" si="30"/>
        <v>0</v>
      </c>
      <c r="Q69" s="34">
        <f t="shared" si="30"/>
        <v>0</v>
      </c>
      <c r="R69" s="34">
        <f t="shared" si="30"/>
        <v>0</v>
      </c>
      <c r="S69" s="34">
        <f t="shared" si="30"/>
        <v>0</v>
      </c>
      <c r="T69" s="34">
        <f t="shared" si="30"/>
        <v>0</v>
      </c>
      <c r="U69" s="170">
        <f t="shared" si="21"/>
        <v>1395.6227357718735</v>
      </c>
      <c r="V69">
        <v>70</v>
      </c>
      <c r="W69">
        <v>1</v>
      </c>
    </row>
    <row r="70" spans="3:23" x14ac:dyDescent="0.15">
      <c r="C70" s="206"/>
      <c r="D70" s="1" t="str">
        <f t="shared" si="23"/>
        <v>702</v>
      </c>
      <c r="E70" s="1">
        <v>70</v>
      </c>
      <c r="F70" s="103">
        <v>2</v>
      </c>
      <c r="G70" s="1">
        <f t="shared" si="22"/>
        <v>0.34666666666666668</v>
      </c>
      <c r="H70" s="34">
        <f t="shared" si="30"/>
        <v>13588.695404211394</v>
      </c>
      <c r="I70" s="34">
        <f t="shared" si="30"/>
        <v>690.20940320855641</v>
      </c>
      <c r="J70" s="34">
        <f t="shared" si="30"/>
        <v>298.25339896013867</v>
      </c>
      <c r="K70" s="34">
        <f t="shared" si="30"/>
        <v>541.66666666666663</v>
      </c>
      <c r="L70" s="34">
        <f t="shared" si="30"/>
        <v>541.66666666666663</v>
      </c>
      <c r="M70" s="34">
        <f t="shared" si="30"/>
        <v>320.9876543209877</v>
      </c>
      <c r="N70" s="34">
        <f t="shared" si="30"/>
        <v>0</v>
      </c>
      <c r="O70" s="34">
        <f t="shared" si="30"/>
        <v>320.9876543209877</v>
      </c>
      <c r="P70" s="34">
        <f t="shared" si="30"/>
        <v>0</v>
      </c>
      <c r="Q70" s="34">
        <f t="shared" si="30"/>
        <v>0</v>
      </c>
      <c r="R70" s="34">
        <f t="shared" si="30"/>
        <v>0</v>
      </c>
      <c r="S70" s="34">
        <f t="shared" si="30"/>
        <v>0</v>
      </c>
      <c r="T70" s="34">
        <f t="shared" si="30"/>
        <v>0</v>
      </c>
      <c r="U70" s="170">
        <f t="shared" si="21"/>
        <v>2015.8995072260398</v>
      </c>
      <c r="V70">
        <v>70</v>
      </c>
      <c r="W70">
        <v>2</v>
      </c>
    </row>
    <row r="71" spans="3:23" x14ac:dyDescent="0.15">
      <c r="C71" s="206"/>
      <c r="D71" s="1" t="str">
        <f>E71&amp;F71</f>
        <v>703</v>
      </c>
      <c r="E71" s="1">
        <v>70</v>
      </c>
      <c r="F71" s="103">
        <v>3</v>
      </c>
      <c r="G71" s="1">
        <f t="shared" si="22"/>
        <v>0.45333333333333331</v>
      </c>
      <c r="H71" s="34">
        <f t="shared" si="30"/>
        <v>17769.832451661052</v>
      </c>
      <c r="I71" s="34">
        <f t="shared" si="30"/>
        <v>902.58152727272761</v>
      </c>
      <c r="J71" s="34">
        <f t="shared" si="30"/>
        <v>390.02367556325822</v>
      </c>
      <c r="K71" s="34">
        <f t="shared" si="30"/>
        <v>708.33333333333337</v>
      </c>
      <c r="L71" s="34">
        <f t="shared" si="30"/>
        <v>708.33333333333337</v>
      </c>
      <c r="M71" s="34">
        <f t="shared" si="30"/>
        <v>419.75308641975306</v>
      </c>
      <c r="N71" s="34">
        <f t="shared" si="30"/>
        <v>0</v>
      </c>
      <c r="O71" s="34">
        <f t="shared" si="30"/>
        <v>419.75308641975306</v>
      </c>
      <c r="P71" s="34">
        <f t="shared" si="30"/>
        <v>0</v>
      </c>
      <c r="Q71" s="34">
        <f t="shared" si="30"/>
        <v>0</v>
      </c>
      <c r="R71" s="34">
        <f t="shared" si="30"/>
        <v>0</v>
      </c>
      <c r="S71" s="34">
        <f t="shared" si="30"/>
        <v>0</v>
      </c>
      <c r="T71" s="34">
        <f t="shared" si="30"/>
        <v>0</v>
      </c>
      <c r="U71" s="170">
        <f t="shared" si="21"/>
        <v>2636.176278680206</v>
      </c>
      <c r="V71">
        <v>70</v>
      </c>
      <c r="W71">
        <v>3</v>
      </c>
    </row>
    <row r="72" spans="3:23" x14ac:dyDescent="0.15">
      <c r="C72" s="206"/>
      <c r="D72" s="1" t="str">
        <f t="shared" si="23"/>
        <v>704</v>
      </c>
      <c r="E72" s="1">
        <v>70</v>
      </c>
      <c r="F72" s="103">
        <v>4</v>
      </c>
      <c r="G72" s="1">
        <f t="shared" si="22"/>
        <v>0.53333333333333333</v>
      </c>
      <c r="H72" s="34">
        <f t="shared" si="30"/>
        <v>20905.685237248294</v>
      </c>
      <c r="I72" s="34">
        <f t="shared" si="30"/>
        <v>1061.8606203208558</v>
      </c>
      <c r="J72" s="34">
        <f t="shared" si="30"/>
        <v>458.851383015598</v>
      </c>
      <c r="K72" s="34">
        <f t="shared" si="30"/>
        <v>833.33333333333337</v>
      </c>
      <c r="L72" s="34">
        <f t="shared" si="30"/>
        <v>833.33333333333337</v>
      </c>
      <c r="M72" s="34">
        <f t="shared" si="30"/>
        <v>493.82716049382719</v>
      </c>
      <c r="N72" s="34">
        <f t="shared" si="30"/>
        <v>0</v>
      </c>
      <c r="O72" s="34">
        <f t="shared" si="30"/>
        <v>493.82716049382719</v>
      </c>
      <c r="P72" s="34">
        <f t="shared" si="30"/>
        <v>0</v>
      </c>
      <c r="Q72" s="34">
        <f t="shared" si="30"/>
        <v>0</v>
      </c>
      <c r="R72" s="34">
        <f t="shared" si="30"/>
        <v>0</v>
      </c>
      <c r="S72" s="34">
        <f t="shared" si="30"/>
        <v>0</v>
      </c>
      <c r="T72" s="34">
        <f t="shared" si="30"/>
        <v>0</v>
      </c>
      <c r="U72" s="170">
        <f t="shared" si="21"/>
        <v>3101.38385727083</v>
      </c>
      <c r="V72">
        <v>70</v>
      </c>
      <c r="W72">
        <v>4</v>
      </c>
    </row>
    <row r="73" spans="3:23" x14ac:dyDescent="0.15">
      <c r="C73" s="206"/>
      <c r="D73" s="1" t="str">
        <f t="shared" si="23"/>
        <v>801</v>
      </c>
      <c r="E73" s="1">
        <v>80</v>
      </c>
      <c r="F73" s="103">
        <v>1</v>
      </c>
      <c r="G73" s="1">
        <f t="shared" si="22"/>
        <v>0.3</v>
      </c>
      <c r="H73" s="34">
        <f t="shared" si="30"/>
        <v>11759.447945952166</v>
      </c>
      <c r="I73" s="34">
        <f t="shared" si="30"/>
        <v>597.29659893048142</v>
      </c>
      <c r="J73" s="34">
        <f t="shared" si="30"/>
        <v>258.10390294627388</v>
      </c>
      <c r="K73" s="34">
        <f t="shared" si="30"/>
        <v>468.75</v>
      </c>
      <c r="L73" s="34">
        <f t="shared" si="30"/>
        <v>468.75</v>
      </c>
      <c r="M73" s="34">
        <f t="shared" si="30"/>
        <v>277.77777777777777</v>
      </c>
      <c r="N73" s="34">
        <f t="shared" si="30"/>
        <v>0</v>
      </c>
      <c r="O73" s="34">
        <f t="shared" si="30"/>
        <v>277.77777777777777</v>
      </c>
      <c r="P73" s="34">
        <f t="shared" si="30"/>
        <v>0</v>
      </c>
      <c r="Q73" s="34">
        <f t="shared" si="30"/>
        <v>0</v>
      </c>
      <c r="R73" s="34">
        <f t="shared" si="30"/>
        <v>0</v>
      </c>
      <c r="S73" s="34">
        <f t="shared" si="30"/>
        <v>0</v>
      </c>
      <c r="T73" s="34">
        <f t="shared" si="30"/>
        <v>0</v>
      </c>
      <c r="U73" s="170">
        <f t="shared" si="21"/>
        <v>1744.5284197148419</v>
      </c>
      <c r="V73">
        <v>80</v>
      </c>
      <c r="W73">
        <v>1</v>
      </c>
    </row>
    <row r="74" spans="3:23" x14ac:dyDescent="0.15">
      <c r="C74" s="206"/>
      <c r="D74" s="1" t="str">
        <f t="shared" si="23"/>
        <v>802</v>
      </c>
      <c r="E74" s="1">
        <v>80</v>
      </c>
      <c r="F74" s="103">
        <v>2</v>
      </c>
      <c r="G74" s="1">
        <f t="shared" si="22"/>
        <v>0.43333333333333335</v>
      </c>
      <c r="H74" s="34">
        <f t="shared" si="30"/>
        <v>16985.869255264242</v>
      </c>
      <c r="I74" s="34">
        <f t="shared" si="30"/>
        <v>862.76175401069543</v>
      </c>
      <c r="J74" s="34">
        <f t="shared" si="30"/>
        <v>372.81674870017338</v>
      </c>
      <c r="K74" s="34">
        <f t="shared" si="30"/>
        <v>677.08333333333337</v>
      </c>
      <c r="L74" s="34">
        <f t="shared" si="30"/>
        <v>677.08333333333337</v>
      </c>
      <c r="M74" s="34">
        <f t="shared" si="30"/>
        <v>401.23456790123458</v>
      </c>
      <c r="N74" s="34">
        <f t="shared" si="30"/>
        <v>0</v>
      </c>
      <c r="O74" s="34">
        <f t="shared" si="30"/>
        <v>401.23456790123458</v>
      </c>
      <c r="P74" s="34">
        <f t="shared" si="30"/>
        <v>0</v>
      </c>
      <c r="Q74" s="34">
        <f t="shared" si="30"/>
        <v>0</v>
      </c>
      <c r="R74" s="34">
        <f t="shared" si="30"/>
        <v>0</v>
      </c>
      <c r="S74" s="34">
        <f t="shared" si="30"/>
        <v>0</v>
      </c>
      <c r="T74" s="34">
        <f t="shared" si="30"/>
        <v>0</v>
      </c>
      <c r="U74" s="170">
        <f t="shared" si="21"/>
        <v>2519.8743840325496</v>
      </c>
      <c r="V74">
        <v>80</v>
      </c>
      <c r="W74">
        <v>2</v>
      </c>
    </row>
    <row r="75" spans="3:23" x14ac:dyDescent="0.15">
      <c r="C75" s="206"/>
      <c r="D75" s="1" t="str">
        <f t="shared" si="23"/>
        <v>803</v>
      </c>
      <c r="E75" s="1">
        <v>80</v>
      </c>
      <c r="F75" s="103">
        <v>3</v>
      </c>
      <c r="G75" s="1">
        <f>VLOOKUP(E75,$J$6:$O$13,F75+2,FALSE)</f>
        <v>0.56666666666666665</v>
      </c>
      <c r="H75" s="34">
        <f t="shared" si="30"/>
        <v>22212.290564576313</v>
      </c>
      <c r="I75" s="34">
        <f t="shared" si="30"/>
        <v>1128.2269090909094</v>
      </c>
      <c r="J75" s="34">
        <f t="shared" si="30"/>
        <v>487.52959445407282</v>
      </c>
      <c r="K75" s="34">
        <f t="shared" si="30"/>
        <v>885.41666666666663</v>
      </c>
      <c r="L75" s="34">
        <f t="shared" si="30"/>
        <v>885.41666666666663</v>
      </c>
      <c r="M75" s="34">
        <f t="shared" si="30"/>
        <v>524.69135802469134</v>
      </c>
      <c r="N75" s="34">
        <f t="shared" si="30"/>
        <v>0</v>
      </c>
      <c r="O75" s="34">
        <f t="shared" si="30"/>
        <v>524.69135802469134</v>
      </c>
      <c r="P75" s="34">
        <f t="shared" si="30"/>
        <v>0</v>
      </c>
      <c r="Q75" s="34">
        <f t="shared" si="30"/>
        <v>0</v>
      </c>
      <c r="R75" s="34">
        <f t="shared" si="30"/>
        <v>0</v>
      </c>
      <c r="S75" s="34">
        <f t="shared" si="30"/>
        <v>0</v>
      </c>
      <c r="T75" s="34">
        <f t="shared" si="30"/>
        <v>0</v>
      </c>
      <c r="U75" s="170">
        <f t="shared" si="21"/>
        <v>3295.2203483502562</v>
      </c>
      <c r="V75">
        <v>80</v>
      </c>
      <c r="W75">
        <v>3</v>
      </c>
    </row>
    <row r="76" spans="3:23" x14ac:dyDescent="0.15">
      <c r="C76" s="206"/>
      <c r="D76" s="1" t="str">
        <f t="shared" si="23"/>
        <v>804</v>
      </c>
      <c r="E76" s="1">
        <v>80</v>
      </c>
      <c r="F76" s="126">
        <v>4</v>
      </c>
      <c r="G76" s="1">
        <f t="shared" si="22"/>
        <v>0.66666666666666663</v>
      </c>
      <c r="H76" s="34">
        <f t="shared" si="30"/>
        <v>26132.106546560371</v>
      </c>
      <c r="I76" s="34">
        <f t="shared" si="30"/>
        <v>1327.3257754010699</v>
      </c>
      <c r="J76" s="34">
        <f t="shared" si="30"/>
        <v>573.56422876949739</v>
      </c>
      <c r="K76" s="34">
        <f t="shared" si="30"/>
        <v>1041.6666666666667</v>
      </c>
      <c r="L76" s="34">
        <f t="shared" si="30"/>
        <v>1041.6666666666667</v>
      </c>
      <c r="M76" s="34">
        <f t="shared" si="30"/>
        <v>617.28395061728395</v>
      </c>
      <c r="N76" s="34">
        <f t="shared" si="30"/>
        <v>0</v>
      </c>
      <c r="O76" s="34">
        <f t="shared" si="30"/>
        <v>617.28395061728395</v>
      </c>
      <c r="P76" s="34">
        <f t="shared" si="30"/>
        <v>0</v>
      </c>
      <c r="Q76" s="34">
        <f t="shared" si="30"/>
        <v>0</v>
      </c>
      <c r="R76" s="34">
        <f t="shared" si="30"/>
        <v>0</v>
      </c>
      <c r="S76" s="34">
        <f t="shared" si="30"/>
        <v>0</v>
      </c>
      <c r="T76" s="34">
        <f t="shared" si="30"/>
        <v>0</v>
      </c>
      <c r="U76" s="170">
        <f t="shared" si="21"/>
        <v>3876.7298215885385</v>
      </c>
      <c r="V76">
        <v>80</v>
      </c>
      <c r="W76">
        <v>4</v>
      </c>
    </row>
    <row r="78" spans="3:23" x14ac:dyDescent="0.15">
      <c r="H78" s="149"/>
    </row>
    <row r="79" spans="3:23" ht="15" customHeight="1" x14ac:dyDescent="0.15">
      <c r="C79" s="206" t="s">
        <v>414</v>
      </c>
      <c r="D79" s="1" t="s">
        <v>317</v>
      </c>
      <c r="E79" s="1" t="s">
        <v>314</v>
      </c>
      <c r="F79" s="1" t="s">
        <v>140</v>
      </c>
      <c r="G79" s="1" t="s">
        <v>316</v>
      </c>
      <c r="H79" s="9" t="str">
        <f>各种公式!C12</f>
        <v>生命</v>
      </c>
      <c r="I79" s="9" t="str">
        <f>各种公式!D12</f>
        <v>攻击</v>
      </c>
      <c r="J79" s="9" t="str">
        <f>各种公式!E12</f>
        <v>防御</v>
      </c>
      <c r="K79" s="9" t="str">
        <f>各种公式!F12</f>
        <v>闪避值</v>
      </c>
      <c r="L79" s="9" t="str">
        <f>各种公式!G12</f>
        <v>命中值</v>
      </c>
      <c r="M79" s="9" t="str">
        <f>各种公式!H12</f>
        <v>暴击值</v>
      </c>
      <c r="N79" s="9" t="str">
        <f>各种公式!I12</f>
        <v>暴击倍数</v>
      </c>
      <c r="O79" s="9" t="str">
        <f>各种公式!J12</f>
        <v>韧性值</v>
      </c>
      <c r="P79" s="9" t="str">
        <f>各种公式!K12</f>
        <v>伤害减免</v>
      </c>
      <c r="Q79" s="9" t="str">
        <f>各种公式!L12</f>
        <v>伤害加深</v>
      </c>
      <c r="R79" s="9" t="str">
        <f>各种公式!M12</f>
        <v>生命加成</v>
      </c>
      <c r="S79" s="9" t="str">
        <f>各种公式!N12</f>
        <v>攻击加成</v>
      </c>
      <c r="T79" s="9" t="str">
        <f>各种公式!O12</f>
        <v>防御加成</v>
      </c>
    </row>
    <row r="80" spans="3:23" x14ac:dyDescent="0.15">
      <c r="C80" s="206"/>
      <c r="D80" s="1" t="str">
        <f>E80&amp;F80</f>
        <v>50</v>
      </c>
      <c r="E80" s="1">
        <v>5</v>
      </c>
      <c r="F80" s="103">
        <v>0</v>
      </c>
      <c r="G80" s="1">
        <f>VLOOKUP(E80,$J$33:$O$42,F80+2,FALSE)</f>
        <v>0.12</v>
      </c>
      <c r="H80" s="34">
        <f t="shared" ref="H80:T91" si="31">H$47*VLOOKUP($B$15,属性权重数组,H$49,FALSE)*$G80/$B$11/80</f>
        <v>58.79723972976084</v>
      </c>
      <c r="I80" s="34">
        <f t="shared" si="31"/>
        <v>2.9864829946524072</v>
      </c>
      <c r="J80" s="34">
        <f t="shared" si="31"/>
        <v>1.2905195147313693</v>
      </c>
      <c r="K80" s="34">
        <f t="shared" si="31"/>
        <v>2.34375</v>
      </c>
      <c r="L80" s="34">
        <f t="shared" si="31"/>
        <v>2.34375</v>
      </c>
      <c r="M80" s="34">
        <f t="shared" si="31"/>
        <v>1.3888888888888888</v>
      </c>
      <c r="N80" s="34">
        <f t="shared" si="31"/>
        <v>0</v>
      </c>
      <c r="O80" s="34">
        <f t="shared" si="31"/>
        <v>1.3888888888888888</v>
      </c>
      <c r="P80" s="34">
        <f t="shared" si="31"/>
        <v>0</v>
      </c>
      <c r="Q80" s="34">
        <f t="shared" si="31"/>
        <v>0</v>
      </c>
      <c r="R80" s="34">
        <f t="shared" si="31"/>
        <v>0</v>
      </c>
      <c r="S80" s="34">
        <f t="shared" si="31"/>
        <v>0</v>
      </c>
      <c r="T80" s="34">
        <f t="shared" si="31"/>
        <v>0</v>
      </c>
      <c r="U80" s="170">
        <f t="shared" ref="U80:U105" si="32">SUMPRODUCT(H80:T80,属性价值比)*V80</f>
        <v>43.613210492871055</v>
      </c>
      <c r="V80" s="170">
        <f>E80</f>
        <v>5</v>
      </c>
    </row>
    <row r="81" spans="3:22" x14ac:dyDescent="0.15">
      <c r="C81" s="206"/>
      <c r="D81" s="1" t="str">
        <f t="shared" ref="D81:D92" si="33">E81&amp;F81</f>
        <v>51</v>
      </c>
      <c r="E81" s="1">
        <v>5</v>
      </c>
      <c r="F81" s="103">
        <v>1</v>
      </c>
      <c r="G81" s="1">
        <f t="shared" ref="G81:G105" si="34">VLOOKUP(E81,$J$33:$O$42,F81+2,FALSE)</f>
        <v>0.18000000000000002</v>
      </c>
      <c r="H81" s="34">
        <f>H$47*VLOOKUP($B$15,属性权重数组,H$49,FALSE)*$G81/$B$11/80</f>
        <v>88.195859594641263</v>
      </c>
      <c r="I81" s="34">
        <f t="shared" si="31"/>
        <v>4.4797244919786117</v>
      </c>
      <c r="J81" s="34">
        <f t="shared" si="31"/>
        <v>1.9357792720970539</v>
      </c>
      <c r="K81" s="34">
        <f t="shared" si="31"/>
        <v>3.5156250000000009</v>
      </c>
      <c r="L81" s="34">
        <f t="shared" si="31"/>
        <v>3.5156250000000009</v>
      </c>
      <c r="M81" s="34">
        <f t="shared" si="31"/>
        <v>2.0833333333333335</v>
      </c>
      <c r="N81" s="34">
        <f t="shared" si="31"/>
        <v>0</v>
      </c>
      <c r="O81" s="34">
        <f t="shared" si="31"/>
        <v>2.0833333333333335</v>
      </c>
      <c r="P81" s="34">
        <f t="shared" si="31"/>
        <v>0</v>
      </c>
      <c r="Q81" s="34">
        <f t="shared" si="31"/>
        <v>0</v>
      </c>
      <c r="R81" s="34">
        <f t="shared" si="31"/>
        <v>0</v>
      </c>
      <c r="S81" s="34">
        <f t="shared" si="31"/>
        <v>0</v>
      </c>
      <c r="T81" s="34">
        <f t="shared" si="31"/>
        <v>0</v>
      </c>
      <c r="U81" s="170">
        <f t="shared" si="32"/>
        <v>65.419815739306586</v>
      </c>
      <c r="V81" s="170">
        <f t="shared" ref="V81:V105" si="35">E81</f>
        <v>5</v>
      </c>
    </row>
    <row r="82" spans="3:22" x14ac:dyDescent="0.15">
      <c r="C82" s="206"/>
      <c r="D82" s="1" t="str">
        <f t="shared" si="33"/>
        <v>151</v>
      </c>
      <c r="E82" s="1">
        <v>15</v>
      </c>
      <c r="F82" s="103">
        <v>1</v>
      </c>
      <c r="G82" s="1">
        <f t="shared" si="34"/>
        <v>0.36000000000000004</v>
      </c>
      <c r="H82" s="34">
        <f t="shared" si="31"/>
        <v>176.39171918928253</v>
      </c>
      <c r="I82" s="34">
        <f t="shared" si="31"/>
        <v>8.9594489839572233</v>
      </c>
      <c r="J82" s="34">
        <f t="shared" si="31"/>
        <v>3.8715585441941078</v>
      </c>
      <c r="K82" s="34">
        <f t="shared" si="31"/>
        <v>7.0312500000000018</v>
      </c>
      <c r="L82" s="34">
        <f t="shared" si="31"/>
        <v>7.0312500000000018</v>
      </c>
      <c r="M82" s="34">
        <f t="shared" si="31"/>
        <v>4.166666666666667</v>
      </c>
      <c r="N82" s="34">
        <f t="shared" si="31"/>
        <v>0</v>
      </c>
      <c r="O82" s="34">
        <f t="shared" si="31"/>
        <v>4.166666666666667</v>
      </c>
      <c r="P82" s="34">
        <f t="shared" si="31"/>
        <v>0</v>
      </c>
      <c r="Q82" s="34">
        <f t="shared" si="31"/>
        <v>0</v>
      </c>
      <c r="R82" s="34">
        <f t="shared" si="31"/>
        <v>0</v>
      </c>
      <c r="S82" s="34">
        <f t="shared" si="31"/>
        <v>0</v>
      </c>
      <c r="T82" s="34">
        <f t="shared" si="31"/>
        <v>0</v>
      </c>
      <c r="U82" s="170">
        <f t="shared" si="32"/>
        <v>392.51889443583951</v>
      </c>
      <c r="V82" s="170">
        <f t="shared" si="35"/>
        <v>15</v>
      </c>
    </row>
    <row r="83" spans="3:22" x14ac:dyDescent="0.15">
      <c r="C83" s="206"/>
      <c r="D83" s="1" t="str">
        <f t="shared" si="33"/>
        <v>152</v>
      </c>
      <c r="E83" s="1">
        <v>15</v>
      </c>
      <c r="F83" s="103">
        <v>2</v>
      </c>
      <c r="G83" s="1">
        <f t="shared" si="34"/>
        <v>0.52</v>
      </c>
      <c r="H83" s="34">
        <f t="shared" si="31"/>
        <v>254.78803882896358</v>
      </c>
      <c r="I83" s="34">
        <f t="shared" si="31"/>
        <v>12.941426310160432</v>
      </c>
      <c r="J83" s="34">
        <f t="shared" si="31"/>
        <v>5.5922512305026002</v>
      </c>
      <c r="K83" s="34">
        <f t="shared" si="31"/>
        <v>10.15625</v>
      </c>
      <c r="L83" s="34">
        <f t="shared" si="31"/>
        <v>10.15625</v>
      </c>
      <c r="M83" s="34">
        <f t="shared" si="31"/>
        <v>6.018518518518519</v>
      </c>
      <c r="N83" s="34">
        <f t="shared" si="31"/>
        <v>0</v>
      </c>
      <c r="O83" s="34">
        <f t="shared" si="31"/>
        <v>6.018518518518519</v>
      </c>
      <c r="P83" s="34">
        <f t="shared" si="31"/>
        <v>0</v>
      </c>
      <c r="Q83" s="34">
        <f t="shared" si="31"/>
        <v>0</v>
      </c>
      <c r="R83" s="34">
        <f t="shared" si="31"/>
        <v>0</v>
      </c>
      <c r="S83" s="34">
        <f t="shared" si="31"/>
        <v>0</v>
      </c>
      <c r="T83" s="34">
        <f t="shared" si="31"/>
        <v>0</v>
      </c>
      <c r="U83" s="170">
        <f t="shared" si="32"/>
        <v>566.97173640732376</v>
      </c>
      <c r="V83" s="170">
        <f t="shared" si="35"/>
        <v>15</v>
      </c>
    </row>
    <row r="84" spans="3:22" s="173" customFormat="1" x14ac:dyDescent="0.15">
      <c r="C84" s="206"/>
      <c r="D84" s="1" t="str">
        <f t="shared" ref="D84" si="36">E84&amp;F84</f>
        <v>153</v>
      </c>
      <c r="E84" s="1">
        <v>15</v>
      </c>
      <c r="F84" s="103">
        <v>3</v>
      </c>
      <c r="G84" s="1">
        <f t="shared" ref="G84" si="37">VLOOKUP(E84,$J$33:$O$42,F84+2,FALSE)</f>
        <v>0.68</v>
      </c>
      <c r="H84" s="34">
        <f t="shared" si="31"/>
        <v>333.18435846864475</v>
      </c>
      <c r="I84" s="34">
        <f t="shared" si="31"/>
        <v>16.923403636363641</v>
      </c>
      <c r="J84" s="34">
        <f t="shared" si="31"/>
        <v>7.3129439168110935</v>
      </c>
      <c r="K84" s="34">
        <f t="shared" si="31"/>
        <v>13.281250000000004</v>
      </c>
      <c r="L84" s="34">
        <f t="shared" si="31"/>
        <v>13.281250000000004</v>
      </c>
      <c r="M84" s="34">
        <f t="shared" si="31"/>
        <v>7.8703703703703711</v>
      </c>
      <c r="N84" s="34">
        <f t="shared" si="31"/>
        <v>0</v>
      </c>
      <c r="O84" s="34">
        <f t="shared" si="31"/>
        <v>7.8703703703703711</v>
      </c>
      <c r="P84" s="34">
        <f t="shared" si="31"/>
        <v>0</v>
      </c>
      <c r="Q84" s="34">
        <f t="shared" si="31"/>
        <v>0</v>
      </c>
      <c r="R84" s="34">
        <f t="shared" si="31"/>
        <v>0</v>
      </c>
      <c r="S84" s="34">
        <f t="shared" si="31"/>
        <v>0</v>
      </c>
      <c r="T84" s="34">
        <f t="shared" si="31"/>
        <v>0</v>
      </c>
      <c r="U84" s="170">
        <f t="shared" ref="U84" si="38">SUMPRODUCT(H84:T84,属性价值比)*V84</f>
        <v>741.42457837880772</v>
      </c>
      <c r="V84" s="170">
        <f t="shared" ref="V84" si="39">E84</f>
        <v>15</v>
      </c>
    </row>
    <row r="85" spans="3:22" s="173" customFormat="1" x14ac:dyDescent="0.15">
      <c r="C85" s="206"/>
      <c r="D85" s="1" t="str">
        <f t="shared" ref="D85" si="40">E85&amp;F85</f>
        <v>154</v>
      </c>
      <c r="E85" s="1">
        <v>15</v>
      </c>
      <c r="F85" s="103">
        <v>4</v>
      </c>
      <c r="G85" s="1">
        <f t="shared" ref="G85" si="41">VLOOKUP(E85,$J$33:$O$42,F85+2,FALSE)</f>
        <v>0.8</v>
      </c>
      <c r="H85" s="34">
        <f t="shared" si="31"/>
        <v>391.98159819840561</v>
      </c>
      <c r="I85" s="34">
        <f t="shared" si="31"/>
        <v>19.90988663101605</v>
      </c>
      <c r="J85" s="34">
        <f t="shared" si="31"/>
        <v>8.6034634315424618</v>
      </c>
      <c r="K85" s="34">
        <f t="shared" si="31"/>
        <v>15.625</v>
      </c>
      <c r="L85" s="34">
        <f t="shared" si="31"/>
        <v>15.625</v>
      </c>
      <c r="M85" s="34">
        <f t="shared" si="31"/>
        <v>9.2592592592592595</v>
      </c>
      <c r="N85" s="34">
        <f t="shared" si="31"/>
        <v>0</v>
      </c>
      <c r="O85" s="34">
        <f t="shared" si="31"/>
        <v>9.2592592592592595</v>
      </c>
      <c r="P85" s="34">
        <f t="shared" si="31"/>
        <v>0</v>
      </c>
      <c r="Q85" s="34">
        <f t="shared" si="31"/>
        <v>0</v>
      </c>
      <c r="R85" s="34">
        <f t="shared" si="31"/>
        <v>0</v>
      </c>
      <c r="S85" s="34">
        <f t="shared" si="31"/>
        <v>0</v>
      </c>
      <c r="T85" s="34">
        <f t="shared" si="31"/>
        <v>0</v>
      </c>
      <c r="U85" s="170">
        <f t="shared" ref="U85" si="42">SUMPRODUCT(H85:T85,属性价值比)*V85</f>
        <v>872.26420985742095</v>
      </c>
      <c r="V85" s="170">
        <f t="shared" ref="V85" si="43">E85</f>
        <v>15</v>
      </c>
    </row>
    <row r="86" spans="3:22" x14ac:dyDescent="0.15">
      <c r="C86" s="206"/>
      <c r="D86" s="1" t="str">
        <f t="shared" si="33"/>
        <v>301</v>
      </c>
      <c r="E86" s="1">
        <v>30</v>
      </c>
      <c r="F86" s="103">
        <v>1</v>
      </c>
      <c r="G86" s="1">
        <f t="shared" si="34"/>
        <v>0.72000000000000008</v>
      </c>
      <c r="H86" s="34">
        <f t="shared" si="31"/>
        <v>352.78343837856505</v>
      </c>
      <c r="I86" s="34">
        <f t="shared" si="31"/>
        <v>17.918897967914447</v>
      </c>
      <c r="J86" s="34">
        <f t="shared" si="31"/>
        <v>7.7431170883882157</v>
      </c>
      <c r="K86" s="34">
        <f t="shared" si="31"/>
        <v>14.062500000000004</v>
      </c>
      <c r="L86" s="34">
        <f t="shared" si="31"/>
        <v>14.062500000000004</v>
      </c>
      <c r="M86" s="34">
        <f t="shared" si="31"/>
        <v>8.3333333333333339</v>
      </c>
      <c r="N86" s="34">
        <f t="shared" si="31"/>
        <v>0</v>
      </c>
      <c r="O86" s="34">
        <f t="shared" si="31"/>
        <v>8.3333333333333339</v>
      </c>
      <c r="P86" s="34">
        <f t="shared" si="31"/>
        <v>0</v>
      </c>
      <c r="Q86" s="34">
        <f t="shared" si="31"/>
        <v>0</v>
      </c>
      <c r="R86" s="34">
        <f t="shared" si="31"/>
        <v>0</v>
      </c>
      <c r="S86" s="34">
        <f t="shared" si="31"/>
        <v>0</v>
      </c>
      <c r="T86" s="34">
        <f t="shared" si="31"/>
        <v>0</v>
      </c>
      <c r="U86" s="170">
        <f t="shared" si="32"/>
        <v>1570.0755777433581</v>
      </c>
      <c r="V86" s="170">
        <f t="shared" si="35"/>
        <v>30</v>
      </c>
    </row>
    <row r="87" spans="3:22" x14ac:dyDescent="0.15">
      <c r="C87" s="206"/>
      <c r="D87" s="1" t="str">
        <f t="shared" si="33"/>
        <v>302</v>
      </c>
      <c r="E87" s="1">
        <v>30</v>
      </c>
      <c r="F87" s="103">
        <v>2</v>
      </c>
      <c r="G87" s="1">
        <f t="shared" si="34"/>
        <v>1.04</v>
      </c>
      <c r="H87" s="34">
        <f t="shared" si="31"/>
        <v>509.57607765792716</v>
      </c>
      <c r="I87" s="34">
        <f t="shared" si="31"/>
        <v>25.882852620320865</v>
      </c>
      <c r="J87" s="34">
        <f t="shared" si="31"/>
        <v>11.1845024610052</v>
      </c>
      <c r="K87" s="34">
        <f t="shared" si="31"/>
        <v>20.3125</v>
      </c>
      <c r="L87" s="34">
        <f t="shared" si="31"/>
        <v>20.3125</v>
      </c>
      <c r="M87" s="34">
        <f t="shared" si="31"/>
        <v>12.037037037037038</v>
      </c>
      <c r="N87" s="34">
        <f t="shared" si="31"/>
        <v>0</v>
      </c>
      <c r="O87" s="34">
        <f t="shared" si="31"/>
        <v>12.037037037037038</v>
      </c>
      <c r="P87" s="34">
        <f t="shared" si="31"/>
        <v>0</v>
      </c>
      <c r="Q87" s="34">
        <f t="shared" si="31"/>
        <v>0</v>
      </c>
      <c r="R87" s="34">
        <f t="shared" si="31"/>
        <v>0</v>
      </c>
      <c r="S87" s="34">
        <f t="shared" si="31"/>
        <v>0</v>
      </c>
      <c r="T87" s="34">
        <f t="shared" si="31"/>
        <v>0</v>
      </c>
      <c r="U87" s="170">
        <f t="shared" si="32"/>
        <v>2267.886945629295</v>
      </c>
      <c r="V87" s="170">
        <f t="shared" si="35"/>
        <v>30</v>
      </c>
    </row>
    <row r="88" spans="3:22" x14ac:dyDescent="0.15">
      <c r="C88" s="206"/>
      <c r="D88" s="1" t="str">
        <f t="shared" si="33"/>
        <v>303</v>
      </c>
      <c r="E88" s="1">
        <v>30</v>
      </c>
      <c r="F88" s="103">
        <v>3</v>
      </c>
      <c r="G88" s="1">
        <f t="shared" si="34"/>
        <v>1.36</v>
      </c>
      <c r="H88" s="34">
        <f t="shared" si="31"/>
        <v>666.36871693728949</v>
      </c>
      <c r="I88" s="34">
        <f t="shared" si="31"/>
        <v>33.846807272727283</v>
      </c>
      <c r="J88" s="34">
        <f t="shared" si="31"/>
        <v>14.625887833622187</v>
      </c>
      <c r="K88" s="34">
        <f t="shared" si="31"/>
        <v>26.562500000000007</v>
      </c>
      <c r="L88" s="34">
        <f t="shared" si="31"/>
        <v>26.562500000000007</v>
      </c>
      <c r="M88" s="34">
        <f t="shared" si="31"/>
        <v>15.740740740740742</v>
      </c>
      <c r="N88" s="34">
        <f t="shared" si="31"/>
        <v>0</v>
      </c>
      <c r="O88" s="34">
        <f t="shared" si="31"/>
        <v>15.740740740740742</v>
      </c>
      <c r="P88" s="34">
        <f t="shared" si="31"/>
        <v>0</v>
      </c>
      <c r="Q88" s="34">
        <f t="shared" si="31"/>
        <v>0</v>
      </c>
      <c r="R88" s="34">
        <f t="shared" si="31"/>
        <v>0</v>
      </c>
      <c r="S88" s="34">
        <f t="shared" si="31"/>
        <v>0</v>
      </c>
      <c r="T88" s="34">
        <f t="shared" si="31"/>
        <v>0</v>
      </c>
      <c r="U88" s="170">
        <f t="shared" si="32"/>
        <v>2965.6983135152309</v>
      </c>
      <c r="V88" s="170">
        <f t="shared" si="35"/>
        <v>30</v>
      </c>
    </row>
    <row r="89" spans="3:22" x14ac:dyDescent="0.15">
      <c r="C89" s="206"/>
      <c r="D89" s="1" t="str">
        <f t="shared" si="33"/>
        <v>304</v>
      </c>
      <c r="E89" s="1">
        <v>30</v>
      </c>
      <c r="F89" s="103">
        <v>4</v>
      </c>
      <c r="G89" s="1">
        <f t="shared" si="34"/>
        <v>1.6</v>
      </c>
      <c r="H89" s="34">
        <f t="shared" si="31"/>
        <v>783.96319639681121</v>
      </c>
      <c r="I89" s="34">
        <f t="shared" si="31"/>
        <v>39.819773262032101</v>
      </c>
      <c r="J89" s="34">
        <f t="shared" si="31"/>
        <v>17.206926863084924</v>
      </c>
      <c r="K89" s="34">
        <f t="shared" si="31"/>
        <v>31.25</v>
      </c>
      <c r="L89" s="34">
        <f t="shared" si="31"/>
        <v>31.25</v>
      </c>
      <c r="M89" s="34">
        <f t="shared" si="31"/>
        <v>18.518518518518519</v>
      </c>
      <c r="N89" s="34">
        <f t="shared" si="31"/>
        <v>0</v>
      </c>
      <c r="O89" s="34">
        <f t="shared" si="31"/>
        <v>18.518518518518519</v>
      </c>
      <c r="P89" s="34">
        <f t="shared" si="31"/>
        <v>0</v>
      </c>
      <c r="Q89" s="34">
        <f t="shared" si="31"/>
        <v>0</v>
      </c>
      <c r="R89" s="34">
        <f t="shared" si="31"/>
        <v>0</v>
      </c>
      <c r="S89" s="34">
        <f t="shared" si="31"/>
        <v>0</v>
      </c>
      <c r="T89" s="34">
        <f t="shared" si="31"/>
        <v>0</v>
      </c>
      <c r="U89" s="170">
        <f t="shared" si="32"/>
        <v>3489.0568394296838</v>
      </c>
      <c r="V89" s="170">
        <f t="shared" si="35"/>
        <v>30</v>
      </c>
    </row>
    <row r="90" spans="3:22" x14ac:dyDescent="0.15">
      <c r="C90" s="206"/>
      <c r="D90" s="1" t="str">
        <f t="shared" si="33"/>
        <v>451</v>
      </c>
      <c r="E90" s="1">
        <v>45</v>
      </c>
      <c r="F90" s="103">
        <v>1</v>
      </c>
      <c r="G90" s="1">
        <f t="shared" si="34"/>
        <v>1.4400000000000002</v>
      </c>
      <c r="H90" s="34">
        <f t="shared" si="31"/>
        <v>705.5668767571301</v>
      </c>
      <c r="I90" s="34">
        <f t="shared" si="31"/>
        <v>35.837795935828893</v>
      </c>
      <c r="J90" s="34">
        <f t="shared" si="31"/>
        <v>15.486234176776431</v>
      </c>
      <c r="K90" s="34">
        <f t="shared" si="31"/>
        <v>28.125000000000007</v>
      </c>
      <c r="L90" s="34">
        <f t="shared" si="31"/>
        <v>28.125000000000007</v>
      </c>
      <c r="M90" s="34">
        <f t="shared" si="31"/>
        <v>16.666666666666668</v>
      </c>
      <c r="N90" s="34">
        <f t="shared" si="31"/>
        <v>0</v>
      </c>
      <c r="O90" s="34">
        <f t="shared" si="31"/>
        <v>16.666666666666668</v>
      </c>
      <c r="P90" s="34">
        <f t="shared" si="31"/>
        <v>0</v>
      </c>
      <c r="Q90" s="34">
        <f t="shared" si="31"/>
        <v>0</v>
      </c>
      <c r="R90" s="34">
        <f t="shared" si="31"/>
        <v>0</v>
      </c>
      <c r="S90" s="34">
        <f t="shared" si="31"/>
        <v>0</v>
      </c>
      <c r="T90" s="34">
        <f t="shared" si="31"/>
        <v>0</v>
      </c>
      <c r="U90" s="170">
        <f t="shared" si="32"/>
        <v>4710.2267332300744</v>
      </c>
      <c r="V90" s="170">
        <f t="shared" si="35"/>
        <v>45</v>
      </c>
    </row>
    <row r="91" spans="3:22" ht="14.45" customHeight="1" x14ac:dyDescent="0.15">
      <c r="C91" s="206"/>
      <c r="D91" s="1" t="str">
        <f t="shared" si="33"/>
        <v>452</v>
      </c>
      <c r="E91" s="1">
        <v>45</v>
      </c>
      <c r="F91" s="103">
        <v>2</v>
      </c>
      <c r="G91" s="1">
        <f t="shared" si="34"/>
        <v>2.08</v>
      </c>
      <c r="H91" s="34">
        <f t="shared" si="31"/>
        <v>1019.1521553158543</v>
      </c>
      <c r="I91" s="34">
        <f t="shared" si="31"/>
        <v>51.765705240641729</v>
      </c>
      <c r="J91" s="34">
        <f t="shared" si="31"/>
        <v>22.369004922010401</v>
      </c>
      <c r="K91" s="34">
        <f t="shared" si="31"/>
        <v>40.625</v>
      </c>
      <c r="L91" s="34">
        <f t="shared" si="31"/>
        <v>40.625</v>
      </c>
      <c r="M91" s="34">
        <f t="shared" si="31"/>
        <v>24.074074074074076</v>
      </c>
      <c r="N91" s="34">
        <f t="shared" si="31"/>
        <v>0</v>
      </c>
      <c r="O91" s="34">
        <f t="shared" si="31"/>
        <v>24.074074074074076</v>
      </c>
      <c r="P91" s="34">
        <f t="shared" si="31"/>
        <v>0</v>
      </c>
      <c r="Q91" s="34">
        <f t="shared" si="31"/>
        <v>0</v>
      </c>
      <c r="R91" s="34">
        <f t="shared" si="31"/>
        <v>0</v>
      </c>
      <c r="S91" s="34">
        <f t="shared" si="31"/>
        <v>0</v>
      </c>
      <c r="T91" s="34">
        <f t="shared" si="31"/>
        <v>0</v>
      </c>
      <c r="U91" s="170">
        <f t="shared" si="32"/>
        <v>6803.6608368878851</v>
      </c>
      <c r="V91" s="170">
        <f t="shared" si="35"/>
        <v>45</v>
      </c>
    </row>
    <row r="92" spans="3:22" x14ac:dyDescent="0.15">
      <c r="C92" s="206"/>
      <c r="D92" s="1" t="str">
        <f t="shared" si="33"/>
        <v>453</v>
      </c>
      <c r="E92" s="1">
        <v>45</v>
      </c>
      <c r="F92" s="103">
        <v>3</v>
      </c>
      <c r="G92" s="1">
        <f t="shared" si="34"/>
        <v>2.72</v>
      </c>
      <c r="H92" s="34">
        <f t="shared" ref="H92:T105" si="44">H$47*VLOOKUP($B$15,属性权重数组,H$49,FALSE)*$G92/$B$11/80</f>
        <v>1332.737433874579</v>
      </c>
      <c r="I92" s="34">
        <f t="shared" si="44"/>
        <v>67.693614545454565</v>
      </c>
      <c r="J92" s="34">
        <f t="shared" si="44"/>
        <v>29.251775667244374</v>
      </c>
      <c r="K92" s="34">
        <f t="shared" si="44"/>
        <v>53.125000000000014</v>
      </c>
      <c r="L92" s="34">
        <f t="shared" si="44"/>
        <v>53.125000000000014</v>
      </c>
      <c r="M92" s="34">
        <f t="shared" si="44"/>
        <v>31.481481481481485</v>
      </c>
      <c r="N92" s="34">
        <f t="shared" si="44"/>
        <v>0</v>
      </c>
      <c r="O92" s="34">
        <f t="shared" si="44"/>
        <v>31.481481481481485</v>
      </c>
      <c r="P92" s="34">
        <f t="shared" si="44"/>
        <v>0</v>
      </c>
      <c r="Q92" s="34">
        <f t="shared" si="44"/>
        <v>0</v>
      </c>
      <c r="R92" s="34">
        <f t="shared" si="44"/>
        <v>0</v>
      </c>
      <c r="S92" s="34">
        <f t="shared" si="44"/>
        <v>0</v>
      </c>
      <c r="T92" s="34">
        <f t="shared" si="44"/>
        <v>0</v>
      </c>
      <c r="U92" s="170">
        <f t="shared" si="32"/>
        <v>8897.094940545694</v>
      </c>
      <c r="V92" s="170">
        <f t="shared" si="35"/>
        <v>45</v>
      </c>
    </row>
    <row r="93" spans="3:22" x14ac:dyDescent="0.15">
      <c r="C93" s="206"/>
      <c r="D93" s="1" t="str">
        <f>E93&amp;F93</f>
        <v>454</v>
      </c>
      <c r="E93" s="1">
        <v>45</v>
      </c>
      <c r="F93" s="103">
        <v>4</v>
      </c>
      <c r="G93" s="1">
        <f t="shared" si="34"/>
        <v>3.2</v>
      </c>
      <c r="H93" s="34">
        <f t="shared" si="44"/>
        <v>1567.9263927936224</v>
      </c>
      <c r="I93" s="34">
        <f t="shared" si="44"/>
        <v>79.639546524064201</v>
      </c>
      <c r="J93" s="34">
        <f t="shared" si="44"/>
        <v>34.413853726169847</v>
      </c>
      <c r="K93" s="34">
        <f t="shared" si="44"/>
        <v>62.5</v>
      </c>
      <c r="L93" s="34">
        <f t="shared" si="44"/>
        <v>62.5</v>
      </c>
      <c r="M93" s="34">
        <f t="shared" si="44"/>
        <v>37.037037037037038</v>
      </c>
      <c r="N93" s="34">
        <f t="shared" si="44"/>
        <v>0</v>
      </c>
      <c r="O93" s="34">
        <f t="shared" si="44"/>
        <v>37.037037037037038</v>
      </c>
      <c r="P93" s="34">
        <f t="shared" si="44"/>
        <v>0</v>
      </c>
      <c r="Q93" s="34">
        <f t="shared" si="44"/>
        <v>0</v>
      </c>
      <c r="R93" s="34">
        <f t="shared" si="44"/>
        <v>0</v>
      </c>
      <c r="S93" s="34">
        <f t="shared" si="44"/>
        <v>0</v>
      </c>
      <c r="T93" s="34">
        <f t="shared" si="44"/>
        <v>0</v>
      </c>
      <c r="U93" s="170">
        <f t="shared" si="32"/>
        <v>10467.170518289051</v>
      </c>
      <c r="V93" s="170">
        <f t="shared" si="35"/>
        <v>45</v>
      </c>
    </row>
    <row r="94" spans="3:22" x14ac:dyDescent="0.15">
      <c r="C94" s="206"/>
      <c r="D94" s="1" t="str">
        <f t="shared" ref="D94:D105" si="45">E94&amp;F94</f>
        <v>601</v>
      </c>
      <c r="E94" s="1">
        <v>60</v>
      </c>
      <c r="F94" s="103">
        <v>1</v>
      </c>
      <c r="G94" s="1">
        <f t="shared" si="34"/>
        <v>2.16</v>
      </c>
      <c r="H94" s="34">
        <f t="shared" si="44"/>
        <v>1058.3503151356949</v>
      </c>
      <c r="I94" s="34">
        <f t="shared" si="44"/>
        <v>53.75669390374334</v>
      </c>
      <c r="J94" s="34">
        <f t="shared" si="44"/>
        <v>23.229351265164645</v>
      </c>
      <c r="K94" s="34">
        <f t="shared" si="44"/>
        <v>42.1875</v>
      </c>
      <c r="L94" s="34">
        <f t="shared" si="44"/>
        <v>42.1875</v>
      </c>
      <c r="M94" s="34">
        <f t="shared" si="44"/>
        <v>25.000000000000004</v>
      </c>
      <c r="N94" s="34">
        <f t="shared" si="44"/>
        <v>0</v>
      </c>
      <c r="O94" s="34">
        <f t="shared" si="44"/>
        <v>25.000000000000004</v>
      </c>
      <c r="P94" s="34">
        <f t="shared" si="44"/>
        <v>0</v>
      </c>
      <c r="Q94" s="34">
        <f t="shared" si="44"/>
        <v>0</v>
      </c>
      <c r="R94" s="34">
        <f t="shared" si="44"/>
        <v>0</v>
      </c>
      <c r="S94" s="34">
        <f t="shared" si="44"/>
        <v>0</v>
      </c>
      <c r="T94" s="34">
        <f t="shared" si="44"/>
        <v>0</v>
      </c>
      <c r="U94" s="170">
        <f t="shared" si="32"/>
        <v>9420.4534664601451</v>
      </c>
      <c r="V94" s="170">
        <f t="shared" si="35"/>
        <v>60</v>
      </c>
    </row>
    <row r="95" spans="3:22" x14ac:dyDescent="0.15">
      <c r="C95" s="206"/>
      <c r="D95" s="1" t="str">
        <f t="shared" si="45"/>
        <v>602</v>
      </c>
      <c r="E95" s="1">
        <v>60</v>
      </c>
      <c r="F95" s="103">
        <v>2</v>
      </c>
      <c r="G95" s="1">
        <f t="shared" si="34"/>
        <v>3.12</v>
      </c>
      <c r="H95" s="34">
        <f t="shared" si="44"/>
        <v>1528.7282329737818</v>
      </c>
      <c r="I95" s="34">
        <f t="shared" si="44"/>
        <v>77.648557860962597</v>
      </c>
      <c r="J95" s="34">
        <f t="shared" si="44"/>
        <v>33.553507383015599</v>
      </c>
      <c r="K95" s="34">
        <f t="shared" si="44"/>
        <v>60.9375</v>
      </c>
      <c r="L95" s="34">
        <f t="shared" si="44"/>
        <v>60.9375</v>
      </c>
      <c r="M95" s="34">
        <f t="shared" si="44"/>
        <v>36.111111111111114</v>
      </c>
      <c r="N95" s="34">
        <f t="shared" si="44"/>
        <v>0</v>
      </c>
      <c r="O95" s="34">
        <f t="shared" si="44"/>
        <v>36.111111111111114</v>
      </c>
      <c r="P95" s="34">
        <f t="shared" si="44"/>
        <v>0</v>
      </c>
      <c r="Q95" s="34">
        <f t="shared" si="44"/>
        <v>0</v>
      </c>
      <c r="R95" s="34">
        <f t="shared" si="44"/>
        <v>0</v>
      </c>
      <c r="S95" s="34">
        <f t="shared" si="44"/>
        <v>0</v>
      </c>
      <c r="T95" s="34">
        <f t="shared" si="44"/>
        <v>0</v>
      </c>
      <c r="U95" s="170">
        <f t="shared" si="32"/>
        <v>13607.32167377577</v>
      </c>
      <c r="V95" s="170">
        <f t="shared" si="35"/>
        <v>60</v>
      </c>
    </row>
    <row r="96" spans="3:22" x14ac:dyDescent="0.15">
      <c r="C96" s="206"/>
      <c r="D96" s="1" t="str">
        <f t="shared" si="45"/>
        <v>603</v>
      </c>
      <c r="E96" s="1">
        <v>60</v>
      </c>
      <c r="F96" s="103">
        <v>3</v>
      </c>
      <c r="G96" s="1">
        <f t="shared" si="34"/>
        <v>4.08</v>
      </c>
      <c r="H96" s="34">
        <f t="shared" si="44"/>
        <v>1999.1061508118685</v>
      </c>
      <c r="I96" s="34">
        <f t="shared" si="44"/>
        <v>101.54042181818185</v>
      </c>
      <c r="J96" s="34">
        <f t="shared" si="44"/>
        <v>43.877663500866561</v>
      </c>
      <c r="K96" s="34">
        <f t="shared" si="44"/>
        <v>79.6875</v>
      </c>
      <c r="L96" s="34">
        <f t="shared" si="44"/>
        <v>79.6875</v>
      </c>
      <c r="M96" s="34">
        <f t="shared" si="44"/>
        <v>47.222222222222221</v>
      </c>
      <c r="N96" s="34">
        <f t="shared" si="44"/>
        <v>0</v>
      </c>
      <c r="O96" s="34">
        <f t="shared" si="44"/>
        <v>47.222222222222221</v>
      </c>
      <c r="P96" s="34">
        <f t="shared" si="44"/>
        <v>0</v>
      </c>
      <c r="Q96" s="34">
        <f t="shared" si="44"/>
        <v>0</v>
      </c>
      <c r="R96" s="34">
        <f t="shared" si="44"/>
        <v>0</v>
      </c>
      <c r="S96" s="34">
        <f t="shared" si="44"/>
        <v>0</v>
      </c>
      <c r="T96" s="34">
        <f t="shared" si="44"/>
        <v>0</v>
      </c>
      <c r="U96" s="170">
        <f t="shared" si="32"/>
        <v>17794.189881091392</v>
      </c>
      <c r="V96" s="170">
        <f t="shared" si="35"/>
        <v>60</v>
      </c>
    </row>
    <row r="97" spans="3:22" x14ac:dyDescent="0.15">
      <c r="C97" s="206"/>
      <c r="D97" s="5" t="str">
        <f t="shared" si="45"/>
        <v>604</v>
      </c>
      <c r="E97" s="1">
        <v>60</v>
      </c>
      <c r="F97" s="126">
        <v>4</v>
      </c>
      <c r="G97" s="1">
        <f t="shared" si="34"/>
        <v>4.8</v>
      </c>
      <c r="H97" s="34">
        <f t="shared" si="44"/>
        <v>2351.8895891904331</v>
      </c>
      <c r="I97" s="34">
        <f t="shared" si="44"/>
        <v>119.45931978609629</v>
      </c>
      <c r="J97" s="34">
        <f t="shared" si="44"/>
        <v>51.620780589254778</v>
      </c>
      <c r="K97" s="34">
        <f t="shared" si="44"/>
        <v>93.75</v>
      </c>
      <c r="L97" s="34">
        <f t="shared" si="44"/>
        <v>93.75</v>
      </c>
      <c r="M97" s="34">
        <f t="shared" si="44"/>
        <v>55.555555555555557</v>
      </c>
      <c r="N97" s="34">
        <f t="shared" si="44"/>
        <v>0</v>
      </c>
      <c r="O97" s="34">
        <f t="shared" si="44"/>
        <v>55.555555555555557</v>
      </c>
      <c r="P97" s="34">
        <f t="shared" si="44"/>
        <v>0</v>
      </c>
      <c r="Q97" s="34">
        <f t="shared" si="44"/>
        <v>0</v>
      </c>
      <c r="R97" s="34">
        <f t="shared" si="44"/>
        <v>0</v>
      </c>
      <c r="S97" s="34">
        <f t="shared" si="44"/>
        <v>0</v>
      </c>
      <c r="T97" s="34">
        <f t="shared" si="44"/>
        <v>0</v>
      </c>
      <c r="U97" s="170">
        <f t="shared" si="32"/>
        <v>20934.341036578102</v>
      </c>
      <c r="V97" s="170">
        <f t="shared" si="35"/>
        <v>60</v>
      </c>
    </row>
    <row r="98" spans="3:22" x14ac:dyDescent="0.15">
      <c r="C98" s="206"/>
      <c r="D98" s="5" t="str">
        <f t="shared" si="45"/>
        <v>701</v>
      </c>
      <c r="E98" s="1">
        <v>70</v>
      </c>
      <c r="F98" s="126">
        <v>1</v>
      </c>
      <c r="G98" s="1">
        <f t="shared" si="34"/>
        <v>2.8800000000000003</v>
      </c>
      <c r="H98" s="34">
        <f t="shared" si="44"/>
        <v>1411.1337535142602</v>
      </c>
      <c r="I98" s="34">
        <f t="shared" si="44"/>
        <v>71.675591871657787</v>
      </c>
      <c r="J98" s="34">
        <f t="shared" si="44"/>
        <v>30.972468353552863</v>
      </c>
      <c r="K98" s="34">
        <f t="shared" si="44"/>
        <v>56.250000000000014</v>
      </c>
      <c r="L98" s="34">
        <f t="shared" si="44"/>
        <v>56.250000000000014</v>
      </c>
      <c r="M98" s="34">
        <f t="shared" si="44"/>
        <v>33.333333333333336</v>
      </c>
      <c r="N98" s="34">
        <f t="shared" si="44"/>
        <v>0</v>
      </c>
      <c r="O98" s="34">
        <f t="shared" si="44"/>
        <v>33.333333333333336</v>
      </c>
      <c r="P98" s="34">
        <f t="shared" si="44"/>
        <v>0</v>
      </c>
      <c r="Q98" s="34">
        <f t="shared" si="44"/>
        <v>0</v>
      </c>
      <c r="R98" s="34">
        <f t="shared" si="44"/>
        <v>0</v>
      </c>
      <c r="S98" s="34">
        <f t="shared" si="44"/>
        <v>0</v>
      </c>
      <c r="T98" s="34">
        <f t="shared" si="44"/>
        <v>0</v>
      </c>
      <c r="U98" s="170">
        <f t="shared" si="32"/>
        <v>14654.038725604674</v>
      </c>
      <c r="V98" s="170">
        <f t="shared" si="35"/>
        <v>70</v>
      </c>
    </row>
    <row r="99" spans="3:22" x14ac:dyDescent="0.15">
      <c r="C99" s="206"/>
      <c r="D99" s="5" t="str">
        <f t="shared" si="45"/>
        <v>702</v>
      </c>
      <c r="E99" s="1">
        <v>70</v>
      </c>
      <c r="F99" s="126">
        <v>2</v>
      </c>
      <c r="G99" s="1">
        <f t="shared" si="34"/>
        <v>4.16</v>
      </c>
      <c r="H99" s="34">
        <f t="shared" si="44"/>
        <v>2038.3043106317086</v>
      </c>
      <c r="I99" s="34">
        <f t="shared" si="44"/>
        <v>103.53141048128346</v>
      </c>
      <c r="J99" s="34">
        <f t="shared" si="44"/>
        <v>44.738009844020802</v>
      </c>
      <c r="K99" s="34">
        <f t="shared" si="44"/>
        <v>81.25</v>
      </c>
      <c r="L99" s="34">
        <f t="shared" si="44"/>
        <v>81.25</v>
      </c>
      <c r="M99" s="34">
        <f t="shared" si="44"/>
        <v>48.148148148148152</v>
      </c>
      <c r="N99" s="34">
        <f t="shared" si="44"/>
        <v>0</v>
      </c>
      <c r="O99" s="34">
        <f t="shared" si="44"/>
        <v>48.148148148148152</v>
      </c>
      <c r="P99" s="34">
        <f t="shared" si="44"/>
        <v>0</v>
      </c>
      <c r="Q99" s="34">
        <f t="shared" si="44"/>
        <v>0</v>
      </c>
      <c r="R99" s="34">
        <f t="shared" si="44"/>
        <v>0</v>
      </c>
      <c r="S99" s="34">
        <f t="shared" si="44"/>
        <v>0</v>
      </c>
      <c r="T99" s="34">
        <f t="shared" si="44"/>
        <v>0</v>
      </c>
      <c r="U99" s="170">
        <f t="shared" si="32"/>
        <v>21166.944825873419</v>
      </c>
      <c r="V99" s="170">
        <f t="shared" si="35"/>
        <v>70</v>
      </c>
    </row>
    <row r="100" spans="3:22" x14ac:dyDescent="0.15">
      <c r="C100" s="206"/>
      <c r="D100" s="5" t="str">
        <f t="shared" si="45"/>
        <v>703</v>
      </c>
      <c r="E100" s="1">
        <v>70</v>
      </c>
      <c r="F100" s="126">
        <v>3</v>
      </c>
      <c r="G100" s="1">
        <f t="shared" si="34"/>
        <v>5.44</v>
      </c>
      <c r="H100" s="34">
        <f t="shared" si="44"/>
        <v>2665.474867749158</v>
      </c>
      <c r="I100" s="34">
        <f t="shared" si="44"/>
        <v>135.38722909090913</v>
      </c>
      <c r="J100" s="34">
        <f t="shared" si="44"/>
        <v>58.503551334488748</v>
      </c>
      <c r="K100" s="34">
        <f t="shared" si="44"/>
        <v>106.25000000000003</v>
      </c>
      <c r="L100" s="34">
        <f t="shared" si="44"/>
        <v>106.25000000000003</v>
      </c>
      <c r="M100" s="34">
        <f t="shared" si="44"/>
        <v>62.962962962962969</v>
      </c>
      <c r="N100" s="34">
        <f t="shared" si="44"/>
        <v>0</v>
      </c>
      <c r="O100" s="34">
        <f t="shared" si="44"/>
        <v>62.962962962962969</v>
      </c>
      <c r="P100" s="34">
        <f t="shared" si="44"/>
        <v>0</v>
      </c>
      <c r="Q100" s="34">
        <f t="shared" si="44"/>
        <v>0</v>
      </c>
      <c r="R100" s="34">
        <f t="shared" si="44"/>
        <v>0</v>
      </c>
      <c r="S100" s="34">
        <f t="shared" si="44"/>
        <v>0</v>
      </c>
      <c r="T100" s="34">
        <f t="shared" si="44"/>
        <v>0</v>
      </c>
      <c r="U100" s="170">
        <f t="shared" si="32"/>
        <v>27679.850926142157</v>
      </c>
      <c r="V100" s="170">
        <f t="shared" si="35"/>
        <v>70</v>
      </c>
    </row>
    <row r="101" spans="3:22" x14ac:dyDescent="0.15">
      <c r="C101" s="206"/>
      <c r="D101" s="5" t="str">
        <f t="shared" si="45"/>
        <v>704</v>
      </c>
      <c r="E101" s="1">
        <v>70</v>
      </c>
      <c r="F101" s="126">
        <v>4</v>
      </c>
      <c r="G101" s="1">
        <f t="shared" si="34"/>
        <v>6.4</v>
      </c>
      <c r="H101" s="34">
        <f t="shared" si="44"/>
        <v>3135.8527855872449</v>
      </c>
      <c r="I101" s="34">
        <f t="shared" si="44"/>
        <v>159.2790930481284</v>
      </c>
      <c r="J101" s="34">
        <f t="shared" si="44"/>
        <v>68.827707452339695</v>
      </c>
      <c r="K101" s="34">
        <f t="shared" si="44"/>
        <v>125</v>
      </c>
      <c r="L101" s="34">
        <f t="shared" si="44"/>
        <v>125</v>
      </c>
      <c r="M101" s="34">
        <f t="shared" si="44"/>
        <v>74.074074074074076</v>
      </c>
      <c r="N101" s="34">
        <f t="shared" si="44"/>
        <v>0</v>
      </c>
      <c r="O101" s="34">
        <f t="shared" si="44"/>
        <v>74.074074074074076</v>
      </c>
      <c r="P101" s="34">
        <f t="shared" si="44"/>
        <v>0</v>
      </c>
      <c r="Q101" s="34">
        <f t="shared" si="44"/>
        <v>0</v>
      </c>
      <c r="R101" s="34">
        <f t="shared" si="44"/>
        <v>0</v>
      </c>
      <c r="S101" s="34">
        <f t="shared" si="44"/>
        <v>0</v>
      </c>
      <c r="T101" s="34">
        <f t="shared" si="44"/>
        <v>0</v>
      </c>
      <c r="U101" s="170">
        <f t="shared" si="32"/>
        <v>32564.530501343717</v>
      </c>
      <c r="V101" s="170">
        <f t="shared" si="35"/>
        <v>70</v>
      </c>
    </row>
    <row r="102" spans="3:22" x14ac:dyDescent="0.15">
      <c r="C102" s="206"/>
      <c r="D102" s="5" t="str">
        <f t="shared" si="45"/>
        <v>801</v>
      </c>
      <c r="E102" s="1">
        <v>80</v>
      </c>
      <c r="F102" s="126">
        <v>1</v>
      </c>
      <c r="G102" s="1">
        <f t="shared" si="34"/>
        <v>3.6</v>
      </c>
      <c r="H102" s="34">
        <f t="shared" si="44"/>
        <v>1763.9171918928248</v>
      </c>
      <c r="I102" s="34">
        <f t="shared" si="44"/>
        <v>89.594489839572219</v>
      </c>
      <c r="J102" s="34">
        <f t="shared" si="44"/>
        <v>38.715585441941087</v>
      </c>
      <c r="K102" s="34">
        <f t="shared" si="44"/>
        <v>70.3125</v>
      </c>
      <c r="L102" s="34">
        <f t="shared" si="44"/>
        <v>70.3125</v>
      </c>
      <c r="M102" s="34">
        <f t="shared" si="44"/>
        <v>41.666666666666671</v>
      </c>
      <c r="N102" s="34">
        <f t="shared" si="44"/>
        <v>0</v>
      </c>
      <c r="O102" s="34">
        <f t="shared" si="44"/>
        <v>41.666666666666671</v>
      </c>
      <c r="P102" s="34">
        <f t="shared" si="44"/>
        <v>0</v>
      </c>
      <c r="Q102" s="34">
        <f t="shared" si="44"/>
        <v>0</v>
      </c>
      <c r="R102" s="34">
        <f t="shared" si="44"/>
        <v>0</v>
      </c>
      <c r="S102" s="34">
        <f t="shared" si="44"/>
        <v>0</v>
      </c>
      <c r="T102" s="34">
        <f t="shared" si="44"/>
        <v>0</v>
      </c>
      <c r="U102" s="170">
        <f t="shared" si="32"/>
        <v>20934.341036578102</v>
      </c>
      <c r="V102" s="170">
        <f t="shared" si="35"/>
        <v>80</v>
      </c>
    </row>
    <row r="103" spans="3:22" x14ac:dyDescent="0.15">
      <c r="C103" s="206"/>
      <c r="D103" s="5" t="str">
        <f t="shared" si="45"/>
        <v>802</v>
      </c>
      <c r="E103" s="1">
        <v>80</v>
      </c>
      <c r="F103" s="126">
        <v>2</v>
      </c>
      <c r="G103" s="1">
        <f t="shared" si="34"/>
        <v>5.2</v>
      </c>
      <c r="H103" s="34">
        <f t="shared" si="44"/>
        <v>2547.8803882896364</v>
      </c>
      <c r="I103" s="34">
        <f t="shared" si="44"/>
        <v>129.41426310160432</v>
      </c>
      <c r="J103" s="34">
        <f t="shared" si="44"/>
        <v>55.922512305026011</v>
      </c>
      <c r="K103" s="34">
        <f t="shared" si="44"/>
        <v>101.5625</v>
      </c>
      <c r="L103" s="34">
        <f t="shared" si="44"/>
        <v>101.5625</v>
      </c>
      <c r="M103" s="34">
        <f t="shared" si="44"/>
        <v>60.185185185185183</v>
      </c>
      <c r="N103" s="34">
        <f t="shared" si="44"/>
        <v>0</v>
      </c>
      <c r="O103" s="34">
        <f t="shared" si="44"/>
        <v>60.185185185185183</v>
      </c>
      <c r="P103" s="34">
        <f t="shared" si="44"/>
        <v>0</v>
      </c>
      <c r="Q103" s="34">
        <f t="shared" si="44"/>
        <v>0</v>
      </c>
      <c r="R103" s="34">
        <f t="shared" si="44"/>
        <v>0</v>
      </c>
      <c r="S103" s="34">
        <f t="shared" si="44"/>
        <v>0</v>
      </c>
      <c r="T103" s="34">
        <f t="shared" si="44"/>
        <v>0</v>
      </c>
      <c r="U103" s="170">
        <f t="shared" si="32"/>
        <v>30238.492608390592</v>
      </c>
      <c r="V103" s="170">
        <f t="shared" si="35"/>
        <v>80</v>
      </c>
    </row>
    <row r="104" spans="3:22" x14ac:dyDescent="0.15">
      <c r="C104" s="206"/>
      <c r="D104" s="5" t="str">
        <f t="shared" si="45"/>
        <v>803</v>
      </c>
      <c r="E104" s="1">
        <v>80</v>
      </c>
      <c r="F104" s="126">
        <v>3</v>
      </c>
      <c r="G104" s="1">
        <f t="shared" si="34"/>
        <v>6.8</v>
      </c>
      <c r="H104" s="34">
        <f t="shared" si="44"/>
        <v>3331.8435846864472</v>
      </c>
      <c r="I104" s="34">
        <f t="shared" si="44"/>
        <v>169.23403636363639</v>
      </c>
      <c r="J104" s="34">
        <f t="shared" si="44"/>
        <v>73.12943916811092</v>
      </c>
      <c r="K104" s="34">
        <f t="shared" si="44"/>
        <v>132.8125</v>
      </c>
      <c r="L104" s="34">
        <f t="shared" si="44"/>
        <v>132.8125</v>
      </c>
      <c r="M104" s="34">
        <f t="shared" si="44"/>
        <v>78.703703703703709</v>
      </c>
      <c r="N104" s="34">
        <f t="shared" si="44"/>
        <v>0</v>
      </c>
      <c r="O104" s="34">
        <f t="shared" si="44"/>
        <v>78.703703703703709</v>
      </c>
      <c r="P104" s="34">
        <f t="shared" si="44"/>
        <v>0</v>
      </c>
      <c r="Q104" s="34">
        <f t="shared" si="44"/>
        <v>0</v>
      </c>
      <c r="R104" s="34">
        <f t="shared" si="44"/>
        <v>0</v>
      </c>
      <c r="S104" s="34">
        <f t="shared" si="44"/>
        <v>0</v>
      </c>
      <c r="T104" s="34">
        <f t="shared" si="44"/>
        <v>0</v>
      </c>
      <c r="U104" s="170">
        <f t="shared" si="32"/>
        <v>39542.644180203089</v>
      </c>
      <c r="V104" s="170">
        <f t="shared" si="35"/>
        <v>80</v>
      </c>
    </row>
    <row r="105" spans="3:22" x14ac:dyDescent="0.15">
      <c r="C105" s="206"/>
      <c r="D105" s="5" t="str">
        <f t="shared" si="45"/>
        <v>804</v>
      </c>
      <c r="E105" s="1">
        <v>80</v>
      </c>
      <c r="F105" s="126">
        <v>4</v>
      </c>
      <c r="G105" s="1">
        <f t="shared" si="34"/>
        <v>8</v>
      </c>
      <c r="H105" s="34">
        <f t="shared" si="44"/>
        <v>3919.8159819840557</v>
      </c>
      <c r="I105" s="34">
        <f t="shared" si="44"/>
        <v>199.0988663101605</v>
      </c>
      <c r="J105" s="34">
        <f t="shared" si="44"/>
        <v>86.034634315424626</v>
      </c>
      <c r="K105" s="34">
        <f t="shared" si="44"/>
        <v>156.25</v>
      </c>
      <c r="L105" s="34">
        <f t="shared" si="44"/>
        <v>156.25</v>
      </c>
      <c r="M105" s="34">
        <f t="shared" si="44"/>
        <v>92.592592592592595</v>
      </c>
      <c r="N105" s="34">
        <f t="shared" si="44"/>
        <v>0</v>
      </c>
      <c r="O105" s="34">
        <f t="shared" si="44"/>
        <v>92.592592592592595</v>
      </c>
      <c r="P105" s="34">
        <f t="shared" si="44"/>
        <v>0</v>
      </c>
      <c r="Q105" s="34">
        <f t="shared" si="44"/>
        <v>0</v>
      </c>
      <c r="R105" s="34">
        <f t="shared" si="44"/>
        <v>0</v>
      </c>
      <c r="S105" s="34">
        <f t="shared" si="44"/>
        <v>0</v>
      </c>
      <c r="T105" s="34">
        <f t="shared" si="44"/>
        <v>0</v>
      </c>
      <c r="U105" s="170">
        <f t="shared" si="32"/>
        <v>46520.757859062447</v>
      </c>
      <c r="V105" s="170">
        <f t="shared" si="35"/>
        <v>80</v>
      </c>
    </row>
    <row r="106" spans="3:22" x14ac:dyDescent="0.15">
      <c r="C106" s="160"/>
      <c r="D106" s="23"/>
      <c r="E106" s="23"/>
      <c r="F106" s="161"/>
      <c r="G106" s="23"/>
      <c r="H106" s="127"/>
      <c r="I106" s="127"/>
      <c r="J106" s="127"/>
      <c r="K106" s="127"/>
      <c r="L106" s="127"/>
      <c r="M106" s="127"/>
      <c r="N106" s="127"/>
      <c r="O106" s="127"/>
      <c r="P106" s="127"/>
      <c r="Q106" s="127"/>
      <c r="R106" s="127"/>
      <c r="S106" s="127"/>
      <c r="T106" s="127"/>
    </row>
    <row r="107" spans="3:22" x14ac:dyDescent="0.15">
      <c r="C107" s="160"/>
      <c r="D107" s="23"/>
      <c r="E107" s="23"/>
      <c r="F107" s="161"/>
      <c r="G107" s="23"/>
      <c r="H107" s="127"/>
      <c r="I107" s="127"/>
      <c r="J107" s="127"/>
      <c r="K107" s="127"/>
      <c r="L107" s="127"/>
      <c r="M107" s="127"/>
      <c r="N107" s="127"/>
      <c r="O107" s="127"/>
      <c r="P107" s="127"/>
      <c r="Q107" s="127"/>
      <c r="R107" s="127"/>
      <c r="S107" s="127"/>
      <c r="T107" s="127"/>
    </row>
    <row r="108" spans="3:22" x14ac:dyDescent="0.15">
      <c r="C108" s="160"/>
      <c r="D108" s="23"/>
      <c r="E108" s="23"/>
      <c r="F108" s="161"/>
      <c r="G108" s="23"/>
      <c r="H108" s="127"/>
      <c r="I108" s="127"/>
      <c r="J108" s="127"/>
      <c r="K108" s="127"/>
      <c r="L108" s="127"/>
      <c r="M108" s="127"/>
      <c r="N108" s="127"/>
      <c r="O108" s="127"/>
      <c r="P108" s="127"/>
      <c r="Q108" s="127"/>
      <c r="R108" s="127"/>
      <c r="S108" s="127"/>
      <c r="T108" s="127"/>
    </row>
    <row r="109" spans="3:22" x14ac:dyDescent="0.15">
      <c r="C109" s="160"/>
      <c r="D109" s="23"/>
      <c r="E109" s="23"/>
      <c r="F109" s="161"/>
      <c r="G109" s="23"/>
      <c r="H109" s="127"/>
      <c r="I109" s="127"/>
      <c r="J109" s="127"/>
      <c r="K109" s="127"/>
      <c r="L109" s="127"/>
      <c r="M109" s="127"/>
      <c r="N109" s="127"/>
      <c r="O109" s="127"/>
      <c r="P109" s="127"/>
      <c r="Q109" s="127"/>
      <c r="R109" s="127"/>
      <c r="S109" s="127"/>
      <c r="T109" s="127"/>
    </row>
    <row r="111" spans="3:22" ht="14.45" customHeight="1" x14ac:dyDescent="0.15">
      <c r="C111" s="206" t="s">
        <v>415</v>
      </c>
      <c r="D111" s="1" t="s">
        <v>317</v>
      </c>
      <c r="E111" s="1" t="s">
        <v>314</v>
      </c>
      <c r="F111" s="1" t="s">
        <v>140</v>
      </c>
      <c r="G111" s="1" t="s">
        <v>316</v>
      </c>
      <c r="H111" s="9" t="str">
        <f>各种公式!C12</f>
        <v>生命</v>
      </c>
      <c r="I111" s="9" t="str">
        <f>各种公式!D12</f>
        <v>攻击</v>
      </c>
      <c r="J111" s="9" t="str">
        <f>各种公式!E12</f>
        <v>防御</v>
      </c>
      <c r="K111" s="9" t="str">
        <f>各种公式!F12</f>
        <v>闪避值</v>
      </c>
      <c r="L111" s="9" t="str">
        <f>各种公式!G12</f>
        <v>命中值</v>
      </c>
      <c r="M111" s="9" t="str">
        <f>各种公式!H12</f>
        <v>暴击值</v>
      </c>
      <c r="N111" s="9" t="str">
        <f>各种公式!I12</f>
        <v>暴击倍数</v>
      </c>
      <c r="O111" s="9" t="str">
        <f>各种公式!J12</f>
        <v>韧性值</v>
      </c>
      <c r="P111" s="9" t="str">
        <f>各种公式!K12</f>
        <v>伤害减免</v>
      </c>
      <c r="Q111" s="9" t="str">
        <f>各种公式!L12</f>
        <v>伤害加深</v>
      </c>
      <c r="R111" s="9" t="str">
        <f>各种公式!M12</f>
        <v>生命加成</v>
      </c>
      <c r="S111" s="9" t="str">
        <f>各种公式!N12</f>
        <v>攻击加成</v>
      </c>
      <c r="T111" s="9" t="str">
        <f>各种公式!O12</f>
        <v>防御加成</v>
      </c>
    </row>
    <row r="112" spans="3:22" x14ac:dyDescent="0.15">
      <c r="C112" s="206"/>
      <c r="D112" s="1" t="str">
        <f>E112&amp;F112</f>
        <v>50</v>
      </c>
      <c r="E112" s="1">
        <v>5</v>
      </c>
      <c r="F112" s="103">
        <v>0</v>
      </c>
      <c r="G112" s="1">
        <f>VLOOKUP(E112,$J$19:$O$28,F112+2,FALSE)</f>
        <v>0.05</v>
      </c>
      <c r="H112" s="34">
        <f t="shared" ref="H112:T123" si="46">H$47*VLOOKUP($B$15,属性权重数组,H$49,FALSE)*$G112/$B$11/10</f>
        <v>195.9907990992028</v>
      </c>
      <c r="I112" s="34">
        <f t="shared" si="46"/>
        <v>9.9549433155080251</v>
      </c>
      <c r="J112" s="34">
        <f t="shared" si="46"/>
        <v>4.3017317157712309</v>
      </c>
      <c r="K112" s="34">
        <f t="shared" si="46"/>
        <v>7.8125</v>
      </c>
      <c r="L112" s="34">
        <f t="shared" si="46"/>
        <v>7.8125</v>
      </c>
      <c r="M112" s="34">
        <f t="shared" si="46"/>
        <v>4.6296296296296298</v>
      </c>
      <c r="N112" s="34">
        <f t="shared" si="46"/>
        <v>0</v>
      </c>
      <c r="O112" s="34">
        <f t="shared" si="46"/>
        <v>4.6296296296296298</v>
      </c>
      <c r="P112" s="34">
        <f t="shared" si="46"/>
        <v>0</v>
      </c>
      <c r="Q112" s="34">
        <f t="shared" si="46"/>
        <v>0</v>
      </c>
      <c r="R112" s="34">
        <f t="shared" si="46"/>
        <v>0</v>
      </c>
      <c r="S112" s="34">
        <f t="shared" si="46"/>
        <v>0</v>
      </c>
      <c r="T112" s="34">
        <f t="shared" si="46"/>
        <v>0</v>
      </c>
      <c r="U112" s="170">
        <f t="shared" ref="U112:U137" si="47">SUMPRODUCT(H112:T112,属性价值比)*V112</f>
        <v>29.075473661914032</v>
      </c>
      <c r="V112">
        <v>1</v>
      </c>
    </row>
    <row r="113" spans="3:22" x14ac:dyDescent="0.15">
      <c r="C113" s="206"/>
      <c r="D113" s="1" t="str">
        <f t="shared" ref="D113:D124" si="48">E113&amp;F113</f>
        <v>51</v>
      </c>
      <c r="E113" s="1">
        <v>5</v>
      </c>
      <c r="F113" s="103">
        <v>1</v>
      </c>
      <c r="G113" s="1">
        <f t="shared" ref="G113:G137" si="49">VLOOKUP(E113,$J$19:$O$28,F113+2,FALSE)</f>
        <v>7.5000000000000011E-2</v>
      </c>
      <c r="H113" s="34">
        <f t="shared" si="46"/>
        <v>293.98619864880419</v>
      </c>
      <c r="I113" s="34">
        <f t="shared" si="46"/>
        <v>14.932414973262038</v>
      </c>
      <c r="J113" s="34">
        <f t="shared" si="46"/>
        <v>6.4525975736568473</v>
      </c>
      <c r="K113" s="34">
        <f t="shared" si="46"/>
        <v>11.718750000000002</v>
      </c>
      <c r="L113" s="34">
        <f t="shared" si="46"/>
        <v>11.718750000000002</v>
      </c>
      <c r="M113" s="34">
        <f t="shared" si="46"/>
        <v>6.9444444444444455</v>
      </c>
      <c r="N113" s="34">
        <f t="shared" si="46"/>
        <v>0</v>
      </c>
      <c r="O113" s="34">
        <f t="shared" si="46"/>
        <v>6.9444444444444455</v>
      </c>
      <c r="P113" s="34">
        <f t="shared" si="46"/>
        <v>0</v>
      </c>
      <c r="Q113" s="34">
        <f t="shared" si="46"/>
        <v>0</v>
      </c>
      <c r="R113" s="34">
        <f t="shared" si="46"/>
        <v>0</v>
      </c>
      <c r="S113" s="34">
        <f t="shared" si="46"/>
        <v>0</v>
      </c>
      <c r="T113" s="34">
        <f t="shared" si="46"/>
        <v>0</v>
      </c>
      <c r="U113" s="170">
        <f t="shared" si="47"/>
        <v>43.613210492871055</v>
      </c>
      <c r="V113">
        <v>1</v>
      </c>
    </row>
    <row r="114" spans="3:22" x14ac:dyDescent="0.15">
      <c r="C114" s="206"/>
      <c r="D114" s="1" t="str">
        <f t="shared" si="48"/>
        <v>151</v>
      </c>
      <c r="E114" s="1">
        <v>15</v>
      </c>
      <c r="F114" s="103">
        <v>1</v>
      </c>
      <c r="G114" s="1">
        <f t="shared" si="49"/>
        <v>0.15000000000000002</v>
      </c>
      <c r="H114" s="34">
        <f t="shared" si="46"/>
        <v>587.97239729760838</v>
      </c>
      <c r="I114" s="34">
        <f t="shared" si="46"/>
        <v>29.864829946524075</v>
      </c>
      <c r="J114" s="34">
        <f t="shared" si="46"/>
        <v>12.905195147313695</v>
      </c>
      <c r="K114" s="34">
        <f t="shared" si="46"/>
        <v>23.437500000000004</v>
      </c>
      <c r="L114" s="34">
        <f t="shared" si="46"/>
        <v>23.437500000000004</v>
      </c>
      <c r="M114" s="34">
        <f t="shared" si="46"/>
        <v>13.888888888888891</v>
      </c>
      <c r="N114" s="34">
        <f t="shared" si="46"/>
        <v>0</v>
      </c>
      <c r="O114" s="34">
        <f t="shared" si="46"/>
        <v>13.888888888888891</v>
      </c>
      <c r="P114" s="34">
        <f t="shared" si="46"/>
        <v>0</v>
      </c>
      <c r="Q114" s="34">
        <f t="shared" si="46"/>
        <v>0</v>
      </c>
      <c r="R114" s="34">
        <f t="shared" si="46"/>
        <v>0</v>
      </c>
      <c r="S114" s="34">
        <f t="shared" si="46"/>
        <v>0</v>
      </c>
      <c r="T114" s="34">
        <f t="shared" si="46"/>
        <v>0</v>
      </c>
      <c r="U114" s="170">
        <f t="shared" si="47"/>
        <v>87.226420985742109</v>
      </c>
      <c r="V114">
        <v>1</v>
      </c>
    </row>
    <row r="115" spans="3:22" x14ac:dyDescent="0.15">
      <c r="C115" s="206"/>
      <c r="D115" s="1" t="str">
        <f t="shared" si="48"/>
        <v>152</v>
      </c>
      <c r="E115" s="1">
        <v>15</v>
      </c>
      <c r="F115" s="103">
        <v>2</v>
      </c>
      <c r="G115" s="1">
        <f t="shared" si="49"/>
        <v>0.2166666666666667</v>
      </c>
      <c r="H115" s="34">
        <f t="shared" si="46"/>
        <v>849.29346276321212</v>
      </c>
      <c r="I115" s="34">
        <f t="shared" si="46"/>
        <v>43.138087700534783</v>
      </c>
      <c r="J115" s="34">
        <f t="shared" si="46"/>
        <v>18.64083743500867</v>
      </c>
      <c r="K115" s="34">
        <f t="shared" si="46"/>
        <v>33.854166666666671</v>
      </c>
      <c r="L115" s="34">
        <f t="shared" si="46"/>
        <v>33.854166666666671</v>
      </c>
      <c r="M115" s="34">
        <f t="shared" si="46"/>
        <v>20.061728395061731</v>
      </c>
      <c r="N115" s="34">
        <f t="shared" si="46"/>
        <v>0</v>
      </c>
      <c r="O115" s="34">
        <f t="shared" si="46"/>
        <v>20.061728395061731</v>
      </c>
      <c r="P115" s="34">
        <f t="shared" si="46"/>
        <v>0</v>
      </c>
      <c r="Q115" s="34">
        <f t="shared" si="46"/>
        <v>0</v>
      </c>
      <c r="R115" s="34">
        <f t="shared" si="46"/>
        <v>0</v>
      </c>
      <c r="S115" s="34">
        <f t="shared" si="46"/>
        <v>0</v>
      </c>
      <c r="T115" s="34">
        <f t="shared" si="46"/>
        <v>0</v>
      </c>
      <c r="U115" s="170">
        <f t="shared" si="47"/>
        <v>125.9937192016275</v>
      </c>
      <c r="V115">
        <v>1</v>
      </c>
    </row>
    <row r="116" spans="3:22" s="173" customFormat="1" x14ac:dyDescent="0.15">
      <c r="C116" s="206"/>
      <c r="D116" s="1" t="str">
        <f t="shared" ref="D116" si="50">E116&amp;F116</f>
        <v>153</v>
      </c>
      <c r="E116" s="1">
        <v>15</v>
      </c>
      <c r="F116" s="103">
        <v>3</v>
      </c>
      <c r="G116" s="1">
        <f t="shared" ref="G116" si="51">VLOOKUP(E116,$J$19:$O$28,F116+2,FALSE)</f>
        <v>0.28333333333333338</v>
      </c>
      <c r="H116" s="34">
        <f t="shared" si="46"/>
        <v>1110.614528228816</v>
      </c>
      <c r="I116" s="34">
        <f t="shared" si="46"/>
        <v>56.411345454545483</v>
      </c>
      <c r="J116" s="34">
        <f t="shared" si="46"/>
        <v>24.37647972270365</v>
      </c>
      <c r="K116" s="34">
        <f t="shared" si="46"/>
        <v>44.270833333333343</v>
      </c>
      <c r="L116" s="34">
        <f t="shared" si="46"/>
        <v>44.270833333333343</v>
      </c>
      <c r="M116" s="34">
        <f t="shared" si="46"/>
        <v>26.234567901234573</v>
      </c>
      <c r="N116" s="34">
        <f t="shared" si="46"/>
        <v>0</v>
      </c>
      <c r="O116" s="34">
        <f t="shared" si="46"/>
        <v>26.234567901234573</v>
      </c>
      <c r="P116" s="34">
        <f t="shared" si="46"/>
        <v>0</v>
      </c>
      <c r="Q116" s="34">
        <f t="shared" si="46"/>
        <v>0</v>
      </c>
      <c r="R116" s="34">
        <f t="shared" si="46"/>
        <v>0</v>
      </c>
      <c r="S116" s="34">
        <f t="shared" si="46"/>
        <v>0</v>
      </c>
      <c r="T116" s="34">
        <f t="shared" si="46"/>
        <v>0</v>
      </c>
      <c r="U116" s="170">
        <f t="shared" ref="U116" si="52">SUMPRODUCT(H116:T116,属性价值比)*V116</f>
        <v>164.7610174175129</v>
      </c>
      <c r="V116" s="173">
        <v>1</v>
      </c>
    </row>
    <row r="117" spans="3:22" s="173" customFormat="1" x14ac:dyDescent="0.15">
      <c r="C117" s="206"/>
      <c r="D117" s="1" t="str">
        <f t="shared" ref="D117" si="53">E117&amp;F117</f>
        <v>154</v>
      </c>
      <c r="E117" s="1">
        <v>15</v>
      </c>
      <c r="F117" s="103">
        <v>4</v>
      </c>
      <c r="G117" s="1">
        <f t="shared" ref="G117" si="54">VLOOKUP(E117,$J$19:$O$28,F117+2,FALSE)</f>
        <v>0.33333333333333337</v>
      </c>
      <c r="H117" s="34">
        <f t="shared" si="46"/>
        <v>1306.6053273280188</v>
      </c>
      <c r="I117" s="34">
        <f t="shared" si="46"/>
        <v>66.366288770053501</v>
      </c>
      <c r="J117" s="34">
        <f t="shared" si="46"/>
        <v>28.678211438474882</v>
      </c>
      <c r="K117" s="34">
        <f t="shared" si="46"/>
        <v>52.083333333333336</v>
      </c>
      <c r="L117" s="34">
        <f t="shared" si="46"/>
        <v>52.083333333333336</v>
      </c>
      <c r="M117" s="34">
        <f t="shared" si="46"/>
        <v>30.864197530864203</v>
      </c>
      <c r="N117" s="34">
        <f t="shared" si="46"/>
        <v>0</v>
      </c>
      <c r="O117" s="34">
        <f t="shared" si="46"/>
        <v>30.864197530864203</v>
      </c>
      <c r="P117" s="34">
        <f t="shared" si="46"/>
        <v>0</v>
      </c>
      <c r="Q117" s="34">
        <f t="shared" si="46"/>
        <v>0</v>
      </c>
      <c r="R117" s="34">
        <f t="shared" si="46"/>
        <v>0</v>
      </c>
      <c r="S117" s="34">
        <f t="shared" si="46"/>
        <v>0</v>
      </c>
      <c r="T117" s="34">
        <f t="shared" si="46"/>
        <v>0</v>
      </c>
      <c r="U117" s="170">
        <f t="shared" ref="U117" si="55">SUMPRODUCT(H117:T117,属性价值比)*V117</f>
        <v>193.83649107942691</v>
      </c>
      <c r="V117" s="173">
        <v>1</v>
      </c>
    </row>
    <row r="118" spans="3:22" x14ac:dyDescent="0.15">
      <c r="C118" s="206"/>
      <c r="D118" s="1" t="str">
        <f t="shared" si="48"/>
        <v>301</v>
      </c>
      <c r="E118" s="1">
        <v>30</v>
      </c>
      <c r="F118" s="103">
        <v>1</v>
      </c>
      <c r="G118" s="1">
        <f t="shared" si="49"/>
        <v>0.30000000000000004</v>
      </c>
      <c r="H118" s="34">
        <f t="shared" si="46"/>
        <v>1175.9447945952168</v>
      </c>
      <c r="I118" s="34">
        <f t="shared" si="46"/>
        <v>59.729659893048151</v>
      </c>
      <c r="J118" s="34">
        <f t="shared" si="46"/>
        <v>25.810390294627389</v>
      </c>
      <c r="K118" s="34">
        <f t="shared" si="46"/>
        <v>46.875000000000007</v>
      </c>
      <c r="L118" s="34">
        <f t="shared" si="46"/>
        <v>46.875000000000007</v>
      </c>
      <c r="M118" s="34">
        <f t="shared" si="46"/>
        <v>27.777777777777782</v>
      </c>
      <c r="N118" s="34">
        <f t="shared" si="46"/>
        <v>0</v>
      </c>
      <c r="O118" s="34">
        <f t="shared" si="46"/>
        <v>27.777777777777782</v>
      </c>
      <c r="P118" s="34">
        <f t="shared" si="46"/>
        <v>0</v>
      </c>
      <c r="Q118" s="34">
        <f t="shared" si="46"/>
        <v>0</v>
      </c>
      <c r="R118" s="34">
        <f t="shared" si="46"/>
        <v>0</v>
      </c>
      <c r="S118" s="34">
        <f t="shared" si="46"/>
        <v>0</v>
      </c>
      <c r="T118" s="34">
        <f t="shared" si="46"/>
        <v>0</v>
      </c>
      <c r="U118" s="170">
        <f t="shared" si="47"/>
        <v>348.90568394296844</v>
      </c>
      <c r="V118">
        <v>2</v>
      </c>
    </row>
    <row r="119" spans="3:22" x14ac:dyDescent="0.15">
      <c r="C119" s="206"/>
      <c r="D119" s="1" t="str">
        <f t="shared" si="48"/>
        <v>302</v>
      </c>
      <c r="E119" s="1">
        <v>30</v>
      </c>
      <c r="F119" s="103">
        <v>2</v>
      </c>
      <c r="G119" s="1">
        <f t="shared" si="49"/>
        <v>0.4333333333333334</v>
      </c>
      <c r="H119" s="34">
        <f t="shared" si="46"/>
        <v>1698.5869255264242</v>
      </c>
      <c r="I119" s="34">
        <f t="shared" si="46"/>
        <v>86.276175401069565</v>
      </c>
      <c r="J119" s="34">
        <f t="shared" si="46"/>
        <v>37.281674870017341</v>
      </c>
      <c r="K119" s="34">
        <f t="shared" si="46"/>
        <v>67.708333333333343</v>
      </c>
      <c r="L119" s="34">
        <f t="shared" si="46"/>
        <v>67.708333333333343</v>
      </c>
      <c r="M119" s="34">
        <f t="shared" si="46"/>
        <v>40.123456790123463</v>
      </c>
      <c r="N119" s="34">
        <f t="shared" si="46"/>
        <v>0</v>
      </c>
      <c r="O119" s="34">
        <f t="shared" si="46"/>
        <v>40.123456790123463</v>
      </c>
      <c r="P119" s="34">
        <f t="shared" si="46"/>
        <v>0</v>
      </c>
      <c r="Q119" s="34">
        <f t="shared" si="46"/>
        <v>0</v>
      </c>
      <c r="R119" s="34">
        <f t="shared" si="46"/>
        <v>0</v>
      </c>
      <c r="S119" s="34">
        <f t="shared" si="46"/>
        <v>0</v>
      </c>
      <c r="T119" s="34">
        <f t="shared" si="46"/>
        <v>0</v>
      </c>
      <c r="U119" s="170">
        <f t="shared" si="47"/>
        <v>503.97487680651</v>
      </c>
      <c r="V119">
        <v>2</v>
      </c>
    </row>
    <row r="120" spans="3:22" x14ac:dyDescent="0.15">
      <c r="C120" s="206"/>
      <c r="D120" s="1" t="str">
        <f t="shared" si="48"/>
        <v>303</v>
      </c>
      <c r="E120" s="1">
        <v>30</v>
      </c>
      <c r="F120" s="103">
        <v>3</v>
      </c>
      <c r="G120" s="1">
        <f t="shared" si="49"/>
        <v>0.56666666666666676</v>
      </c>
      <c r="H120" s="34">
        <f t="shared" si="46"/>
        <v>2221.2290564576319</v>
      </c>
      <c r="I120" s="34">
        <f t="shared" si="46"/>
        <v>112.82269090909097</v>
      </c>
      <c r="J120" s="34">
        <f t="shared" si="46"/>
        <v>48.752959445407299</v>
      </c>
      <c r="K120" s="34">
        <f t="shared" si="46"/>
        <v>88.541666666666686</v>
      </c>
      <c r="L120" s="34">
        <f t="shared" si="46"/>
        <v>88.541666666666686</v>
      </c>
      <c r="M120" s="34">
        <f t="shared" si="46"/>
        <v>52.469135802469147</v>
      </c>
      <c r="N120" s="34">
        <f t="shared" si="46"/>
        <v>0</v>
      </c>
      <c r="O120" s="34">
        <f t="shared" si="46"/>
        <v>52.469135802469147</v>
      </c>
      <c r="P120" s="34">
        <f t="shared" si="46"/>
        <v>0</v>
      </c>
      <c r="Q120" s="34">
        <f t="shared" si="46"/>
        <v>0</v>
      </c>
      <c r="R120" s="34">
        <f t="shared" si="46"/>
        <v>0</v>
      </c>
      <c r="S120" s="34">
        <f t="shared" si="46"/>
        <v>0</v>
      </c>
      <c r="T120" s="34">
        <f t="shared" si="46"/>
        <v>0</v>
      </c>
      <c r="U120" s="170">
        <f t="shared" si="47"/>
        <v>659.04406967005161</v>
      </c>
      <c r="V120">
        <v>2</v>
      </c>
    </row>
    <row r="121" spans="3:22" x14ac:dyDescent="0.15">
      <c r="C121" s="206"/>
      <c r="D121" s="1" t="str">
        <f t="shared" si="48"/>
        <v>304</v>
      </c>
      <c r="E121" s="1">
        <v>30</v>
      </c>
      <c r="F121" s="103">
        <v>4</v>
      </c>
      <c r="G121" s="1">
        <f t="shared" si="49"/>
        <v>0.66666666666666674</v>
      </c>
      <c r="H121" s="34">
        <f t="shared" si="46"/>
        <v>2613.2106546560376</v>
      </c>
      <c r="I121" s="34">
        <f t="shared" si="46"/>
        <v>132.732577540107</v>
      </c>
      <c r="J121" s="34">
        <f t="shared" si="46"/>
        <v>57.356422876949765</v>
      </c>
      <c r="K121" s="34">
        <f t="shared" si="46"/>
        <v>104.16666666666667</v>
      </c>
      <c r="L121" s="34">
        <f t="shared" si="46"/>
        <v>104.16666666666667</v>
      </c>
      <c r="M121" s="34">
        <f t="shared" si="46"/>
        <v>61.728395061728406</v>
      </c>
      <c r="N121" s="34">
        <f t="shared" si="46"/>
        <v>0</v>
      </c>
      <c r="O121" s="34">
        <f t="shared" si="46"/>
        <v>61.728395061728406</v>
      </c>
      <c r="P121" s="34">
        <f t="shared" si="46"/>
        <v>0</v>
      </c>
      <c r="Q121" s="34">
        <f t="shared" si="46"/>
        <v>0</v>
      </c>
      <c r="R121" s="34">
        <f t="shared" si="46"/>
        <v>0</v>
      </c>
      <c r="S121" s="34">
        <f t="shared" si="46"/>
        <v>0</v>
      </c>
      <c r="T121" s="34">
        <f t="shared" si="46"/>
        <v>0</v>
      </c>
      <c r="U121" s="170">
        <f t="shared" si="47"/>
        <v>775.34596431770763</v>
      </c>
      <c r="V121">
        <v>2</v>
      </c>
    </row>
    <row r="122" spans="3:22" x14ac:dyDescent="0.15">
      <c r="C122" s="206"/>
      <c r="D122" s="1" t="str">
        <f t="shared" si="48"/>
        <v>451</v>
      </c>
      <c r="E122" s="1">
        <v>45</v>
      </c>
      <c r="F122" s="103">
        <v>1</v>
      </c>
      <c r="G122" s="1">
        <f t="shared" si="49"/>
        <v>0.60000000000000009</v>
      </c>
      <c r="H122" s="34">
        <f t="shared" si="46"/>
        <v>2351.8895891904335</v>
      </c>
      <c r="I122" s="34">
        <f t="shared" si="46"/>
        <v>119.4593197860963</v>
      </c>
      <c r="J122" s="34">
        <f t="shared" si="46"/>
        <v>51.620780589254778</v>
      </c>
      <c r="K122" s="34">
        <f t="shared" si="46"/>
        <v>93.750000000000014</v>
      </c>
      <c r="L122" s="34">
        <f t="shared" si="46"/>
        <v>93.750000000000014</v>
      </c>
      <c r="M122" s="34">
        <f t="shared" si="46"/>
        <v>55.555555555555564</v>
      </c>
      <c r="N122" s="34">
        <f t="shared" si="46"/>
        <v>0</v>
      </c>
      <c r="O122" s="34">
        <f t="shared" si="46"/>
        <v>55.555555555555564</v>
      </c>
      <c r="P122" s="34">
        <f t="shared" si="46"/>
        <v>0</v>
      </c>
      <c r="Q122" s="34">
        <f t="shared" si="46"/>
        <v>0</v>
      </c>
      <c r="R122" s="34">
        <f t="shared" si="46"/>
        <v>0</v>
      </c>
      <c r="S122" s="34">
        <f t="shared" si="46"/>
        <v>0</v>
      </c>
      <c r="T122" s="34">
        <f t="shared" si="46"/>
        <v>0</v>
      </c>
      <c r="U122" s="170">
        <f t="shared" si="47"/>
        <v>1744.5284197148421</v>
      </c>
      <c r="V122">
        <v>5</v>
      </c>
    </row>
    <row r="123" spans="3:22" x14ac:dyDescent="0.15">
      <c r="C123" s="206"/>
      <c r="D123" s="1" t="str">
        <f t="shared" si="48"/>
        <v>452</v>
      </c>
      <c r="E123" s="1">
        <v>45</v>
      </c>
      <c r="F123" s="103">
        <v>2</v>
      </c>
      <c r="G123" s="1">
        <f t="shared" si="49"/>
        <v>0.86666666666666681</v>
      </c>
      <c r="H123" s="34">
        <f t="shared" si="46"/>
        <v>3397.1738510528485</v>
      </c>
      <c r="I123" s="34">
        <f t="shared" si="46"/>
        <v>172.55235080213913</v>
      </c>
      <c r="J123" s="34">
        <f t="shared" si="46"/>
        <v>74.563349740034681</v>
      </c>
      <c r="K123" s="34">
        <f t="shared" si="46"/>
        <v>135.41666666666669</v>
      </c>
      <c r="L123" s="34">
        <f t="shared" si="46"/>
        <v>135.41666666666669</v>
      </c>
      <c r="M123" s="34">
        <f t="shared" si="46"/>
        <v>80.246913580246925</v>
      </c>
      <c r="N123" s="34">
        <f t="shared" si="46"/>
        <v>0</v>
      </c>
      <c r="O123" s="34">
        <f t="shared" si="46"/>
        <v>80.246913580246925</v>
      </c>
      <c r="P123" s="34">
        <f t="shared" si="46"/>
        <v>0</v>
      </c>
      <c r="Q123" s="34">
        <f t="shared" si="46"/>
        <v>0</v>
      </c>
      <c r="R123" s="34">
        <f t="shared" si="46"/>
        <v>0</v>
      </c>
      <c r="S123" s="34">
        <f t="shared" si="46"/>
        <v>0</v>
      </c>
      <c r="T123" s="34">
        <f t="shared" si="46"/>
        <v>0</v>
      </c>
      <c r="U123" s="170">
        <f t="shared" si="47"/>
        <v>2519.8743840325501</v>
      </c>
      <c r="V123">
        <v>5</v>
      </c>
    </row>
    <row r="124" spans="3:22" x14ac:dyDescent="0.15">
      <c r="C124" s="206"/>
      <c r="D124" s="1" t="str">
        <f t="shared" si="48"/>
        <v>453</v>
      </c>
      <c r="E124" s="1">
        <v>45</v>
      </c>
      <c r="F124" s="103">
        <v>3</v>
      </c>
      <c r="G124" s="1">
        <f t="shared" si="49"/>
        <v>1.1333333333333335</v>
      </c>
      <c r="H124" s="34">
        <f t="shared" ref="H124:T137" si="56">H$47*VLOOKUP($B$15,属性权重数组,H$49,FALSE)*$G124/$B$11/10</f>
        <v>4442.4581129152639</v>
      </c>
      <c r="I124" s="34">
        <f t="shared" si="56"/>
        <v>225.64538181818193</v>
      </c>
      <c r="J124" s="34">
        <f t="shared" si="56"/>
        <v>97.505918890814598</v>
      </c>
      <c r="K124" s="34">
        <f t="shared" si="56"/>
        <v>177.08333333333337</v>
      </c>
      <c r="L124" s="34">
        <f t="shared" si="56"/>
        <v>177.08333333333337</v>
      </c>
      <c r="M124" s="34">
        <f t="shared" si="56"/>
        <v>104.93827160493829</v>
      </c>
      <c r="N124" s="34">
        <f t="shared" si="56"/>
        <v>0</v>
      </c>
      <c r="O124" s="34">
        <f t="shared" si="56"/>
        <v>104.93827160493829</v>
      </c>
      <c r="P124" s="34">
        <f t="shared" si="56"/>
        <v>0</v>
      </c>
      <c r="Q124" s="34">
        <f t="shared" si="56"/>
        <v>0</v>
      </c>
      <c r="R124" s="34">
        <f t="shared" si="56"/>
        <v>0</v>
      </c>
      <c r="S124" s="34">
        <f t="shared" si="56"/>
        <v>0</v>
      </c>
      <c r="T124" s="34">
        <f t="shared" si="56"/>
        <v>0</v>
      </c>
      <c r="U124" s="170">
        <f t="shared" si="47"/>
        <v>3295.2203483502581</v>
      </c>
      <c r="V124">
        <v>5</v>
      </c>
    </row>
    <row r="125" spans="3:22" x14ac:dyDescent="0.15">
      <c r="C125" s="206"/>
      <c r="D125" s="1" t="str">
        <f>E125&amp;F125</f>
        <v>454</v>
      </c>
      <c r="E125" s="1">
        <v>45</v>
      </c>
      <c r="F125" s="103">
        <v>4</v>
      </c>
      <c r="G125" s="1">
        <f t="shared" si="49"/>
        <v>1.3333333333333335</v>
      </c>
      <c r="H125" s="34">
        <f t="shared" si="56"/>
        <v>5226.4213093120752</v>
      </c>
      <c r="I125" s="34">
        <f t="shared" si="56"/>
        <v>265.465155080214</v>
      </c>
      <c r="J125" s="34">
        <f t="shared" si="56"/>
        <v>114.71284575389953</v>
      </c>
      <c r="K125" s="34">
        <f t="shared" si="56"/>
        <v>208.33333333333334</v>
      </c>
      <c r="L125" s="34">
        <f t="shared" si="56"/>
        <v>208.33333333333334</v>
      </c>
      <c r="M125" s="34">
        <f t="shared" si="56"/>
        <v>123.45679012345681</v>
      </c>
      <c r="N125" s="34">
        <f t="shared" si="56"/>
        <v>0</v>
      </c>
      <c r="O125" s="34">
        <f t="shared" si="56"/>
        <v>123.45679012345681</v>
      </c>
      <c r="P125" s="34">
        <f t="shared" si="56"/>
        <v>0</v>
      </c>
      <c r="Q125" s="34">
        <f t="shared" si="56"/>
        <v>0</v>
      </c>
      <c r="R125" s="34">
        <f t="shared" si="56"/>
        <v>0</v>
      </c>
      <c r="S125" s="34">
        <f t="shared" si="56"/>
        <v>0</v>
      </c>
      <c r="T125" s="34">
        <f t="shared" si="56"/>
        <v>0</v>
      </c>
      <c r="U125" s="170">
        <f t="shared" si="47"/>
        <v>3876.729821588538</v>
      </c>
      <c r="V125">
        <v>5</v>
      </c>
    </row>
    <row r="126" spans="3:22" x14ac:dyDescent="0.15">
      <c r="C126" s="206"/>
      <c r="D126" s="1" t="str">
        <f t="shared" ref="D126:D137" si="57">E126&amp;F126</f>
        <v>601</v>
      </c>
      <c r="E126" s="1">
        <v>60</v>
      </c>
      <c r="F126" s="103">
        <v>1</v>
      </c>
      <c r="G126" s="1">
        <f t="shared" si="49"/>
        <v>0.9</v>
      </c>
      <c r="H126" s="34">
        <f t="shared" si="56"/>
        <v>3527.8343837856496</v>
      </c>
      <c r="I126" s="34">
        <f t="shared" si="56"/>
        <v>179.18897967914444</v>
      </c>
      <c r="J126" s="34">
        <f t="shared" si="56"/>
        <v>77.431170883882174</v>
      </c>
      <c r="K126" s="34">
        <f t="shared" si="56"/>
        <v>140.625</v>
      </c>
      <c r="L126" s="34">
        <f t="shared" si="56"/>
        <v>140.625</v>
      </c>
      <c r="M126" s="34">
        <f t="shared" si="56"/>
        <v>83.333333333333343</v>
      </c>
      <c r="N126" s="34">
        <f t="shared" si="56"/>
        <v>0</v>
      </c>
      <c r="O126" s="34">
        <f t="shared" si="56"/>
        <v>83.333333333333343</v>
      </c>
      <c r="P126" s="34">
        <f t="shared" si="56"/>
        <v>0</v>
      </c>
      <c r="Q126" s="34">
        <f t="shared" si="56"/>
        <v>0</v>
      </c>
      <c r="R126" s="34">
        <f t="shared" si="56"/>
        <v>0</v>
      </c>
      <c r="S126" s="34">
        <f t="shared" si="56"/>
        <v>0</v>
      </c>
      <c r="T126" s="34">
        <f t="shared" si="56"/>
        <v>0</v>
      </c>
      <c r="U126" s="170">
        <f t="shared" si="47"/>
        <v>3663.5096814011681</v>
      </c>
      <c r="V126">
        <v>7</v>
      </c>
    </row>
    <row r="127" spans="3:22" x14ac:dyDescent="0.15">
      <c r="C127" s="206"/>
      <c r="D127" s="1" t="str">
        <f t="shared" si="57"/>
        <v>602</v>
      </c>
      <c r="E127" s="1">
        <v>60</v>
      </c>
      <c r="F127" s="103">
        <v>2</v>
      </c>
      <c r="G127" s="1">
        <f t="shared" si="49"/>
        <v>1.3</v>
      </c>
      <c r="H127" s="34">
        <f t="shared" si="56"/>
        <v>5095.7607765792727</v>
      </c>
      <c r="I127" s="34">
        <f t="shared" si="56"/>
        <v>258.82852620320864</v>
      </c>
      <c r="J127" s="34">
        <f t="shared" si="56"/>
        <v>111.84502461005202</v>
      </c>
      <c r="K127" s="34">
        <f t="shared" si="56"/>
        <v>203.125</v>
      </c>
      <c r="L127" s="34">
        <f t="shared" si="56"/>
        <v>203.125</v>
      </c>
      <c r="M127" s="34">
        <f t="shared" si="56"/>
        <v>120.37037037037037</v>
      </c>
      <c r="N127" s="34">
        <f t="shared" si="56"/>
        <v>0</v>
      </c>
      <c r="O127" s="34">
        <f t="shared" si="56"/>
        <v>120.37037037037037</v>
      </c>
      <c r="P127" s="34">
        <f t="shared" si="56"/>
        <v>0</v>
      </c>
      <c r="Q127" s="34">
        <f t="shared" si="56"/>
        <v>0</v>
      </c>
      <c r="R127" s="34">
        <f t="shared" si="56"/>
        <v>0</v>
      </c>
      <c r="S127" s="34">
        <f t="shared" si="56"/>
        <v>0</v>
      </c>
      <c r="T127" s="34">
        <f t="shared" si="56"/>
        <v>0</v>
      </c>
      <c r="U127" s="170">
        <f t="shared" si="47"/>
        <v>5291.7362064683539</v>
      </c>
      <c r="V127">
        <v>7</v>
      </c>
    </row>
    <row r="128" spans="3:22" x14ac:dyDescent="0.15">
      <c r="C128" s="206"/>
      <c r="D128" s="67" t="str">
        <f t="shared" si="57"/>
        <v>603</v>
      </c>
      <c r="E128" s="1">
        <v>60</v>
      </c>
      <c r="F128" s="103">
        <v>3</v>
      </c>
      <c r="G128" s="1">
        <f t="shared" si="49"/>
        <v>1.7</v>
      </c>
      <c r="H128" s="34">
        <f t="shared" si="56"/>
        <v>6663.6871693728945</v>
      </c>
      <c r="I128" s="34">
        <f t="shared" si="56"/>
        <v>338.46807272727278</v>
      </c>
      <c r="J128" s="34">
        <f t="shared" si="56"/>
        <v>146.25887833622184</v>
      </c>
      <c r="K128" s="34">
        <f t="shared" si="56"/>
        <v>265.625</v>
      </c>
      <c r="L128" s="34">
        <f t="shared" si="56"/>
        <v>265.625</v>
      </c>
      <c r="M128" s="34">
        <f t="shared" si="56"/>
        <v>157.40740740740742</v>
      </c>
      <c r="N128" s="34">
        <f t="shared" si="56"/>
        <v>0</v>
      </c>
      <c r="O128" s="34">
        <f t="shared" si="56"/>
        <v>157.40740740740742</v>
      </c>
      <c r="P128" s="34">
        <f t="shared" si="56"/>
        <v>0</v>
      </c>
      <c r="Q128" s="34">
        <f t="shared" si="56"/>
        <v>0</v>
      </c>
      <c r="R128" s="34">
        <f t="shared" si="56"/>
        <v>0</v>
      </c>
      <c r="S128" s="34">
        <f t="shared" si="56"/>
        <v>0</v>
      </c>
      <c r="T128" s="34">
        <f t="shared" si="56"/>
        <v>0</v>
      </c>
      <c r="U128" s="170">
        <f t="shared" si="47"/>
        <v>6919.9627315355401</v>
      </c>
      <c r="V128">
        <v>7</v>
      </c>
    </row>
    <row r="129" spans="3:22" x14ac:dyDescent="0.15">
      <c r="C129" s="206"/>
      <c r="D129" s="5" t="str">
        <f t="shared" si="57"/>
        <v>604</v>
      </c>
      <c r="E129" s="1">
        <v>60</v>
      </c>
      <c r="F129" s="126">
        <v>4</v>
      </c>
      <c r="G129" s="1">
        <f t="shared" si="49"/>
        <v>2</v>
      </c>
      <c r="H129" s="34">
        <f t="shared" si="56"/>
        <v>7839.6319639681114</v>
      </c>
      <c r="I129" s="34">
        <f t="shared" si="56"/>
        <v>398.19773262032101</v>
      </c>
      <c r="J129" s="34">
        <f t="shared" si="56"/>
        <v>172.06926863084925</v>
      </c>
      <c r="K129" s="34">
        <f t="shared" si="56"/>
        <v>312.5</v>
      </c>
      <c r="L129" s="34">
        <f t="shared" si="56"/>
        <v>312.5</v>
      </c>
      <c r="M129" s="34">
        <f t="shared" si="56"/>
        <v>185.18518518518519</v>
      </c>
      <c r="N129" s="34">
        <f t="shared" si="56"/>
        <v>0</v>
      </c>
      <c r="O129" s="34">
        <f t="shared" si="56"/>
        <v>185.18518518518519</v>
      </c>
      <c r="P129" s="34">
        <f t="shared" si="56"/>
        <v>0</v>
      </c>
      <c r="Q129" s="34">
        <f t="shared" si="56"/>
        <v>0</v>
      </c>
      <c r="R129" s="34">
        <f t="shared" si="56"/>
        <v>0</v>
      </c>
      <c r="S129" s="34">
        <f t="shared" si="56"/>
        <v>0</v>
      </c>
      <c r="T129" s="34">
        <f t="shared" si="56"/>
        <v>0</v>
      </c>
      <c r="U129" s="170">
        <f t="shared" si="47"/>
        <v>8141.1326253359293</v>
      </c>
      <c r="V129">
        <v>7</v>
      </c>
    </row>
    <row r="130" spans="3:22" x14ac:dyDescent="0.15">
      <c r="C130" s="206"/>
      <c r="D130" s="5" t="str">
        <f t="shared" si="57"/>
        <v>701</v>
      </c>
      <c r="E130" s="1">
        <v>70</v>
      </c>
      <c r="F130" s="126">
        <v>1</v>
      </c>
      <c r="G130" s="1">
        <f t="shared" si="49"/>
        <v>1.2000000000000002</v>
      </c>
      <c r="H130" s="34">
        <f t="shared" si="56"/>
        <v>4703.7791783808671</v>
      </c>
      <c r="I130" s="34">
        <f t="shared" si="56"/>
        <v>238.9186395721926</v>
      </c>
      <c r="J130" s="34">
        <f t="shared" si="56"/>
        <v>103.24156117850956</v>
      </c>
      <c r="K130" s="34">
        <f t="shared" si="56"/>
        <v>187.50000000000003</v>
      </c>
      <c r="L130" s="34">
        <f t="shared" si="56"/>
        <v>187.50000000000003</v>
      </c>
      <c r="M130" s="34">
        <f t="shared" si="56"/>
        <v>111.11111111111113</v>
      </c>
      <c r="N130" s="34">
        <f t="shared" si="56"/>
        <v>0</v>
      </c>
      <c r="O130" s="34">
        <f t="shared" si="56"/>
        <v>111.11111111111113</v>
      </c>
      <c r="P130" s="34">
        <f t="shared" si="56"/>
        <v>0</v>
      </c>
      <c r="Q130" s="34">
        <f t="shared" si="56"/>
        <v>0</v>
      </c>
      <c r="R130" s="34">
        <f t="shared" si="56"/>
        <v>0</v>
      </c>
      <c r="S130" s="34">
        <f t="shared" si="56"/>
        <v>0</v>
      </c>
      <c r="T130" s="34">
        <f t="shared" si="56"/>
        <v>0</v>
      </c>
      <c r="U130" s="170">
        <f t="shared" si="47"/>
        <v>6280.3023109734322</v>
      </c>
      <c r="V130">
        <v>9</v>
      </c>
    </row>
    <row r="131" spans="3:22" x14ac:dyDescent="0.15">
      <c r="C131" s="206"/>
      <c r="D131" s="5" t="str">
        <f t="shared" si="57"/>
        <v>702</v>
      </c>
      <c r="E131" s="1">
        <v>70</v>
      </c>
      <c r="F131" s="126">
        <v>2</v>
      </c>
      <c r="G131" s="1">
        <f t="shared" si="49"/>
        <v>1.7333333333333336</v>
      </c>
      <c r="H131" s="34">
        <f t="shared" si="56"/>
        <v>6794.347702105697</v>
      </c>
      <c r="I131" s="34">
        <f t="shared" si="56"/>
        <v>345.10470160427826</v>
      </c>
      <c r="J131" s="34">
        <f t="shared" si="56"/>
        <v>149.12669948006936</v>
      </c>
      <c r="K131" s="34">
        <f t="shared" si="56"/>
        <v>270.83333333333337</v>
      </c>
      <c r="L131" s="34">
        <f t="shared" si="56"/>
        <v>270.83333333333337</v>
      </c>
      <c r="M131" s="34">
        <f t="shared" si="56"/>
        <v>160.49382716049385</v>
      </c>
      <c r="N131" s="34">
        <f t="shared" si="56"/>
        <v>0</v>
      </c>
      <c r="O131" s="34">
        <f t="shared" si="56"/>
        <v>160.49382716049385</v>
      </c>
      <c r="P131" s="34">
        <f t="shared" si="56"/>
        <v>0</v>
      </c>
      <c r="Q131" s="34">
        <f t="shared" si="56"/>
        <v>0</v>
      </c>
      <c r="R131" s="34">
        <f t="shared" si="56"/>
        <v>0</v>
      </c>
      <c r="S131" s="34">
        <f t="shared" si="56"/>
        <v>0</v>
      </c>
      <c r="T131" s="34">
        <f t="shared" si="56"/>
        <v>0</v>
      </c>
      <c r="U131" s="170">
        <f t="shared" si="47"/>
        <v>9071.5477825171802</v>
      </c>
      <c r="V131">
        <v>9</v>
      </c>
    </row>
    <row r="132" spans="3:22" x14ac:dyDescent="0.15">
      <c r="C132" s="206"/>
      <c r="D132" s="5" t="str">
        <f t="shared" si="57"/>
        <v>703</v>
      </c>
      <c r="E132" s="1">
        <v>70</v>
      </c>
      <c r="F132" s="126">
        <v>3</v>
      </c>
      <c r="G132" s="1">
        <f t="shared" si="49"/>
        <v>2.2666666666666671</v>
      </c>
      <c r="H132" s="34">
        <f t="shared" si="56"/>
        <v>8884.9162258305278</v>
      </c>
      <c r="I132" s="34">
        <f t="shared" si="56"/>
        <v>451.29076363636386</v>
      </c>
      <c r="J132" s="34">
        <f t="shared" si="56"/>
        <v>195.0118377816292</v>
      </c>
      <c r="K132" s="34">
        <f t="shared" si="56"/>
        <v>354.16666666666674</v>
      </c>
      <c r="L132" s="34">
        <f t="shared" si="56"/>
        <v>354.16666666666674</v>
      </c>
      <c r="M132" s="34">
        <f t="shared" si="56"/>
        <v>209.87654320987659</v>
      </c>
      <c r="N132" s="34">
        <f t="shared" si="56"/>
        <v>0</v>
      </c>
      <c r="O132" s="34">
        <f t="shared" si="56"/>
        <v>209.87654320987659</v>
      </c>
      <c r="P132" s="34">
        <f t="shared" si="56"/>
        <v>0</v>
      </c>
      <c r="Q132" s="34">
        <f t="shared" si="56"/>
        <v>0</v>
      </c>
      <c r="R132" s="34">
        <f t="shared" si="56"/>
        <v>0</v>
      </c>
      <c r="S132" s="34">
        <f t="shared" si="56"/>
        <v>0</v>
      </c>
      <c r="T132" s="34">
        <f t="shared" si="56"/>
        <v>0</v>
      </c>
      <c r="U132" s="170">
        <f t="shared" si="47"/>
        <v>11862.793254060929</v>
      </c>
      <c r="V132">
        <v>9</v>
      </c>
    </row>
    <row r="133" spans="3:22" x14ac:dyDescent="0.15">
      <c r="C133" s="206"/>
      <c r="D133" s="5" t="str">
        <f t="shared" si="57"/>
        <v>704</v>
      </c>
      <c r="E133" s="1">
        <v>70</v>
      </c>
      <c r="F133" s="126">
        <v>4</v>
      </c>
      <c r="G133" s="1">
        <f t="shared" si="49"/>
        <v>2.666666666666667</v>
      </c>
      <c r="H133" s="34">
        <f t="shared" si="56"/>
        <v>10452.84261862415</v>
      </c>
      <c r="I133" s="34">
        <f t="shared" si="56"/>
        <v>530.93031016042801</v>
      </c>
      <c r="J133" s="34">
        <f t="shared" si="56"/>
        <v>229.42569150779906</v>
      </c>
      <c r="K133" s="34">
        <f t="shared" si="56"/>
        <v>416.66666666666669</v>
      </c>
      <c r="L133" s="34">
        <f t="shared" si="56"/>
        <v>416.66666666666669</v>
      </c>
      <c r="M133" s="34">
        <f t="shared" si="56"/>
        <v>246.91358024691363</v>
      </c>
      <c r="N133" s="34">
        <f t="shared" si="56"/>
        <v>0</v>
      </c>
      <c r="O133" s="34">
        <f t="shared" si="56"/>
        <v>246.91358024691363</v>
      </c>
      <c r="P133" s="34">
        <f t="shared" si="56"/>
        <v>0</v>
      </c>
      <c r="Q133" s="34">
        <f t="shared" si="56"/>
        <v>0</v>
      </c>
      <c r="R133" s="34">
        <f t="shared" si="56"/>
        <v>0</v>
      </c>
      <c r="S133" s="34">
        <f t="shared" si="56"/>
        <v>0</v>
      </c>
      <c r="T133" s="34">
        <f t="shared" si="56"/>
        <v>0</v>
      </c>
      <c r="U133" s="170">
        <f t="shared" si="47"/>
        <v>13956.227357718737</v>
      </c>
      <c r="V133">
        <v>9</v>
      </c>
    </row>
    <row r="134" spans="3:22" x14ac:dyDescent="0.15">
      <c r="C134" s="206"/>
      <c r="D134" s="5" t="str">
        <f t="shared" si="57"/>
        <v>801</v>
      </c>
      <c r="E134" s="1">
        <v>80</v>
      </c>
      <c r="F134" s="126">
        <v>1</v>
      </c>
      <c r="G134" s="1">
        <f t="shared" si="49"/>
        <v>1.5</v>
      </c>
      <c r="H134" s="34">
        <f t="shared" si="56"/>
        <v>5879.7239729760831</v>
      </c>
      <c r="I134" s="34">
        <f t="shared" si="56"/>
        <v>298.64829946524071</v>
      </c>
      <c r="J134" s="34">
        <f t="shared" si="56"/>
        <v>129.05195147313694</v>
      </c>
      <c r="K134" s="34">
        <f t="shared" si="56"/>
        <v>234.375</v>
      </c>
      <c r="L134" s="34">
        <f t="shared" si="56"/>
        <v>234.375</v>
      </c>
      <c r="M134" s="34">
        <f t="shared" si="56"/>
        <v>138.88888888888889</v>
      </c>
      <c r="N134" s="34">
        <f t="shared" si="56"/>
        <v>0</v>
      </c>
      <c r="O134" s="34">
        <f t="shared" si="56"/>
        <v>138.88888888888889</v>
      </c>
      <c r="P134" s="34">
        <f t="shared" si="56"/>
        <v>0</v>
      </c>
      <c r="Q134" s="34">
        <f t="shared" si="56"/>
        <v>0</v>
      </c>
      <c r="R134" s="34">
        <f t="shared" si="56"/>
        <v>0</v>
      </c>
      <c r="S134" s="34">
        <f t="shared" si="56"/>
        <v>0</v>
      </c>
      <c r="T134" s="34">
        <f t="shared" si="56"/>
        <v>0</v>
      </c>
      <c r="U134" s="170">
        <f t="shared" si="47"/>
        <v>8722.6420985742097</v>
      </c>
      <c r="V134">
        <v>10</v>
      </c>
    </row>
    <row r="135" spans="3:22" x14ac:dyDescent="0.15">
      <c r="C135" s="206"/>
      <c r="D135" s="5" t="str">
        <f t="shared" si="57"/>
        <v>802</v>
      </c>
      <c r="E135" s="1">
        <v>80</v>
      </c>
      <c r="F135" s="126">
        <v>2</v>
      </c>
      <c r="G135" s="1">
        <f t="shared" si="49"/>
        <v>2.166666666666667</v>
      </c>
      <c r="H135" s="34">
        <f t="shared" si="56"/>
        <v>8492.9346276321212</v>
      </c>
      <c r="I135" s="34">
        <f t="shared" si="56"/>
        <v>431.38087700534777</v>
      </c>
      <c r="J135" s="34">
        <f t="shared" si="56"/>
        <v>186.40837435008672</v>
      </c>
      <c r="K135" s="34">
        <f t="shared" si="56"/>
        <v>338.54166666666674</v>
      </c>
      <c r="L135" s="34">
        <f t="shared" si="56"/>
        <v>338.54166666666674</v>
      </c>
      <c r="M135" s="34">
        <f t="shared" si="56"/>
        <v>200.61728395061729</v>
      </c>
      <c r="N135" s="34">
        <f t="shared" si="56"/>
        <v>0</v>
      </c>
      <c r="O135" s="34">
        <f t="shared" si="56"/>
        <v>200.61728395061729</v>
      </c>
      <c r="P135" s="34">
        <f t="shared" si="56"/>
        <v>0</v>
      </c>
      <c r="Q135" s="34">
        <f t="shared" si="56"/>
        <v>0</v>
      </c>
      <c r="R135" s="34">
        <f t="shared" si="56"/>
        <v>0</v>
      </c>
      <c r="S135" s="34">
        <f t="shared" si="56"/>
        <v>0</v>
      </c>
      <c r="T135" s="34">
        <f t="shared" si="56"/>
        <v>0</v>
      </c>
      <c r="U135" s="170">
        <f t="shared" si="47"/>
        <v>12599.37192016275</v>
      </c>
      <c r="V135">
        <v>10</v>
      </c>
    </row>
    <row r="136" spans="3:22" x14ac:dyDescent="0.15">
      <c r="C136" s="206"/>
      <c r="D136" s="5" t="str">
        <f t="shared" si="57"/>
        <v>803</v>
      </c>
      <c r="E136" s="1">
        <v>80</v>
      </c>
      <c r="F136" s="126">
        <v>3</v>
      </c>
      <c r="G136" s="1">
        <f t="shared" si="49"/>
        <v>2.8333333333333335</v>
      </c>
      <c r="H136" s="34">
        <f t="shared" si="56"/>
        <v>11106.145282288158</v>
      </c>
      <c r="I136" s="34">
        <f t="shared" si="56"/>
        <v>564.11345454545483</v>
      </c>
      <c r="J136" s="34">
        <f t="shared" si="56"/>
        <v>243.76479722703644</v>
      </c>
      <c r="K136" s="34">
        <f t="shared" si="56"/>
        <v>442.70833333333331</v>
      </c>
      <c r="L136" s="34">
        <f t="shared" si="56"/>
        <v>442.70833333333331</v>
      </c>
      <c r="M136" s="34">
        <f t="shared" si="56"/>
        <v>262.34567901234573</v>
      </c>
      <c r="N136" s="34">
        <f t="shared" si="56"/>
        <v>0</v>
      </c>
      <c r="O136" s="34">
        <f t="shared" si="56"/>
        <v>262.34567901234573</v>
      </c>
      <c r="P136" s="34">
        <f t="shared" si="56"/>
        <v>0</v>
      </c>
      <c r="Q136" s="34">
        <f t="shared" si="56"/>
        <v>0</v>
      </c>
      <c r="R136" s="34">
        <f t="shared" si="56"/>
        <v>0</v>
      </c>
      <c r="S136" s="34">
        <f t="shared" si="56"/>
        <v>0</v>
      </c>
      <c r="T136" s="34">
        <f t="shared" si="56"/>
        <v>0</v>
      </c>
      <c r="U136" s="170">
        <f t="shared" si="47"/>
        <v>16476.101741751285</v>
      </c>
      <c r="V136">
        <v>10</v>
      </c>
    </row>
    <row r="137" spans="3:22" x14ac:dyDescent="0.15">
      <c r="C137" s="206"/>
      <c r="D137" s="5" t="str">
        <f t="shared" si="57"/>
        <v>804</v>
      </c>
      <c r="E137" s="1">
        <v>80</v>
      </c>
      <c r="F137" s="126">
        <v>4</v>
      </c>
      <c r="G137" s="1">
        <f t="shared" si="49"/>
        <v>3.3333333333333335</v>
      </c>
      <c r="H137" s="34">
        <f t="shared" si="56"/>
        <v>13066.053273280186</v>
      </c>
      <c r="I137" s="34">
        <f t="shared" si="56"/>
        <v>663.66288770053495</v>
      </c>
      <c r="J137" s="34">
        <f t="shared" si="56"/>
        <v>286.78211438474875</v>
      </c>
      <c r="K137" s="34">
        <f t="shared" si="56"/>
        <v>520.83333333333326</v>
      </c>
      <c r="L137" s="34">
        <f t="shared" si="56"/>
        <v>520.83333333333326</v>
      </c>
      <c r="M137" s="34">
        <f t="shared" si="56"/>
        <v>308.64197530864197</v>
      </c>
      <c r="N137" s="34">
        <f t="shared" si="56"/>
        <v>0</v>
      </c>
      <c r="O137" s="34">
        <f t="shared" si="56"/>
        <v>308.64197530864197</v>
      </c>
      <c r="P137" s="34">
        <f t="shared" si="56"/>
        <v>0</v>
      </c>
      <c r="Q137" s="34">
        <f t="shared" si="56"/>
        <v>0</v>
      </c>
      <c r="R137" s="34">
        <f t="shared" si="56"/>
        <v>0</v>
      </c>
      <c r="S137" s="34">
        <f t="shared" si="56"/>
        <v>0</v>
      </c>
      <c r="T137" s="34">
        <f t="shared" si="56"/>
        <v>0</v>
      </c>
      <c r="U137" s="170">
        <f t="shared" si="47"/>
        <v>19383.649107942689</v>
      </c>
      <c r="V137">
        <v>10</v>
      </c>
    </row>
  </sheetData>
  <mergeCells count="5">
    <mergeCell ref="J30:J31"/>
    <mergeCell ref="J16:J17"/>
    <mergeCell ref="C50:C76"/>
    <mergeCell ref="C79:C105"/>
    <mergeCell ref="C111:C137"/>
  </mergeCells>
  <phoneticPr fontId="1" type="noConversion"/>
  <conditionalFormatting sqref="K3:O3 F51:F54 F57:F76">
    <cfRule type="cellIs" dxfId="79" priority="118" operator="equal">
      <formula>4</formula>
    </cfRule>
    <cfRule type="cellIs" dxfId="78" priority="119" operator="equal">
      <formula>3</formula>
    </cfRule>
    <cfRule type="cellIs" dxfId="77" priority="120" operator="equal">
      <formula>2</formula>
    </cfRule>
    <cfRule type="cellIs" dxfId="76" priority="121" operator="equal">
      <formula>0</formula>
    </cfRule>
    <cfRule type="cellIs" dxfId="75" priority="122" operator="equal">
      <formula>1</formula>
    </cfRule>
  </conditionalFormatting>
  <conditionalFormatting sqref="K18">
    <cfRule type="cellIs" dxfId="74" priority="113" operator="equal">
      <formula>5</formula>
    </cfRule>
    <cfRule type="cellIs" dxfId="73" priority="114" operator="equal">
      <formula>4</formula>
    </cfRule>
    <cfRule type="cellIs" dxfId="72" priority="115" operator="equal">
      <formula>3</formula>
    </cfRule>
    <cfRule type="cellIs" dxfId="71" priority="116" operator="equal">
      <formula>1</formula>
    </cfRule>
    <cfRule type="cellIs" dxfId="70" priority="117" operator="equal">
      <formula>2</formula>
    </cfRule>
  </conditionalFormatting>
  <conditionalFormatting sqref="R3:V3">
    <cfRule type="cellIs" dxfId="69" priority="81" operator="equal">
      <formula>4</formula>
    </cfRule>
    <cfRule type="cellIs" dxfId="68" priority="82" operator="equal">
      <formula>3</formula>
    </cfRule>
    <cfRule type="cellIs" dxfId="67" priority="83" operator="equal">
      <formula>2</formula>
    </cfRule>
    <cfRule type="cellIs" dxfId="66" priority="84" operator="equal">
      <formula>0</formula>
    </cfRule>
    <cfRule type="cellIs" dxfId="65" priority="85" operator="equal">
      <formula>1</formula>
    </cfRule>
  </conditionalFormatting>
  <conditionalFormatting sqref="R16:V16">
    <cfRule type="cellIs" dxfId="64" priority="76" operator="equal">
      <formula>4</formula>
    </cfRule>
    <cfRule type="cellIs" dxfId="63" priority="77" operator="equal">
      <formula>3</formula>
    </cfRule>
    <cfRule type="cellIs" dxfId="62" priority="78" operator="equal">
      <formula>2</formula>
    </cfRule>
    <cfRule type="cellIs" dxfId="61" priority="79" operator="equal">
      <formula>0</formula>
    </cfRule>
    <cfRule type="cellIs" dxfId="60" priority="80" operator="equal">
      <formula>1</formula>
    </cfRule>
  </conditionalFormatting>
  <conditionalFormatting sqref="L18:O18">
    <cfRule type="cellIs" dxfId="59" priority="71" operator="equal">
      <formula>4</formula>
    </cfRule>
    <cfRule type="cellIs" dxfId="58" priority="72" operator="equal">
      <formula>3</formula>
    </cfRule>
    <cfRule type="cellIs" dxfId="57" priority="73" operator="equal">
      <formula>2</formula>
    </cfRule>
    <cfRule type="cellIs" dxfId="56" priority="74" operator="equal">
      <formula>0</formula>
    </cfRule>
    <cfRule type="cellIs" dxfId="55" priority="75" operator="equal">
      <formula>1</formula>
    </cfRule>
  </conditionalFormatting>
  <conditionalFormatting sqref="K32:O32">
    <cfRule type="cellIs" dxfId="54" priority="66" operator="equal">
      <formula>4</formula>
    </cfRule>
    <cfRule type="cellIs" dxfId="53" priority="67" operator="equal">
      <formula>3</formula>
    </cfRule>
    <cfRule type="cellIs" dxfId="52" priority="68" operator="equal">
      <formula>2</formula>
    </cfRule>
    <cfRule type="cellIs" dxfId="51" priority="69" operator="equal">
      <formula>0</formula>
    </cfRule>
    <cfRule type="cellIs" dxfId="50" priority="70" operator="equal">
      <formula>1</formula>
    </cfRule>
  </conditionalFormatting>
  <conditionalFormatting sqref="F80:F83 F86:F105">
    <cfRule type="cellIs" dxfId="49" priority="36" operator="equal">
      <formula>4</formula>
    </cfRule>
    <cfRule type="cellIs" dxfId="48" priority="37" operator="equal">
      <formula>3</formula>
    </cfRule>
    <cfRule type="cellIs" dxfId="47" priority="38" operator="equal">
      <formula>2</formula>
    </cfRule>
    <cfRule type="cellIs" dxfId="46" priority="39" operator="equal">
      <formula>0</formula>
    </cfRule>
    <cfRule type="cellIs" dxfId="45" priority="40" operator="equal">
      <formula>1</formula>
    </cfRule>
  </conditionalFormatting>
  <conditionalFormatting sqref="F112:F115 F118:F137">
    <cfRule type="cellIs" dxfId="44" priority="31" operator="equal">
      <formula>4</formula>
    </cfRule>
    <cfRule type="cellIs" dxfId="43" priority="32" operator="equal">
      <formula>3</formula>
    </cfRule>
    <cfRule type="cellIs" dxfId="42" priority="33" operator="equal">
      <formula>2</formula>
    </cfRule>
    <cfRule type="cellIs" dxfId="41" priority="34" operator="equal">
      <formula>0</formula>
    </cfRule>
    <cfRule type="cellIs" dxfId="40" priority="35" operator="equal">
      <formula>1</formula>
    </cfRule>
  </conditionalFormatting>
  <conditionalFormatting sqref="F55">
    <cfRule type="cellIs" dxfId="39" priority="26" operator="equal">
      <formula>4</formula>
    </cfRule>
    <cfRule type="cellIs" dxfId="38" priority="27" operator="equal">
      <formula>3</formula>
    </cfRule>
    <cfRule type="cellIs" dxfId="37" priority="28" operator="equal">
      <formula>2</formula>
    </cfRule>
    <cfRule type="cellIs" dxfId="36" priority="29" operator="equal">
      <formula>0</formula>
    </cfRule>
    <cfRule type="cellIs" dxfId="35" priority="30" operator="equal">
      <formula>1</formula>
    </cfRule>
  </conditionalFormatting>
  <conditionalFormatting sqref="F84">
    <cfRule type="cellIs" dxfId="34" priority="21" operator="equal">
      <formula>4</formula>
    </cfRule>
    <cfRule type="cellIs" dxfId="33" priority="22" operator="equal">
      <formula>3</formula>
    </cfRule>
    <cfRule type="cellIs" dxfId="32" priority="23" operator="equal">
      <formula>2</formula>
    </cfRule>
    <cfRule type="cellIs" dxfId="31" priority="24" operator="equal">
      <formula>0</formula>
    </cfRule>
    <cfRule type="cellIs" dxfId="30" priority="25" operator="equal">
      <formula>1</formula>
    </cfRule>
  </conditionalFormatting>
  <conditionalFormatting sqref="F116">
    <cfRule type="cellIs" dxfId="29" priority="16" operator="equal">
      <formula>4</formula>
    </cfRule>
    <cfRule type="cellIs" dxfId="28" priority="17" operator="equal">
      <formula>3</formula>
    </cfRule>
    <cfRule type="cellIs" dxfId="27" priority="18" operator="equal">
      <formula>2</formula>
    </cfRule>
    <cfRule type="cellIs" dxfId="26" priority="19" operator="equal">
      <formula>0</formula>
    </cfRule>
    <cfRule type="cellIs" dxfId="25" priority="20" operator="equal">
      <formula>1</formula>
    </cfRule>
  </conditionalFormatting>
  <conditionalFormatting sqref="F56">
    <cfRule type="cellIs" dxfId="24" priority="11" operator="equal">
      <formula>4</formula>
    </cfRule>
    <cfRule type="cellIs" dxfId="23" priority="12" operator="equal">
      <formula>3</formula>
    </cfRule>
    <cfRule type="cellIs" dxfId="22" priority="13" operator="equal">
      <formula>2</formula>
    </cfRule>
    <cfRule type="cellIs" dxfId="21" priority="14" operator="equal">
      <formula>0</formula>
    </cfRule>
    <cfRule type="cellIs" dxfId="20" priority="15" operator="equal">
      <formula>1</formula>
    </cfRule>
  </conditionalFormatting>
  <conditionalFormatting sqref="F85">
    <cfRule type="cellIs" dxfId="19" priority="6" operator="equal">
      <formula>4</formula>
    </cfRule>
    <cfRule type="cellIs" dxfId="18" priority="7" operator="equal">
      <formula>3</formula>
    </cfRule>
    <cfRule type="cellIs" dxfId="17" priority="8" operator="equal">
      <formula>2</formula>
    </cfRule>
    <cfRule type="cellIs" dxfId="16" priority="9" operator="equal">
      <formula>0</formula>
    </cfRule>
    <cfRule type="cellIs" dxfId="15" priority="10" operator="equal">
      <formula>1</formula>
    </cfRule>
  </conditionalFormatting>
  <conditionalFormatting sqref="F117">
    <cfRule type="cellIs" dxfId="14" priority="1" operator="equal">
      <formula>4</formula>
    </cfRule>
    <cfRule type="cellIs" dxfId="13" priority="2" operator="equal">
      <formula>3</formula>
    </cfRule>
    <cfRule type="cellIs" dxfId="12" priority="3" operator="equal">
      <formula>2</formula>
    </cfRule>
    <cfRule type="cellIs" dxfId="11" priority="4" operator="equal">
      <formula>0</formula>
    </cfRule>
    <cfRule type="cellIs" dxfId="10" priority="5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24"/>
  <sheetViews>
    <sheetView workbookViewId="0">
      <selection activeCell="E29" sqref="E29"/>
    </sheetView>
  </sheetViews>
  <sheetFormatPr defaultRowHeight="13.5" x14ac:dyDescent="0.15"/>
  <cols>
    <col min="1" max="1" width="13.875" bestFit="1" customWidth="1"/>
    <col min="5" max="6" width="13.875" bestFit="1" customWidth="1"/>
    <col min="7" max="7" width="13.875" customWidth="1"/>
    <col min="8" max="8" width="13.875" bestFit="1" customWidth="1"/>
    <col min="9" max="9" width="15" bestFit="1" customWidth="1"/>
    <col min="10" max="11" width="12.75" bestFit="1" customWidth="1"/>
    <col min="12" max="12" width="10.25" customWidth="1"/>
    <col min="13" max="13" width="11.875" customWidth="1"/>
    <col min="14" max="14" width="15" bestFit="1" customWidth="1"/>
    <col min="15" max="15" width="12.75" bestFit="1" customWidth="1"/>
    <col min="16" max="19" width="9" bestFit="1" customWidth="1"/>
  </cols>
  <sheetData>
    <row r="1" spans="1:19" x14ac:dyDescent="0.15">
      <c r="A1" t="s">
        <v>111</v>
      </c>
      <c r="B1">
        <v>3</v>
      </c>
    </row>
    <row r="2" spans="1:19" x14ac:dyDescent="0.15">
      <c r="A2" t="s">
        <v>113</v>
      </c>
      <c r="B2">
        <f>'2、属性成长'!K3</f>
        <v>0</v>
      </c>
    </row>
    <row r="3" spans="1:19" x14ac:dyDescent="0.15">
      <c r="A3" t="s">
        <v>290</v>
      </c>
      <c r="B3" t="s">
        <v>291</v>
      </c>
    </row>
    <row r="4" spans="1:19" x14ac:dyDescent="0.15">
      <c r="C4" t="s">
        <v>124</v>
      </c>
      <c r="D4" s="1" t="s">
        <v>118</v>
      </c>
      <c r="E4" s="1" t="s">
        <v>112</v>
      </c>
      <c r="F4" s="1" t="s">
        <v>114</v>
      </c>
      <c r="G4" s="15"/>
    </row>
    <row r="5" spans="1:19" x14ac:dyDescent="0.15">
      <c r="D5" s="1">
        <v>0</v>
      </c>
      <c r="E5" s="1" t="s">
        <v>119</v>
      </c>
      <c r="F5" s="7">
        <v>0</v>
      </c>
      <c r="G5" s="104"/>
    </row>
    <row r="6" spans="1:19" x14ac:dyDescent="0.15">
      <c r="D6" s="1">
        <v>1</v>
      </c>
      <c r="E6" s="1" t="s">
        <v>115</v>
      </c>
      <c r="F6" s="7">
        <f>F7/2</f>
        <v>0</v>
      </c>
      <c r="G6" s="104"/>
    </row>
    <row r="7" spans="1:19" x14ac:dyDescent="0.15">
      <c r="D7" s="1">
        <v>2</v>
      </c>
      <c r="E7" s="1" t="s">
        <v>116</v>
      </c>
      <c r="F7" s="7">
        <f>F8/2</f>
        <v>0</v>
      </c>
      <c r="G7" s="104"/>
    </row>
    <row r="8" spans="1:19" x14ac:dyDescent="0.15">
      <c r="D8" s="1">
        <v>3</v>
      </c>
      <c r="E8" s="1" t="s">
        <v>117</v>
      </c>
      <c r="F8" s="1">
        <f>B2</f>
        <v>0</v>
      </c>
      <c r="G8" s="15"/>
    </row>
    <row r="10" spans="1:19" x14ac:dyDescent="0.15">
      <c r="G10" s="105" t="s">
        <v>296</v>
      </c>
      <c r="H10" s="105"/>
      <c r="I10" s="105"/>
    </row>
    <row r="11" spans="1:19" x14ac:dyDescent="0.15"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</row>
    <row r="12" spans="1:19" x14ac:dyDescent="0.15">
      <c r="C12" t="s">
        <v>125</v>
      </c>
      <c r="D12" s="3" t="s">
        <v>60</v>
      </c>
      <c r="E12" s="3" t="s">
        <v>319</v>
      </c>
      <c r="F12" s="3" t="s">
        <v>320</v>
      </c>
      <c r="G12" s="9" t="str">
        <f>各种公式!C12</f>
        <v>生命</v>
      </c>
      <c r="H12" s="9" t="str">
        <f>各种公式!D12</f>
        <v>攻击</v>
      </c>
      <c r="I12" s="9" t="str">
        <f>各种公式!E12</f>
        <v>防御</v>
      </c>
      <c r="J12" s="9" t="str">
        <f>各种公式!F12</f>
        <v>闪避值</v>
      </c>
      <c r="K12" s="9" t="str">
        <f>各种公式!G12</f>
        <v>命中值</v>
      </c>
      <c r="L12" s="9" t="str">
        <f>各种公式!H12</f>
        <v>暴击值</v>
      </c>
      <c r="M12" s="9" t="str">
        <f>各种公式!I12</f>
        <v>暴击倍数</v>
      </c>
      <c r="N12" s="9" t="str">
        <f>各种公式!J12</f>
        <v>韧性值</v>
      </c>
      <c r="O12" s="9" t="str">
        <f>各种公式!K12</f>
        <v>伤害减免</v>
      </c>
      <c r="P12" s="9" t="str">
        <f>各种公式!L12</f>
        <v>伤害加深</v>
      </c>
      <c r="Q12" s="9" t="str">
        <f>各种公式!M12</f>
        <v>生命加成</v>
      </c>
      <c r="R12" s="9" t="str">
        <f>各种公式!N12</f>
        <v>攻击加成</v>
      </c>
      <c r="S12" s="9" t="str">
        <f>各种公式!O12</f>
        <v>防御加成</v>
      </c>
    </row>
    <row r="13" spans="1:19" x14ac:dyDescent="0.15">
      <c r="D13" s="1">
        <v>0</v>
      </c>
      <c r="E13" s="1">
        <v>0</v>
      </c>
      <c r="F13" s="1">
        <f t="shared" ref="F13:F24" si="0">VLOOKUP(E13,$D$4:$F$8,3,FALSE)</f>
        <v>0</v>
      </c>
      <c r="G13" s="34"/>
      <c r="H13" s="34"/>
      <c r="I13" s="34"/>
      <c r="J13" s="35"/>
      <c r="K13" s="35"/>
      <c r="L13" s="35"/>
      <c r="M13" s="35"/>
      <c r="N13" s="35"/>
      <c r="O13" s="35"/>
      <c r="P13" s="35"/>
    </row>
    <row r="14" spans="1:19" x14ac:dyDescent="0.15">
      <c r="D14" s="1">
        <v>1</v>
      </c>
      <c r="E14" s="1">
        <v>0</v>
      </c>
      <c r="F14" s="1">
        <f t="shared" si="0"/>
        <v>0</v>
      </c>
      <c r="G14" s="34" t="e">
        <f t="shared" ref="G14:S24" si="1">VLOOKUP($D14,总属性参考数组,G$11,FALSE)*VLOOKUP($B$3,属性权重数组,G$11,FALSE)*$F14/$B$2</f>
        <v>#DIV/0!</v>
      </c>
      <c r="H14" s="34" t="e">
        <f t="shared" si="1"/>
        <v>#DIV/0!</v>
      </c>
      <c r="I14" s="34" t="e">
        <f t="shared" si="1"/>
        <v>#DIV/0!</v>
      </c>
      <c r="J14" s="34" t="e">
        <f t="shared" si="1"/>
        <v>#DIV/0!</v>
      </c>
      <c r="K14" s="34" t="e">
        <f t="shared" si="1"/>
        <v>#DIV/0!</v>
      </c>
      <c r="L14" s="34" t="e">
        <f t="shared" si="1"/>
        <v>#DIV/0!</v>
      </c>
      <c r="M14" s="34" t="e">
        <f t="shared" si="1"/>
        <v>#DIV/0!</v>
      </c>
      <c r="N14" s="34" t="e">
        <f t="shared" si="1"/>
        <v>#DIV/0!</v>
      </c>
      <c r="O14" s="34" t="e">
        <f t="shared" si="1"/>
        <v>#DIV/0!</v>
      </c>
      <c r="P14" s="34" t="e">
        <f t="shared" si="1"/>
        <v>#DIV/0!</v>
      </c>
      <c r="Q14" s="34" t="e">
        <f t="shared" si="1"/>
        <v>#DIV/0!</v>
      </c>
      <c r="R14" s="34" t="e">
        <f t="shared" si="1"/>
        <v>#DIV/0!</v>
      </c>
      <c r="S14" s="34" t="e">
        <f t="shared" si="1"/>
        <v>#DIV/0!</v>
      </c>
    </row>
    <row r="15" spans="1:19" x14ac:dyDescent="0.15">
      <c r="D15" s="1">
        <v>10</v>
      </c>
      <c r="E15" s="1">
        <v>0</v>
      </c>
      <c r="F15" s="1">
        <f t="shared" si="0"/>
        <v>0</v>
      </c>
      <c r="G15" s="34" t="e">
        <f t="shared" si="1"/>
        <v>#DIV/0!</v>
      </c>
      <c r="H15" s="34" t="e">
        <f t="shared" si="1"/>
        <v>#DIV/0!</v>
      </c>
      <c r="I15" s="34" t="e">
        <f t="shared" si="1"/>
        <v>#DIV/0!</v>
      </c>
      <c r="J15" s="34" t="e">
        <f t="shared" si="1"/>
        <v>#DIV/0!</v>
      </c>
      <c r="K15" s="34" t="e">
        <f t="shared" si="1"/>
        <v>#DIV/0!</v>
      </c>
      <c r="L15" s="34" t="e">
        <f t="shared" si="1"/>
        <v>#DIV/0!</v>
      </c>
      <c r="M15" s="34" t="e">
        <f t="shared" si="1"/>
        <v>#DIV/0!</v>
      </c>
      <c r="N15" s="34" t="e">
        <f t="shared" si="1"/>
        <v>#DIV/0!</v>
      </c>
      <c r="O15" s="34" t="e">
        <f t="shared" si="1"/>
        <v>#DIV/0!</v>
      </c>
      <c r="P15" s="34" t="e">
        <f t="shared" si="1"/>
        <v>#DIV/0!</v>
      </c>
      <c r="Q15" s="34" t="e">
        <f t="shared" si="1"/>
        <v>#DIV/0!</v>
      </c>
      <c r="R15" s="34" t="e">
        <f t="shared" si="1"/>
        <v>#DIV/0!</v>
      </c>
      <c r="S15" s="34" t="e">
        <f t="shared" si="1"/>
        <v>#DIV/0!</v>
      </c>
    </row>
    <row r="16" spans="1:19" x14ac:dyDescent="0.15">
      <c r="D16" s="1">
        <v>20</v>
      </c>
      <c r="E16" s="1">
        <v>1</v>
      </c>
      <c r="F16" s="1">
        <f t="shared" si="0"/>
        <v>0</v>
      </c>
      <c r="G16" s="34" t="e">
        <f t="shared" si="1"/>
        <v>#DIV/0!</v>
      </c>
      <c r="H16" s="34" t="e">
        <f t="shared" si="1"/>
        <v>#DIV/0!</v>
      </c>
      <c r="I16" s="34" t="e">
        <f t="shared" si="1"/>
        <v>#DIV/0!</v>
      </c>
      <c r="J16" s="34" t="e">
        <f t="shared" si="1"/>
        <v>#DIV/0!</v>
      </c>
      <c r="K16" s="34" t="e">
        <f t="shared" si="1"/>
        <v>#DIV/0!</v>
      </c>
      <c r="L16" s="34" t="e">
        <f t="shared" si="1"/>
        <v>#DIV/0!</v>
      </c>
      <c r="M16" s="34" t="e">
        <f t="shared" si="1"/>
        <v>#DIV/0!</v>
      </c>
      <c r="N16" s="34" t="e">
        <f t="shared" si="1"/>
        <v>#DIV/0!</v>
      </c>
      <c r="O16" s="34" t="e">
        <f t="shared" si="1"/>
        <v>#DIV/0!</v>
      </c>
      <c r="P16" s="34" t="e">
        <f t="shared" si="1"/>
        <v>#DIV/0!</v>
      </c>
      <c r="Q16" s="34" t="e">
        <f t="shared" si="1"/>
        <v>#DIV/0!</v>
      </c>
      <c r="R16" s="34" t="e">
        <f t="shared" si="1"/>
        <v>#DIV/0!</v>
      </c>
      <c r="S16" s="34" t="e">
        <f t="shared" si="1"/>
        <v>#DIV/0!</v>
      </c>
    </row>
    <row r="17" spans="4:19" x14ac:dyDescent="0.15">
      <c r="D17" s="1">
        <v>30</v>
      </c>
      <c r="E17" s="1">
        <v>1</v>
      </c>
      <c r="F17" s="1">
        <f t="shared" si="0"/>
        <v>0</v>
      </c>
      <c r="G17" s="34" t="e">
        <f t="shared" si="1"/>
        <v>#DIV/0!</v>
      </c>
      <c r="H17" s="34" t="e">
        <f t="shared" si="1"/>
        <v>#DIV/0!</v>
      </c>
      <c r="I17" s="34" t="e">
        <f t="shared" si="1"/>
        <v>#DIV/0!</v>
      </c>
      <c r="J17" s="34" t="e">
        <f t="shared" si="1"/>
        <v>#DIV/0!</v>
      </c>
      <c r="K17" s="34" t="e">
        <f t="shared" si="1"/>
        <v>#DIV/0!</v>
      </c>
      <c r="L17" s="34" t="e">
        <f t="shared" si="1"/>
        <v>#DIV/0!</v>
      </c>
      <c r="M17" s="34" t="e">
        <f t="shared" si="1"/>
        <v>#DIV/0!</v>
      </c>
      <c r="N17" s="34" t="e">
        <f t="shared" si="1"/>
        <v>#DIV/0!</v>
      </c>
      <c r="O17" s="34" t="e">
        <f t="shared" si="1"/>
        <v>#DIV/0!</v>
      </c>
      <c r="P17" s="34" t="e">
        <f t="shared" si="1"/>
        <v>#DIV/0!</v>
      </c>
      <c r="Q17" s="34" t="e">
        <f t="shared" si="1"/>
        <v>#DIV/0!</v>
      </c>
      <c r="R17" s="34" t="e">
        <f t="shared" si="1"/>
        <v>#DIV/0!</v>
      </c>
      <c r="S17" s="34" t="e">
        <f t="shared" si="1"/>
        <v>#DIV/0!</v>
      </c>
    </row>
    <row r="18" spans="4:19" x14ac:dyDescent="0.15">
      <c r="D18" s="1">
        <v>40</v>
      </c>
      <c r="E18" s="1">
        <v>2</v>
      </c>
      <c r="F18" s="1">
        <f t="shared" si="0"/>
        <v>0</v>
      </c>
      <c r="G18" s="34" t="e">
        <f t="shared" si="1"/>
        <v>#DIV/0!</v>
      </c>
      <c r="H18" s="34" t="e">
        <f t="shared" si="1"/>
        <v>#DIV/0!</v>
      </c>
      <c r="I18" s="34" t="e">
        <f t="shared" si="1"/>
        <v>#DIV/0!</v>
      </c>
      <c r="J18" s="34" t="e">
        <f t="shared" si="1"/>
        <v>#DIV/0!</v>
      </c>
      <c r="K18" s="34" t="e">
        <f t="shared" si="1"/>
        <v>#DIV/0!</v>
      </c>
      <c r="L18" s="34" t="e">
        <f t="shared" si="1"/>
        <v>#DIV/0!</v>
      </c>
      <c r="M18" s="34" t="e">
        <f t="shared" si="1"/>
        <v>#DIV/0!</v>
      </c>
      <c r="N18" s="34" t="e">
        <f t="shared" si="1"/>
        <v>#DIV/0!</v>
      </c>
      <c r="O18" s="34" t="e">
        <f t="shared" si="1"/>
        <v>#DIV/0!</v>
      </c>
      <c r="P18" s="34" t="e">
        <f t="shared" si="1"/>
        <v>#DIV/0!</v>
      </c>
      <c r="Q18" s="34" t="e">
        <f t="shared" si="1"/>
        <v>#DIV/0!</v>
      </c>
      <c r="R18" s="34" t="e">
        <f t="shared" si="1"/>
        <v>#DIV/0!</v>
      </c>
      <c r="S18" s="34" t="e">
        <f t="shared" si="1"/>
        <v>#DIV/0!</v>
      </c>
    </row>
    <row r="19" spans="4:19" x14ac:dyDescent="0.15">
      <c r="D19" s="1">
        <v>50</v>
      </c>
      <c r="E19" s="1">
        <v>2</v>
      </c>
      <c r="F19" s="1">
        <f t="shared" si="0"/>
        <v>0</v>
      </c>
      <c r="G19" s="34" t="e">
        <f t="shared" si="1"/>
        <v>#DIV/0!</v>
      </c>
      <c r="H19" s="34" t="e">
        <f t="shared" si="1"/>
        <v>#DIV/0!</v>
      </c>
      <c r="I19" s="34" t="e">
        <f t="shared" si="1"/>
        <v>#DIV/0!</v>
      </c>
      <c r="J19" s="34" t="e">
        <f t="shared" si="1"/>
        <v>#DIV/0!</v>
      </c>
      <c r="K19" s="34" t="e">
        <f t="shared" si="1"/>
        <v>#DIV/0!</v>
      </c>
      <c r="L19" s="34" t="e">
        <f t="shared" si="1"/>
        <v>#DIV/0!</v>
      </c>
      <c r="M19" s="34" t="e">
        <f t="shared" si="1"/>
        <v>#DIV/0!</v>
      </c>
      <c r="N19" s="34" t="e">
        <f t="shared" si="1"/>
        <v>#DIV/0!</v>
      </c>
      <c r="O19" s="34" t="e">
        <f t="shared" si="1"/>
        <v>#DIV/0!</v>
      </c>
      <c r="P19" s="34" t="e">
        <f t="shared" si="1"/>
        <v>#DIV/0!</v>
      </c>
      <c r="Q19" s="34" t="e">
        <f t="shared" si="1"/>
        <v>#DIV/0!</v>
      </c>
      <c r="R19" s="34" t="e">
        <f t="shared" si="1"/>
        <v>#DIV/0!</v>
      </c>
      <c r="S19" s="34" t="e">
        <f t="shared" si="1"/>
        <v>#DIV/0!</v>
      </c>
    </row>
    <row r="20" spans="4:19" x14ac:dyDescent="0.15">
      <c r="D20" s="1">
        <v>60</v>
      </c>
      <c r="E20" s="1">
        <v>3</v>
      </c>
      <c r="F20" s="1">
        <f t="shared" si="0"/>
        <v>0</v>
      </c>
      <c r="G20" s="34" t="e">
        <f t="shared" si="1"/>
        <v>#DIV/0!</v>
      </c>
      <c r="H20" s="34" t="e">
        <f t="shared" si="1"/>
        <v>#DIV/0!</v>
      </c>
      <c r="I20" s="34" t="e">
        <f t="shared" si="1"/>
        <v>#DIV/0!</v>
      </c>
      <c r="J20" s="34" t="e">
        <f t="shared" si="1"/>
        <v>#DIV/0!</v>
      </c>
      <c r="K20" s="34" t="e">
        <f t="shared" si="1"/>
        <v>#DIV/0!</v>
      </c>
      <c r="L20" s="34" t="e">
        <f t="shared" si="1"/>
        <v>#DIV/0!</v>
      </c>
      <c r="M20" s="34" t="e">
        <f t="shared" si="1"/>
        <v>#DIV/0!</v>
      </c>
      <c r="N20" s="34" t="e">
        <f t="shared" si="1"/>
        <v>#DIV/0!</v>
      </c>
      <c r="O20" s="34" t="e">
        <f t="shared" si="1"/>
        <v>#DIV/0!</v>
      </c>
      <c r="P20" s="34" t="e">
        <f t="shared" si="1"/>
        <v>#DIV/0!</v>
      </c>
      <c r="Q20" s="34" t="e">
        <f t="shared" si="1"/>
        <v>#DIV/0!</v>
      </c>
      <c r="R20" s="34" t="e">
        <f t="shared" si="1"/>
        <v>#DIV/0!</v>
      </c>
      <c r="S20" s="34" t="e">
        <f t="shared" si="1"/>
        <v>#DIV/0!</v>
      </c>
    </row>
    <row r="21" spans="4:19" x14ac:dyDescent="0.15">
      <c r="D21" s="1">
        <v>70</v>
      </c>
      <c r="E21" s="1">
        <v>3</v>
      </c>
      <c r="F21" s="1">
        <f t="shared" si="0"/>
        <v>0</v>
      </c>
      <c r="G21" s="34" t="e">
        <f t="shared" si="1"/>
        <v>#DIV/0!</v>
      </c>
      <c r="H21" s="34" t="e">
        <f t="shared" si="1"/>
        <v>#DIV/0!</v>
      </c>
      <c r="I21" s="34" t="e">
        <f t="shared" si="1"/>
        <v>#DIV/0!</v>
      </c>
      <c r="J21" s="34" t="e">
        <f t="shared" si="1"/>
        <v>#DIV/0!</v>
      </c>
      <c r="K21" s="34" t="e">
        <f t="shared" si="1"/>
        <v>#DIV/0!</v>
      </c>
      <c r="L21" s="34" t="e">
        <f t="shared" si="1"/>
        <v>#DIV/0!</v>
      </c>
      <c r="M21" s="34" t="e">
        <f t="shared" si="1"/>
        <v>#DIV/0!</v>
      </c>
      <c r="N21" s="34" t="e">
        <f t="shared" si="1"/>
        <v>#DIV/0!</v>
      </c>
      <c r="O21" s="34" t="e">
        <f t="shared" si="1"/>
        <v>#DIV/0!</v>
      </c>
      <c r="P21" s="34" t="e">
        <f t="shared" si="1"/>
        <v>#DIV/0!</v>
      </c>
      <c r="Q21" s="34" t="e">
        <f t="shared" si="1"/>
        <v>#DIV/0!</v>
      </c>
      <c r="R21" s="34" t="e">
        <f t="shared" si="1"/>
        <v>#DIV/0!</v>
      </c>
      <c r="S21" s="34" t="e">
        <f t="shared" si="1"/>
        <v>#DIV/0!</v>
      </c>
    </row>
    <row r="22" spans="4:19" x14ac:dyDescent="0.15">
      <c r="D22" s="1">
        <v>80</v>
      </c>
      <c r="E22" s="1">
        <v>3</v>
      </c>
      <c r="F22" s="1">
        <f t="shared" si="0"/>
        <v>0</v>
      </c>
      <c r="G22" s="34" t="e">
        <f t="shared" si="1"/>
        <v>#DIV/0!</v>
      </c>
      <c r="H22" s="34" t="e">
        <f t="shared" si="1"/>
        <v>#DIV/0!</v>
      </c>
      <c r="I22" s="34" t="e">
        <f t="shared" si="1"/>
        <v>#DIV/0!</v>
      </c>
      <c r="J22" s="34" t="e">
        <f t="shared" si="1"/>
        <v>#DIV/0!</v>
      </c>
      <c r="K22" s="34" t="e">
        <f t="shared" si="1"/>
        <v>#DIV/0!</v>
      </c>
      <c r="L22" s="34" t="e">
        <f t="shared" si="1"/>
        <v>#DIV/0!</v>
      </c>
      <c r="M22" s="34" t="e">
        <f t="shared" si="1"/>
        <v>#DIV/0!</v>
      </c>
      <c r="N22" s="34" t="e">
        <f t="shared" si="1"/>
        <v>#DIV/0!</v>
      </c>
      <c r="O22" s="34" t="e">
        <f t="shared" si="1"/>
        <v>#DIV/0!</v>
      </c>
      <c r="P22" s="34" t="e">
        <f t="shared" si="1"/>
        <v>#DIV/0!</v>
      </c>
      <c r="Q22" s="34" t="e">
        <f t="shared" si="1"/>
        <v>#DIV/0!</v>
      </c>
      <c r="R22" s="34" t="e">
        <f t="shared" si="1"/>
        <v>#DIV/0!</v>
      </c>
      <c r="S22" s="34" t="e">
        <f t="shared" si="1"/>
        <v>#DIV/0!</v>
      </c>
    </row>
    <row r="23" spans="4:19" x14ac:dyDescent="0.15">
      <c r="D23" s="1">
        <v>90</v>
      </c>
      <c r="E23" s="1">
        <v>3</v>
      </c>
      <c r="F23" s="1">
        <f t="shared" si="0"/>
        <v>0</v>
      </c>
      <c r="G23" s="34" t="e">
        <f t="shared" si="1"/>
        <v>#DIV/0!</v>
      </c>
      <c r="H23" s="34" t="e">
        <f t="shared" si="1"/>
        <v>#DIV/0!</v>
      </c>
      <c r="I23" s="34" t="e">
        <f t="shared" si="1"/>
        <v>#DIV/0!</v>
      </c>
      <c r="J23" s="34" t="e">
        <f t="shared" si="1"/>
        <v>#DIV/0!</v>
      </c>
      <c r="K23" s="34" t="e">
        <f t="shared" si="1"/>
        <v>#DIV/0!</v>
      </c>
      <c r="L23" s="34" t="e">
        <f t="shared" si="1"/>
        <v>#DIV/0!</v>
      </c>
      <c r="M23" s="34" t="e">
        <f t="shared" si="1"/>
        <v>#DIV/0!</v>
      </c>
      <c r="N23" s="34" t="e">
        <f t="shared" si="1"/>
        <v>#DIV/0!</v>
      </c>
      <c r="O23" s="34" t="e">
        <f t="shared" si="1"/>
        <v>#DIV/0!</v>
      </c>
      <c r="P23" s="34" t="e">
        <f t="shared" si="1"/>
        <v>#DIV/0!</v>
      </c>
      <c r="Q23" s="34" t="e">
        <f t="shared" si="1"/>
        <v>#DIV/0!</v>
      </c>
      <c r="R23" s="34" t="e">
        <f t="shared" si="1"/>
        <v>#DIV/0!</v>
      </c>
      <c r="S23" s="34" t="e">
        <f t="shared" si="1"/>
        <v>#DIV/0!</v>
      </c>
    </row>
    <row r="24" spans="4:19" x14ac:dyDescent="0.15">
      <c r="D24" s="1">
        <v>100</v>
      </c>
      <c r="E24" s="1">
        <v>3</v>
      </c>
      <c r="F24" s="1">
        <f t="shared" si="0"/>
        <v>0</v>
      </c>
      <c r="G24" s="34" t="e">
        <f t="shared" si="1"/>
        <v>#DIV/0!</v>
      </c>
      <c r="H24" s="34" t="e">
        <f t="shared" si="1"/>
        <v>#DIV/0!</v>
      </c>
      <c r="I24" s="34" t="e">
        <f t="shared" si="1"/>
        <v>#DIV/0!</v>
      </c>
      <c r="J24" s="34" t="e">
        <f t="shared" si="1"/>
        <v>#DIV/0!</v>
      </c>
      <c r="K24" s="34" t="e">
        <f t="shared" si="1"/>
        <v>#DIV/0!</v>
      </c>
      <c r="L24" s="34" t="e">
        <f t="shared" si="1"/>
        <v>#DIV/0!</v>
      </c>
      <c r="M24" s="34" t="e">
        <f t="shared" si="1"/>
        <v>#DIV/0!</v>
      </c>
      <c r="N24" s="34" t="e">
        <f t="shared" si="1"/>
        <v>#DIV/0!</v>
      </c>
      <c r="O24" s="34" t="e">
        <f t="shared" si="1"/>
        <v>#DIV/0!</v>
      </c>
      <c r="P24" s="34" t="e">
        <f t="shared" si="1"/>
        <v>#DIV/0!</v>
      </c>
      <c r="Q24" s="34" t="e">
        <f t="shared" si="1"/>
        <v>#DIV/0!</v>
      </c>
      <c r="R24" s="34" t="e">
        <f t="shared" si="1"/>
        <v>#DIV/0!</v>
      </c>
      <c r="S24" s="34" t="e">
        <f t="shared" si="1"/>
        <v>#DIV/0!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59"/>
  <sheetViews>
    <sheetView topLeftCell="A19" workbookViewId="0">
      <selection activeCell="C24" sqref="C24:J27"/>
    </sheetView>
  </sheetViews>
  <sheetFormatPr defaultRowHeight="13.5" x14ac:dyDescent="0.15"/>
  <cols>
    <col min="1" max="1" width="21.5" bestFit="1" customWidth="1"/>
    <col min="2" max="2" width="13.875" customWidth="1"/>
    <col min="5" max="6" width="13.875" bestFit="1" customWidth="1"/>
    <col min="7" max="7" width="12.875" customWidth="1"/>
    <col min="8" max="8" width="18.375" bestFit="1" customWidth="1"/>
    <col min="9" max="10" width="20.5" bestFit="1" customWidth="1"/>
    <col min="11" max="11" width="16.5" customWidth="1"/>
    <col min="12" max="12" width="12.875" bestFit="1" customWidth="1"/>
    <col min="13" max="13" width="17" customWidth="1"/>
    <col min="14" max="14" width="11.75" bestFit="1" customWidth="1"/>
    <col min="15" max="15" width="11.625" bestFit="1" customWidth="1"/>
    <col min="16" max="16" width="11.25" customWidth="1"/>
    <col min="17" max="17" width="10.75" customWidth="1"/>
    <col min="18" max="19" width="14" bestFit="1" customWidth="1"/>
    <col min="20" max="21" width="13.5" customWidth="1"/>
    <col min="22" max="23" width="11.625" bestFit="1" customWidth="1"/>
  </cols>
  <sheetData>
    <row r="1" spans="1:21" x14ac:dyDescent="0.15">
      <c r="A1" s="1" t="s">
        <v>110</v>
      </c>
      <c r="B1" s="7">
        <v>19</v>
      </c>
      <c r="E1" s="1" t="s">
        <v>72</v>
      </c>
      <c r="F1" s="24" t="s">
        <v>73</v>
      </c>
      <c r="G1" s="24" t="s">
        <v>74</v>
      </c>
      <c r="H1" s="24" t="s">
        <v>75</v>
      </c>
      <c r="I1" s="24" t="s">
        <v>76</v>
      </c>
      <c r="J1" s="24" t="s">
        <v>77</v>
      </c>
      <c r="K1">
        <v>5</v>
      </c>
    </row>
    <row r="2" spans="1:21" x14ac:dyDescent="0.15">
      <c r="A2" s="1" t="s">
        <v>71</v>
      </c>
      <c r="B2" s="1">
        <f>'2、属性成长'!O3</f>
        <v>20</v>
      </c>
      <c r="E2" s="1" t="s">
        <v>78</v>
      </c>
      <c r="F2" s="25" t="s">
        <v>79</v>
      </c>
      <c r="G2" s="25" t="s">
        <v>80</v>
      </c>
      <c r="H2" s="25" t="s">
        <v>81</v>
      </c>
      <c r="I2" s="25" t="s">
        <v>82</v>
      </c>
      <c r="J2" s="1"/>
      <c r="K2">
        <v>5</v>
      </c>
    </row>
    <row r="3" spans="1:21" x14ac:dyDescent="0.15">
      <c r="A3" s="1" t="s">
        <v>200</v>
      </c>
      <c r="B3" s="7">
        <v>5</v>
      </c>
      <c r="E3" s="1" t="s">
        <v>83</v>
      </c>
      <c r="F3" s="26" t="s">
        <v>84</v>
      </c>
      <c r="G3" s="26" t="s">
        <v>85</v>
      </c>
      <c r="H3" s="26" t="s">
        <v>86</v>
      </c>
      <c r="I3" s="26" t="s">
        <v>87</v>
      </c>
      <c r="J3" s="1"/>
      <c r="K3">
        <v>6</v>
      </c>
      <c r="R3" s="15"/>
      <c r="S3" s="23"/>
    </row>
    <row r="4" spans="1:21" x14ac:dyDescent="0.15">
      <c r="A4" s="1" t="s">
        <v>92</v>
      </c>
      <c r="B4" s="5">
        <v>4</v>
      </c>
      <c r="E4" s="1" t="s">
        <v>88</v>
      </c>
      <c r="F4" s="120" t="s">
        <v>89</v>
      </c>
      <c r="G4" s="120" t="s">
        <v>90</v>
      </c>
      <c r="H4" s="120" t="s">
        <v>91</v>
      </c>
      <c r="I4" s="1"/>
      <c r="J4" s="1"/>
      <c r="K4">
        <v>3</v>
      </c>
    </row>
    <row r="5" spans="1:21" x14ac:dyDescent="0.15">
      <c r="A5" s="1" t="s">
        <v>93</v>
      </c>
      <c r="B5" s="5">
        <v>100</v>
      </c>
    </row>
    <row r="6" spans="1:21" x14ac:dyDescent="0.15">
      <c r="A6" s="5" t="s">
        <v>104</v>
      </c>
      <c r="B6" s="5">
        <v>10</v>
      </c>
    </row>
    <row r="7" spans="1:21" x14ac:dyDescent="0.15">
      <c r="A7" s="5" t="s">
        <v>105</v>
      </c>
      <c r="B7" s="5">
        <v>10</v>
      </c>
      <c r="M7" s="1" t="s">
        <v>202</v>
      </c>
      <c r="N7" s="1">
        <f>N19/100</f>
        <v>8.8888888888888882E-4</v>
      </c>
      <c r="O7" s="1">
        <f>O19/100</f>
        <v>1.7777777777777776E-3</v>
      </c>
      <c r="P7" s="1">
        <f>P19/100</f>
        <v>3.5555555555555553E-3</v>
      </c>
      <c r="Q7" s="1">
        <f>Q19/100</f>
        <v>5.3333333333333332E-3</v>
      </c>
    </row>
    <row r="8" spans="1:21" x14ac:dyDescent="0.15">
      <c r="A8" s="5" t="s">
        <v>259</v>
      </c>
      <c r="B8" s="1">
        <f>B2/B3</f>
        <v>4</v>
      </c>
      <c r="L8" t="s">
        <v>126</v>
      </c>
      <c r="M8" s="22" t="s">
        <v>93</v>
      </c>
      <c r="N8" s="22" t="s">
        <v>100</v>
      </c>
      <c r="O8" s="22" t="s">
        <v>101</v>
      </c>
      <c r="P8" s="22" t="s">
        <v>102</v>
      </c>
      <c r="Q8" s="22" t="s">
        <v>103</v>
      </c>
    </row>
    <row r="9" spans="1:21" x14ac:dyDescent="0.15">
      <c r="A9" s="5" t="s">
        <v>290</v>
      </c>
      <c r="B9" s="1" t="s">
        <v>299</v>
      </c>
      <c r="M9" s="1">
        <v>1</v>
      </c>
      <c r="N9" s="27">
        <f t="shared" ref="N9:N18" si="0">$N$7*M9</f>
        <v>8.8888888888888882E-4</v>
      </c>
      <c r="O9" s="27">
        <f t="shared" ref="O9:O18" si="1">$O$7*M9</f>
        <v>1.7777777777777776E-3</v>
      </c>
      <c r="P9" s="27">
        <f t="shared" ref="P9:P18" si="2">$P$7*M9</f>
        <v>3.5555555555555553E-3</v>
      </c>
      <c r="Q9" s="27">
        <f t="shared" ref="Q9:Q18" si="3">$Q$7*M9</f>
        <v>5.3333333333333332E-3</v>
      </c>
    </row>
    <row r="10" spans="1:21" x14ac:dyDescent="0.15">
      <c r="M10" s="1">
        <v>10</v>
      </c>
      <c r="N10" s="27">
        <f t="shared" si="0"/>
        <v>8.8888888888888889E-3</v>
      </c>
      <c r="O10" s="27">
        <f t="shared" si="1"/>
        <v>1.7777777777777778E-2</v>
      </c>
      <c r="P10" s="27">
        <f t="shared" si="2"/>
        <v>3.5555555555555556E-2</v>
      </c>
      <c r="Q10" s="27">
        <f t="shared" si="3"/>
        <v>5.333333333333333E-2</v>
      </c>
    </row>
    <row r="11" spans="1:21" x14ac:dyDescent="0.15">
      <c r="M11" s="1">
        <v>20</v>
      </c>
      <c r="N11" s="27">
        <f t="shared" si="0"/>
        <v>1.7777777777777778E-2</v>
      </c>
      <c r="O11" s="27">
        <f t="shared" si="1"/>
        <v>3.5555555555555556E-2</v>
      </c>
      <c r="P11" s="27">
        <f t="shared" si="2"/>
        <v>7.1111111111111111E-2</v>
      </c>
      <c r="Q11" s="27">
        <f t="shared" si="3"/>
        <v>0.10666666666666666</v>
      </c>
    </row>
    <row r="12" spans="1:21" x14ac:dyDescent="0.15">
      <c r="M12" s="1">
        <v>30</v>
      </c>
      <c r="N12" s="27">
        <f t="shared" si="0"/>
        <v>2.6666666666666665E-2</v>
      </c>
      <c r="O12" s="27">
        <f t="shared" si="1"/>
        <v>5.333333333333333E-2</v>
      </c>
      <c r="P12" s="27">
        <f t="shared" si="2"/>
        <v>0.10666666666666666</v>
      </c>
      <c r="Q12" s="27">
        <f t="shared" si="3"/>
        <v>0.16</v>
      </c>
    </row>
    <row r="13" spans="1:21" x14ac:dyDescent="0.15">
      <c r="B13" s="22"/>
      <c r="C13" s="22" t="s">
        <v>96</v>
      </c>
      <c r="D13" s="22" t="s">
        <v>53</v>
      </c>
      <c r="M13" s="1">
        <v>40</v>
      </c>
      <c r="N13" s="27">
        <f t="shared" si="0"/>
        <v>3.5555555555555556E-2</v>
      </c>
      <c r="O13" s="27">
        <f t="shared" si="1"/>
        <v>7.1111111111111111E-2</v>
      </c>
      <c r="P13" s="27">
        <f t="shared" si="2"/>
        <v>0.14222222222222222</v>
      </c>
      <c r="Q13" s="27">
        <f t="shared" si="3"/>
        <v>0.21333333333333332</v>
      </c>
    </row>
    <row r="14" spans="1:21" x14ac:dyDescent="0.15">
      <c r="B14" s="1" t="s">
        <v>95</v>
      </c>
      <c r="C14" s="7">
        <v>1</v>
      </c>
      <c r="D14" s="91">
        <f>C14/SUM($C$14:$C$17)</f>
        <v>1.6666666666666666E-2</v>
      </c>
      <c r="M14" s="1">
        <v>50</v>
      </c>
      <c r="N14" s="27">
        <f t="shared" si="0"/>
        <v>4.4444444444444439E-2</v>
      </c>
      <c r="O14" s="27">
        <f t="shared" si="1"/>
        <v>8.8888888888888878E-2</v>
      </c>
      <c r="P14" s="27">
        <f t="shared" si="2"/>
        <v>0.17777777777777776</v>
      </c>
      <c r="Q14" s="27">
        <f t="shared" si="3"/>
        <v>0.26666666666666666</v>
      </c>
      <c r="R14" s="23"/>
      <c r="S14" s="23"/>
      <c r="T14" s="23"/>
      <c r="U14" s="23"/>
    </row>
    <row r="15" spans="1:21" x14ac:dyDescent="0.15">
      <c r="B15" s="1" t="s">
        <v>93</v>
      </c>
      <c r="C15" s="7">
        <v>8</v>
      </c>
      <c r="D15" s="91">
        <f>C15/SUM($C$14:$C$17)</f>
        <v>0.13333333333333333</v>
      </c>
      <c r="M15" s="1">
        <v>60</v>
      </c>
      <c r="N15" s="27">
        <f t="shared" si="0"/>
        <v>5.333333333333333E-2</v>
      </c>
      <c r="O15" s="27">
        <f t="shared" si="1"/>
        <v>0.10666666666666666</v>
      </c>
      <c r="P15" s="27">
        <f t="shared" si="2"/>
        <v>0.21333333333333332</v>
      </c>
      <c r="Q15" s="27">
        <f t="shared" si="3"/>
        <v>0.32</v>
      </c>
    </row>
    <row r="16" spans="1:21" x14ac:dyDescent="0.15">
      <c r="B16" s="1" t="s">
        <v>406</v>
      </c>
      <c r="C16" s="7">
        <v>50</v>
      </c>
      <c r="D16" s="91">
        <f>C16/SUM($C$14:$C$17)</f>
        <v>0.83333333333333337</v>
      </c>
      <c r="M16" s="1">
        <v>70</v>
      </c>
      <c r="N16" s="27">
        <f t="shared" si="0"/>
        <v>6.222222222222222E-2</v>
      </c>
      <c r="O16" s="27">
        <f t="shared" si="1"/>
        <v>0.12444444444444444</v>
      </c>
      <c r="P16" s="27">
        <f t="shared" si="2"/>
        <v>0.24888888888888888</v>
      </c>
      <c r="Q16" s="27">
        <f t="shared" si="3"/>
        <v>0.37333333333333329</v>
      </c>
    </row>
    <row r="17" spans="1:17" x14ac:dyDescent="0.15">
      <c r="B17" s="5" t="s">
        <v>106</v>
      </c>
      <c r="C17" s="7">
        <v>1</v>
      </c>
      <c r="D17" s="91">
        <f>C17/SUM($C$14:$C$17)</f>
        <v>1.6666666666666666E-2</v>
      </c>
      <c r="M17" s="1">
        <v>80</v>
      </c>
      <c r="N17" s="27">
        <f t="shared" si="0"/>
        <v>7.1111111111111111E-2</v>
      </c>
      <c r="O17" s="27">
        <f t="shared" si="1"/>
        <v>0.14222222222222222</v>
      </c>
      <c r="P17" s="27">
        <f t="shared" si="2"/>
        <v>0.28444444444444444</v>
      </c>
      <c r="Q17" s="27">
        <f t="shared" si="3"/>
        <v>0.42666666666666664</v>
      </c>
    </row>
    <row r="18" spans="1:17" x14ac:dyDescent="0.15">
      <c r="B18" s="5" t="s">
        <v>394</v>
      </c>
      <c r="C18" s="7">
        <v>10</v>
      </c>
      <c r="D18" s="91">
        <f>C18/SUM($C$14:$C$17)</f>
        <v>0.16666666666666666</v>
      </c>
      <c r="M18" s="1">
        <v>90</v>
      </c>
      <c r="N18" s="27">
        <f t="shared" si="0"/>
        <v>7.9999999999999988E-2</v>
      </c>
      <c r="O18" s="27">
        <f t="shared" si="1"/>
        <v>0.15999999999999998</v>
      </c>
      <c r="P18" s="27">
        <f t="shared" si="2"/>
        <v>0.31999999999999995</v>
      </c>
      <c r="Q18" s="27">
        <f t="shared" si="3"/>
        <v>0.48</v>
      </c>
    </row>
    <row r="19" spans="1:17" x14ac:dyDescent="0.15">
      <c r="M19" s="1">
        <v>100</v>
      </c>
      <c r="N19" s="1">
        <f>G24</f>
        <v>8.8888888888888878E-2</v>
      </c>
      <c r="O19" s="1">
        <f>G25</f>
        <v>0.17777777777777776</v>
      </c>
      <c r="P19" s="1">
        <f>G26</f>
        <v>0.35555555555555551</v>
      </c>
      <c r="Q19" s="1">
        <f>G27</f>
        <v>0.53333333333333333</v>
      </c>
    </row>
    <row r="20" spans="1:17" x14ac:dyDescent="0.15">
      <c r="Q20" s="49"/>
    </row>
    <row r="21" spans="1:17" x14ac:dyDescent="0.15">
      <c r="M21" s="1" t="s">
        <v>203</v>
      </c>
      <c r="N21" s="1">
        <f>N29/$B$6</f>
        <v>6.6666666666666662E-3</v>
      </c>
      <c r="O21" s="1">
        <f>O29/$B$6</f>
        <v>6.6666666666666662E-3</v>
      </c>
      <c r="P21" s="1">
        <f>P29/$B$6</f>
        <v>6.6666666666666662E-3</v>
      </c>
      <c r="Q21" s="1">
        <f>Q29/$B$6</f>
        <v>6.6666666666666662E-3</v>
      </c>
    </row>
    <row r="22" spans="1:17" x14ac:dyDescent="0.15">
      <c r="A22" t="s">
        <v>124</v>
      </c>
      <c r="L22" t="s">
        <v>127</v>
      </c>
      <c r="M22" s="22" t="s">
        <v>104</v>
      </c>
      <c r="N22" s="22" t="s">
        <v>100</v>
      </c>
      <c r="O22" s="22" t="s">
        <v>101</v>
      </c>
      <c r="P22" s="22" t="s">
        <v>102</v>
      </c>
      <c r="Q22" s="22" t="s">
        <v>103</v>
      </c>
    </row>
    <row r="23" spans="1:17" x14ac:dyDescent="0.15">
      <c r="B23" s="3" t="s">
        <v>92</v>
      </c>
      <c r="C23" s="3" t="s">
        <v>260</v>
      </c>
      <c r="D23" s="3" t="s">
        <v>27</v>
      </c>
      <c r="E23" s="3" t="s">
        <v>94</v>
      </c>
      <c r="F23" s="3" t="s">
        <v>97</v>
      </c>
      <c r="G23" s="3" t="s">
        <v>98</v>
      </c>
      <c r="H23" s="3" t="s">
        <v>108</v>
      </c>
      <c r="I23" s="3" t="s">
        <v>107</v>
      </c>
      <c r="J23" s="3" t="s">
        <v>395</v>
      </c>
      <c r="M23" s="1">
        <v>0</v>
      </c>
      <c r="N23" s="1">
        <f>M23*$N$21</f>
        <v>0</v>
      </c>
      <c r="O23" s="1">
        <f>$O$21*M23</f>
        <v>0</v>
      </c>
      <c r="P23" s="1">
        <f>$P$21*M23</f>
        <v>0</v>
      </c>
      <c r="Q23" s="1">
        <f>$Q$21*M23</f>
        <v>0</v>
      </c>
    </row>
    <row r="24" spans="1:17" x14ac:dyDescent="0.15">
      <c r="B24" s="126">
        <v>1</v>
      </c>
      <c r="C24" s="7">
        <v>1</v>
      </c>
      <c r="D24" s="1">
        <v>5</v>
      </c>
      <c r="E24" s="1">
        <f t="shared" ref="E24:E25" si="4">C24/$C$27*$E$27</f>
        <v>0.66666666666666663</v>
      </c>
      <c r="F24" s="1">
        <f t="shared" ref="F24:F25" si="5">F25</f>
        <v>6.6666666666666666E-2</v>
      </c>
      <c r="G24" s="1">
        <f t="shared" ref="G24:G26" si="6">$D$15*E24</f>
        <v>8.8888888888888878E-2</v>
      </c>
      <c r="H24" s="1">
        <f>E24*$D$16</f>
        <v>0.55555555555555558</v>
      </c>
      <c r="I24" s="1">
        <f>E24*$D$17</f>
        <v>1.111111111111111E-2</v>
      </c>
      <c r="J24" s="1">
        <f t="shared" ref="J24:J25" si="7">J25</f>
        <v>0.66666666666666663</v>
      </c>
      <c r="M24" s="1">
        <v>1</v>
      </c>
      <c r="N24" s="1">
        <f>M24*$N$21</f>
        <v>6.6666666666666662E-3</v>
      </c>
      <c r="O24" s="1">
        <f>$O$21*M24</f>
        <v>6.6666666666666662E-3</v>
      </c>
      <c r="P24" s="1">
        <f>$P$21*M24</f>
        <v>6.6666666666666662E-3</v>
      </c>
      <c r="Q24" s="1">
        <f>$Q$21*M24</f>
        <v>6.6666666666666662E-3</v>
      </c>
    </row>
    <row r="25" spans="1:17" x14ac:dyDescent="0.15">
      <c r="B25" s="126">
        <v>2</v>
      </c>
      <c r="C25" s="7">
        <v>2</v>
      </c>
      <c r="D25" s="1">
        <v>5</v>
      </c>
      <c r="E25" s="1">
        <f t="shared" si="4"/>
        <v>1.3333333333333333</v>
      </c>
      <c r="F25" s="1">
        <f t="shared" si="5"/>
        <v>6.6666666666666666E-2</v>
      </c>
      <c r="G25" s="1">
        <f t="shared" si="6"/>
        <v>0.17777777777777776</v>
      </c>
      <c r="H25" s="1">
        <f>E25*$D$16</f>
        <v>1.1111111111111112</v>
      </c>
      <c r="I25" s="1">
        <f>E25*$D$17</f>
        <v>2.222222222222222E-2</v>
      </c>
      <c r="J25" s="1">
        <f t="shared" si="7"/>
        <v>0.66666666666666663</v>
      </c>
      <c r="M25" s="1">
        <v>3</v>
      </c>
      <c r="N25" s="1">
        <f>M25*$N$21</f>
        <v>1.9999999999999997E-2</v>
      </c>
      <c r="O25" s="1">
        <f>$O$21*M25</f>
        <v>1.9999999999999997E-2</v>
      </c>
      <c r="P25" s="1">
        <f>$P$21*M25</f>
        <v>1.9999999999999997E-2</v>
      </c>
      <c r="Q25" s="1">
        <f>$Q$21*M25</f>
        <v>1.9999999999999997E-2</v>
      </c>
    </row>
    <row r="26" spans="1:17" x14ac:dyDescent="0.15">
      <c r="B26" s="126">
        <v>3</v>
      </c>
      <c r="C26" s="7">
        <v>4</v>
      </c>
      <c r="D26" s="1">
        <v>6</v>
      </c>
      <c r="E26" s="1">
        <f>C26/$C$27*$E$27</f>
        <v>2.6666666666666665</v>
      </c>
      <c r="F26" s="1">
        <f>F27</f>
        <v>6.6666666666666666E-2</v>
      </c>
      <c r="G26" s="1">
        <f t="shared" si="6"/>
        <v>0.35555555555555551</v>
      </c>
      <c r="H26" s="1">
        <f>E26*$D$16</f>
        <v>2.2222222222222223</v>
      </c>
      <c r="I26" s="1">
        <f>E26*$D$17</f>
        <v>4.4444444444444439E-2</v>
      </c>
      <c r="J26" s="1">
        <f>J27</f>
        <v>0.66666666666666663</v>
      </c>
      <c r="M26" s="1">
        <v>5</v>
      </c>
      <c r="N26" s="1">
        <f>M26*$N$21</f>
        <v>3.3333333333333333E-2</v>
      </c>
      <c r="O26" s="1">
        <f>$O$21*M26</f>
        <v>3.3333333333333333E-2</v>
      </c>
      <c r="P26" s="1">
        <f>$P$21*M26</f>
        <v>3.3333333333333333E-2</v>
      </c>
      <c r="Q26" s="1">
        <f>$Q$21*M26</f>
        <v>3.3333333333333333E-2</v>
      </c>
    </row>
    <row r="27" spans="1:17" x14ac:dyDescent="0.15">
      <c r="B27" s="126">
        <v>4</v>
      </c>
      <c r="C27" s="7">
        <v>6</v>
      </c>
      <c r="D27" s="1">
        <v>3</v>
      </c>
      <c r="E27" s="1">
        <f>B2/B3</f>
        <v>4</v>
      </c>
      <c r="F27" s="1">
        <f>E27*$D$14</f>
        <v>6.6666666666666666E-2</v>
      </c>
      <c r="G27" s="1">
        <f>E27*$D$15</f>
        <v>0.53333333333333333</v>
      </c>
      <c r="H27" s="1">
        <f>E27*$D$16</f>
        <v>3.3333333333333335</v>
      </c>
      <c r="I27" s="1">
        <f>E27*$D$17</f>
        <v>6.6666666666666666E-2</v>
      </c>
      <c r="J27" s="1">
        <f t="shared" ref="J27" si="8">E27*$D$18</f>
        <v>0.66666666666666663</v>
      </c>
      <c r="M27" s="1">
        <v>7</v>
      </c>
      <c r="N27" s="1">
        <f>M27*$N$21</f>
        <v>4.6666666666666662E-2</v>
      </c>
      <c r="O27" s="1">
        <f>$O$21*M27</f>
        <v>4.6666666666666662E-2</v>
      </c>
      <c r="P27" s="1">
        <f>$P$21*M27</f>
        <v>4.6666666666666662E-2</v>
      </c>
      <c r="Q27" s="1">
        <f>$Q$21*M27</f>
        <v>4.6666666666666662E-2</v>
      </c>
    </row>
    <row r="28" spans="1:17" x14ac:dyDescent="0.15">
      <c r="B28" t="s">
        <v>460</v>
      </c>
      <c r="F28" t="s">
        <v>462</v>
      </c>
      <c r="G28" t="s">
        <v>463</v>
      </c>
      <c r="H28" t="s">
        <v>464</v>
      </c>
      <c r="J28" t="s">
        <v>461</v>
      </c>
      <c r="M28" s="1">
        <v>9</v>
      </c>
      <c r="N28" s="1">
        <f t="shared" ref="N28" si="9">M28*$N$21</f>
        <v>0.06</v>
      </c>
      <c r="O28" s="1">
        <f t="shared" ref="O28" si="10">$O$21*M28</f>
        <v>0.06</v>
      </c>
      <c r="P28" s="1">
        <f t="shared" ref="P28" si="11">$P$21*M28</f>
        <v>0.06</v>
      </c>
      <c r="Q28" s="1">
        <f t="shared" ref="Q28" si="12">$Q$21*M28</f>
        <v>0.06</v>
      </c>
    </row>
    <row r="29" spans="1:17" x14ac:dyDescent="0.15">
      <c r="B29" s="171">
        <v>1</v>
      </c>
      <c r="F29">
        <f>F24/10</f>
        <v>6.6666666666666662E-3</v>
      </c>
      <c r="G29">
        <f>G24/80</f>
        <v>1.1111111111111109E-3</v>
      </c>
      <c r="H29">
        <f>H24/10/80</f>
        <v>6.9444444444444447E-4</v>
      </c>
      <c r="J29">
        <f>J24/6/10</f>
        <v>1.111111111111111E-2</v>
      </c>
      <c r="M29" s="1">
        <v>12</v>
      </c>
      <c r="N29" s="1">
        <f>F24</f>
        <v>6.6666666666666666E-2</v>
      </c>
      <c r="O29" s="1">
        <f>F25</f>
        <v>6.6666666666666666E-2</v>
      </c>
      <c r="P29" s="1">
        <f>F26</f>
        <v>6.6666666666666666E-2</v>
      </c>
      <c r="Q29" s="1">
        <f>F27</f>
        <v>6.6666666666666666E-2</v>
      </c>
    </row>
    <row r="30" spans="1:17" x14ac:dyDescent="0.15">
      <c r="B30" s="171">
        <v>2</v>
      </c>
      <c r="F30">
        <f t="shared" ref="F30:F32" si="13">F25/10</f>
        <v>6.6666666666666662E-3</v>
      </c>
      <c r="G30">
        <f t="shared" ref="G30:G32" si="14">G25/80</f>
        <v>2.2222222222222218E-3</v>
      </c>
      <c r="H30">
        <f t="shared" ref="H30:H32" si="15">H25/10/80</f>
        <v>1.3888888888888889E-3</v>
      </c>
      <c r="J30">
        <f t="shared" ref="J30:J32" si="16">J25/6/10</f>
        <v>1.111111111111111E-2</v>
      </c>
      <c r="M30" s="15"/>
      <c r="N30" s="15"/>
      <c r="O30" s="15"/>
      <c r="P30" s="15"/>
      <c r="Q30" s="15"/>
    </row>
    <row r="31" spans="1:17" x14ac:dyDescent="0.15">
      <c r="B31" s="171">
        <v>3</v>
      </c>
      <c r="F31">
        <f t="shared" si="13"/>
        <v>6.6666666666666662E-3</v>
      </c>
      <c r="G31">
        <f t="shared" si="14"/>
        <v>4.4444444444444436E-3</v>
      </c>
      <c r="H31">
        <f t="shared" si="15"/>
        <v>2.7777777777777779E-3</v>
      </c>
      <c r="J31">
        <f t="shared" si="16"/>
        <v>1.111111111111111E-2</v>
      </c>
      <c r="M31" s="1" t="s">
        <v>204</v>
      </c>
      <c r="N31" s="1">
        <f>N37/$B$7</f>
        <v>5.5555555555555559E-2</v>
      </c>
      <c r="O31" s="1">
        <f t="shared" ref="O31:Q31" si="17">O37/$B$7</f>
        <v>0.11111111111111112</v>
      </c>
      <c r="P31" s="1">
        <f t="shared" si="17"/>
        <v>0.22222222222222224</v>
      </c>
      <c r="Q31" s="1">
        <f t="shared" si="17"/>
        <v>0.33333333333333337</v>
      </c>
    </row>
    <row r="32" spans="1:17" x14ac:dyDescent="0.15">
      <c r="B32" s="171">
        <v>4</v>
      </c>
      <c r="F32">
        <f t="shared" si="13"/>
        <v>6.6666666666666662E-3</v>
      </c>
      <c r="G32">
        <f t="shared" si="14"/>
        <v>6.6666666666666662E-3</v>
      </c>
      <c r="H32">
        <f t="shared" si="15"/>
        <v>4.1666666666666675E-3</v>
      </c>
      <c r="J32">
        <f t="shared" si="16"/>
        <v>1.111111111111111E-2</v>
      </c>
      <c r="L32" t="s">
        <v>128</v>
      </c>
      <c r="M32" s="22" t="s">
        <v>105</v>
      </c>
      <c r="N32" s="22" t="s">
        <v>100</v>
      </c>
      <c r="O32" s="22" t="s">
        <v>101</v>
      </c>
      <c r="P32" s="22" t="s">
        <v>102</v>
      </c>
      <c r="Q32" s="22" t="s">
        <v>103</v>
      </c>
    </row>
    <row r="33" spans="3:23" x14ac:dyDescent="0.15">
      <c r="M33" s="1">
        <v>0</v>
      </c>
      <c r="N33" s="1">
        <f>M33*$N$31</f>
        <v>0</v>
      </c>
      <c r="O33" s="1">
        <f>$O$31*M33</f>
        <v>0</v>
      </c>
      <c r="P33" s="1">
        <f>$P$31*M33</f>
        <v>0</v>
      </c>
      <c r="Q33" s="1">
        <f>$Q$31*M33</f>
        <v>0</v>
      </c>
    </row>
    <row r="34" spans="3:23" x14ac:dyDescent="0.15">
      <c r="M34" s="1">
        <v>1</v>
      </c>
      <c r="N34" s="1">
        <f>M34*$N$31</f>
        <v>5.5555555555555559E-2</v>
      </c>
      <c r="O34" s="1">
        <f>$O$31*M34</f>
        <v>0.11111111111111112</v>
      </c>
      <c r="P34" s="1">
        <f>$P$31*M34</f>
        <v>0.22222222222222224</v>
      </c>
      <c r="Q34" s="1">
        <f>$Q$31*M34</f>
        <v>0.33333333333333337</v>
      </c>
    </row>
    <row r="35" spans="3:23" x14ac:dyDescent="0.15">
      <c r="M35" s="1">
        <v>2</v>
      </c>
      <c r="N35" s="1">
        <f>M35*$N$31</f>
        <v>0.11111111111111112</v>
      </c>
      <c r="O35" s="1">
        <f>$O$31*M35</f>
        <v>0.22222222222222224</v>
      </c>
      <c r="P35" s="1">
        <f>$P$31*M35</f>
        <v>0.44444444444444448</v>
      </c>
      <c r="Q35" s="1">
        <f>$Q$31*M35</f>
        <v>0.66666666666666674</v>
      </c>
    </row>
    <row r="36" spans="3:23" x14ac:dyDescent="0.15">
      <c r="M36" s="1">
        <v>3</v>
      </c>
      <c r="N36" s="1">
        <f>M36*$N$31</f>
        <v>0.16666666666666669</v>
      </c>
      <c r="O36" s="1">
        <f>$O$31*M36</f>
        <v>0.33333333333333337</v>
      </c>
      <c r="P36" s="1">
        <f>$P$31*M36</f>
        <v>0.66666666666666674</v>
      </c>
      <c r="Q36" s="1">
        <f>$Q$31*M36</f>
        <v>1</v>
      </c>
    </row>
    <row r="37" spans="3:23" x14ac:dyDescent="0.15">
      <c r="M37" s="1">
        <v>4</v>
      </c>
      <c r="N37" s="1">
        <f>H24</f>
        <v>0.55555555555555558</v>
      </c>
      <c r="O37" s="1">
        <f>H25</f>
        <v>1.1111111111111112</v>
      </c>
      <c r="P37" s="1">
        <f>H26</f>
        <v>2.2222222222222223</v>
      </c>
      <c r="Q37" s="1">
        <f>H27</f>
        <v>3.3333333333333335</v>
      </c>
    </row>
    <row r="39" spans="3:23" x14ac:dyDescent="0.15">
      <c r="F39" t="s">
        <v>229</v>
      </c>
      <c r="G39" t="s">
        <v>231</v>
      </c>
      <c r="H39" t="s">
        <v>232</v>
      </c>
      <c r="I39" t="s">
        <v>230</v>
      </c>
      <c r="K39" s="59">
        <v>2</v>
      </c>
      <c r="L39" s="59">
        <v>3</v>
      </c>
      <c r="M39" s="59">
        <v>4</v>
      </c>
      <c r="N39" s="59">
        <v>5</v>
      </c>
      <c r="O39" s="59">
        <v>6</v>
      </c>
      <c r="P39" s="59">
        <v>7</v>
      </c>
      <c r="Q39" s="59">
        <v>8</v>
      </c>
      <c r="R39" s="59">
        <v>9</v>
      </c>
      <c r="S39" s="59">
        <v>10</v>
      </c>
      <c r="T39" s="59">
        <v>11</v>
      </c>
      <c r="U39" s="59">
        <v>12</v>
      </c>
      <c r="V39" s="59">
        <v>13</v>
      </c>
      <c r="W39" s="59">
        <v>14</v>
      </c>
    </row>
    <row r="40" spans="3:23" x14ac:dyDescent="0.15">
      <c r="C40" t="s">
        <v>218</v>
      </c>
      <c r="D40" s="3" t="s">
        <v>60</v>
      </c>
      <c r="E40" s="3" t="s">
        <v>99</v>
      </c>
      <c r="F40" s="3" t="s">
        <v>93</v>
      </c>
      <c r="G40" s="3" t="s">
        <v>104</v>
      </c>
      <c r="H40" s="3" t="s">
        <v>109</v>
      </c>
      <c r="I40" s="3" t="s">
        <v>201</v>
      </c>
      <c r="J40" s="3" t="s">
        <v>7</v>
      </c>
      <c r="K40" s="9" t="str">
        <f>各种公式!C12</f>
        <v>生命</v>
      </c>
      <c r="L40" s="9" t="str">
        <f>各种公式!D12</f>
        <v>攻击</v>
      </c>
      <c r="M40" s="9" t="str">
        <f>各种公式!E12</f>
        <v>防御</v>
      </c>
      <c r="N40" s="9" t="str">
        <f>各种公式!F12</f>
        <v>闪避值</v>
      </c>
      <c r="O40" s="9" t="str">
        <f>各种公式!G12</f>
        <v>命中值</v>
      </c>
      <c r="P40" s="9" t="str">
        <f>各种公式!H12</f>
        <v>暴击值</v>
      </c>
      <c r="Q40" s="9" t="str">
        <f>各种公式!I12</f>
        <v>暴击倍数</v>
      </c>
      <c r="R40" s="9" t="str">
        <f>各种公式!J12</f>
        <v>韧性值</v>
      </c>
      <c r="S40" s="9" t="str">
        <f>各种公式!K12</f>
        <v>伤害减免</v>
      </c>
      <c r="T40" s="9" t="str">
        <f>各种公式!L12</f>
        <v>伤害加深</v>
      </c>
      <c r="U40" s="9" t="str">
        <f>各种公式!M12</f>
        <v>生命加成</v>
      </c>
      <c r="V40" s="9" t="str">
        <f>各种公式!N12</f>
        <v>攻击加成</v>
      </c>
      <c r="W40" s="9" t="str">
        <f>各种公式!O12</f>
        <v>防御加成</v>
      </c>
    </row>
    <row r="41" spans="3:23" x14ac:dyDescent="0.15">
      <c r="D41" s="1">
        <v>0</v>
      </c>
      <c r="E41" s="7">
        <v>0</v>
      </c>
      <c r="F41" s="7">
        <v>0</v>
      </c>
      <c r="G41" s="7">
        <v>0</v>
      </c>
      <c r="H41" s="7">
        <v>0</v>
      </c>
      <c r="I41" s="126">
        <v>0</v>
      </c>
      <c r="J41" s="1">
        <v>0</v>
      </c>
      <c r="K41" s="12"/>
      <c r="L41" s="12"/>
      <c r="M41" s="12"/>
      <c r="N41" s="46"/>
      <c r="O41" s="46"/>
      <c r="P41" s="46"/>
      <c r="Q41" s="46"/>
      <c r="R41" s="46"/>
      <c r="S41" s="46"/>
      <c r="T41" s="46"/>
    </row>
    <row r="42" spans="3:23" x14ac:dyDescent="0.15">
      <c r="D42" s="1">
        <v>1</v>
      </c>
      <c r="E42" s="7">
        <v>0</v>
      </c>
      <c r="F42" s="7">
        <v>0</v>
      </c>
      <c r="G42" s="7">
        <v>0</v>
      </c>
      <c r="H42" s="7">
        <v>0</v>
      </c>
      <c r="I42" s="126">
        <v>0</v>
      </c>
      <c r="J42" s="1">
        <v>0</v>
      </c>
      <c r="K42" s="12">
        <f t="shared" ref="K42:W52" si="18">VLOOKUP($D42,总属性参考数组,K$39,FALSE)*VLOOKUP($B$9,属性权重数组,K$39,FALSE)*$J42/$B$2</f>
        <v>0</v>
      </c>
      <c r="L42" s="12">
        <f t="shared" si="18"/>
        <v>0</v>
      </c>
      <c r="M42" s="12">
        <f t="shared" si="18"/>
        <v>0</v>
      </c>
      <c r="N42" s="12">
        <f t="shared" si="18"/>
        <v>0</v>
      </c>
      <c r="O42" s="12">
        <f t="shared" si="18"/>
        <v>0</v>
      </c>
      <c r="P42" s="12">
        <f t="shared" si="18"/>
        <v>0</v>
      </c>
      <c r="Q42" s="12">
        <f t="shared" si="18"/>
        <v>0</v>
      </c>
      <c r="R42" s="12">
        <f t="shared" si="18"/>
        <v>0</v>
      </c>
      <c r="S42" s="12">
        <f t="shared" si="18"/>
        <v>0</v>
      </c>
      <c r="T42" s="12">
        <f t="shared" si="18"/>
        <v>0</v>
      </c>
      <c r="U42" s="12">
        <f t="shared" si="18"/>
        <v>0</v>
      </c>
      <c r="V42" s="12">
        <f t="shared" si="18"/>
        <v>0</v>
      </c>
      <c r="W42" s="12">
        <f t="shared" si="18"/>
        <v>0</v>
      </c>
    </row>
    <row r="43" spans="3:23" x14ac:dyDescent="0.15">
      <c r="D43" s="1">
        <v>10</v>
      </c>
      <c r="E43" s="7">
        <v>0</v>
      </c>
      <c r="F43" s="7">
        <v>0</v>
      </c>
      <c r="G43" s="7">
        <v>0</v>
      </c>
      <c r="H43" s="7">
        <v>0</v>
      </c>
      <c r="I43" s="126">
        <v>0</v>
      </c>
      <c r="J43" s="1">
        <v>0</v>
      </c>
      <c r="K43" s="12">
        <f t="shared" si="18"/>
        <v>0</v>
      </c>
      <c r="L43" s="12">
        <f t="shared" si="18"/>
        <v>0</v>
      </c>
      <c r="M43" s="12">
        <f t="shared" si="18"/>
        <v>0</v>
      </c>
      <c r="N43" s="12">
        <f t="shared" si="18"/>
        <v>0</v>
      </c>
      <c r="O43" s="12">
        <f t="shared" si="18"/>
        <v>0</v>
      </c>
      <c r="P43" s="12">
        <f t="shared" si="18"/>
        <v>0</v>
      </c>
      <c r="Q43" s="12">
        <f t="shared" si="18"/>
        <v>0</v>
      </c>
      <c r="R43" s="12">
        <f t="shared" si="18"/>
        <v>0</v>
      </c>
      <c r="S43" s="12">
        <f t="shared" si="18"/>
        <v>0</v>
      </c>
      <c r="T43" s="12">
        <f t="shared" si="18"/>
        <v>0</v>
      </c>
      <c r="U43" s="12">
        <f t="shared" si="18"/>
        <v>0</v>
      </c>
      <c r="V43" s="12">
        <f t="shared" si="18"/>
        <v>0</v>
      </c>
      <c r="W43" s="12">
        <f t="shared" si="18"/>
        <v>0</v>
      </c>
    </row>
    <row r="44" spans="3:23" x14ac:dyDescent="0.15">
      <c r="D44" s="1">
        <v>20</v>
      </c>
      <c r="E44" s="7">
        <v>1</v>
      </c>
      <c r="F44" s="7">
        <f t="shared" ref="F44:F52" si="19">D44</f>
        <v>20</v>
      </c>
      <c r="G44" s="7">
        <v>0</v>
      </c>
      <c r="H44" s="7">
        <v>0</v>
      </c>
      <c r="I44" s="126">
        <v>1</v>
      </c>
      <c r="J44" s="1">
        <f ca="1">(VLOOKUP(I44,$B$23:$I$27,8,FALSE)+OFFSET($M$7,0,I44)*F44+OFFSET($M$21,0,I44)*G44+OFFSET($M$31,0,I44)*H44)*E44</f>
        <v>2.8888888888888888E-2</v>
      </c>
      <c r="K44" s="12">
        <f t="shared" ca="1" si="18"/>
        <v>86.086009188789347</v>
      </c>
      <c r="L44" s="12">
        <f t="shared" ca="1" si="18"/>
        <v>10.270973262032086</v>
      </c>
      <c r="M44" s="12">
        <f t="shared" ca="1" si="18"/>
        <v>4.4382946273830166</v>
      </c>
      <c r="N44" s="12">
        <f t="shared" ca="1" si="18"/>
        <v>0</v>
      </c>
      <c r="O44" s="12">
        <f t="shared" ca="1" si="18"/>
        <v>0</v>
      </c>
      <c r="P44" s="12">
        <f t="shared" ca="1" si="18"/>
        <v>0</v>
      </c>
      <c r="Q44" s="12">
        <f t="shared" ca="1" si="18"/>
        <v>0</v>
      </c>
      <c r="R44" s="12">
        <f t="shared" ca="1" si="18"/>
        <v>0</v>
      </c>
      <c r="S44" s="12">
        <f t="shared" ca="1" si="18"/>
        <v>0</v>
      </c>
      <c r="T44" s="12">
        <f t="shared" ca="1" si="18"/>
        <v>0</v>
      </c>
      <c r="U44" s="12">
        <f t="shared" ca="1" si="18"/>
        <v>0</v>
      </c>
      <c r="V44" s="12">
        <f t="shared" ca="1" si="18"/>
        <v>0</v>
      </c>
      <c r="W44" s="12">
        <f t="shared" ca="1" si="18"/>
        <v>0</v>
      </c>
    </row>
    <row r="45" spans="3:23" x14ac:dyDescent="0.15">
      <c r="D45" s="1">
        <v>30</v>
      </c>
      <c r="E45" s="7">
        <v>2</v>
      </c>
      <c r="F45" s="7">
        <f t="shared" si="19"/>
        <v>30</v>
      </c>
      <c r="G45" s="7">
        <v>2</v>
      </c>
      <c r="H45" s="7">
        <v>1</v>
      </c>
      <c r="I45" s="126">
        <v>1</v>
      </c>
      <c r="J45" s="1">
        <f t="shared" ref="J45:J52" ca="1" si="20">(VLOOKUP(I45,$B$23:$I$27,8,FALSE)+OFFSET($M$7,0,I45)*F45+OFFSET($M$21,0,I45)*G45+OFFSET($M$31,0,I45)*H45)*E45</f>
        <v>0.21333333333333332</v>
      </c>
      <c r="K45" s="12">
        <f t="shared" ca="1" si="18"/>
        <v>1098.6536880320637</v>
      </c>
      <c r="L45" s="12">
        <f t="shared" ca="1" si="18"/>
        <v>102.39370267379685</v>
      </c>
      <c r="M45" s="12">
        <f t="shared" ca="1" si="18"/>
        <v>44.246383362218388</v>
      </c>
      <c r="N45" s="12">
        <f t="shared" ca="1" si="18"/>
        <v>0</v>
      </c>
      <c r="O45" s="12">
        <f t="shared" ca="1" si="18"/>
        <v>0</v>
      </c>
      <c r="P45" s="12">
        <f t="shared" ca="1" si="18"/>
        <v>0</v>
      </c>
      <c r="Q45" s="12">
        <f t="shared" ca="1" si="18"/>
        <v>0</v>
      </c>
      <c r="R45" s="12">
        <f t="shared" ca="1" si="18"/>
        <v>0</v>
      </c>
      <c r="S45" s="12">
        <f t="shared" ca="1" si="18"/>
        <v>0</v>
      </c>
      <c r="T45" s="12">
        <f t="shared" ca="1" si="18"/>
        <v>0</v>
      </c>
      <c r="U45" s="12">
        <f t="shared" ca="1" si="18"/>
        <v>0</v>
      </c>
      <c r="V45" s="12">
        <f t="shared" ca="1" si="18"/>
        <v>0</v>
      </c>
      <c r="W45" s="12">
        <f t="shared" ca="1" si="18"/>
        <v>0</v>
      </c>
    </row>
    <row r="46" spans="3:23" x14ac:dyDescent="0.15">
      <c r="D46" s="1">
        <v>40</v>
      </c>
      <c r="E46" s="7">
        <v>2</v>
      </c>
      <c r="F46" s="7">
        <f t="shared" si="19"/>
        <v>40</v>
      </c>
      <c r="G46" s="7">
        <v>5</v>
      </c>
      <c r="H46" s="7">
        <v>2</v>
      </c>
      <c r="I46" s="126">
        <v>2</v>
      </c>
      <c r="J46" s="1">
        <f t="shared" ca="1" si="20"/>
        <v>0.69777777777777783</v>
      </c>
      <c r="K46" s="12">
        <f t="shared" ca="1" si="18"/>
        <v>5983.9232864968353</v>
      </c>
      <c r="L46" s="12">
        <f t="shared" ca="1" si="18"/>
        <v>463.08921497326219</v>
      </c>
      <c r="M46" s="12">
        <f t="shared" ca="1" si="18"/>
        <v>200.11018648180257</v>
      </c>
      <c r="N46" s="12">
        <f t="shared" ca="1" si="18"/>
        <v>0</v>
      </c>
      <c r="O46" s="12">
        <f t="shared" ca="1" si="18"/>
        <v>0</v>
      </c>
      <c r="P46" s="12">
        <f t="shared" ca="1" si="18"/>
        <v>0</v>
      </c>
      <c r="Q46" s="12">
        <f t="shared" ca="1" si="18"/>
        <v>0</v>
      </c>
      <c r="R46" s="12">
        <f t="shared" ca="1" si="18"/>
        <v>0</v>
      </c>
      <c r="S46" s="12">
        <f t="shared" ca="1" si="18"/>
        <v>0</v>
      </c>
      <c r="T46" s="12">
        <f t="shared" ca="1" si="18"/>
        <v>0</v>
      </c>
      <c r="U46" s="12">
        <f t="shared" ca="1" si="18"/>
        <v>0</v>
      </c>
      <c r="V46" s="12">
        <f t="shared" ca="1" si="18"/>
        <v>0</v>
      </c>
      <c r="W46" s="12">
        <f t="shared" ca="1" si="18"/>
        <v>0</v>
      </c>
    </row>
    <row r="47" spans="3:23" x14ac:dyDescent="0.15">
      <c r="D47" s="1">
        <v>50</v>
      </c>
      <c r="E47" s="7">
        <v>3</v>
      </c>
      <c r="F47" s="7">
        <f t="shared" si="19"/>
        <v>50</v>
      </c>
      <c r="G47" s="7">
        <v>8</v>
      </c>
      <c r="H47" s="7">
        <v>3</v>
      </c>
      <c r="I47" s="126">
        <v>2</v>
      </c>
      <c r="J47" s="1">
        <f t="shared" ca="1" si="20"/>
        <v>1.4933333333333334</v>
      </c>
      <c r="K47" s="12">
        <f t="shared" ca="1" si="18"/>
        <v>20219.067354858438</v>
      </c>
      <c r="L47" s="12">
        <f t="shared" ca="1" si="18"/>
        <v>1353.8722909090916</v>
      </c>
      <c r="M47" s="12">
        <f t="shared" ca="1" si="18"/>
        <v>585.03551334488759</v>
      </c>
      <c r="N47" s="12">
        <f t="shared" ca="1" si="18"/>
        <v>0</v>
      </c>
      <c r="O47" s="12">
        <f t="shared" ca="1" si="18"/>
        <v>0</v>
      </c>
      <c r="P47" s="12">
        <f t="shared" ca="1" si="18"/>
        <v>0</v>
      </c>
      <c r="Q47" s="12">
        <f t="shared" ca="1" si="18"/>
        <v>0</v>
      </c>
      <c r="R47" s="12">
        <f t="shared" ca="1" si="18"/>
        <v>0</v>
      </c>
      <c r="S47" s="12">
        <f t="shared" ca="1" si="18"/>
        <v>0</v>
      </c>
      <c r="T47" s="12">
        <f t="shared" ca="1" si="18"/>
        <v>0</v>
      </c>
      <c r="U47" s="12">
        <f t="shared" ca="1" si="18"/>
        <v>0</v>
      </c>
      <c r="V47" s="12">
        <f t="shared" ca="1" si="18"/>
        <v>0</v>
      </c>
      <c r="W47" s="12">
        <f t="shared" ca="1" si="18"/>
        <v>0</v>
      </c>
    </row>
    <row r="48" spans="3:23" x14ac:dyDescent="0.15">
      <c r="D48" s="1">
        <v>60</v>
      </c>
      <c r="E48" s="7">
        <v>4</v>
      </c>
      <c r="F48" s="7">
        <f t="shared" si="19"/>
        <v>60</v>
      </c>
      <c r="G48" s="7">
        <v>10</v>
      </c>
      <c r="H48" s="7">
        <v>3</v>
      </c>
      <c r="I48" s="126">
        <v>3</v>
      </c>
      <c r="J48" s="1">
        <f t="shared" ca="1" si="20"/>
        <v>3.9644444444444447</v>
      </c>
      <c r="K48" s="12">
        <f t="shared" ca="1" si="18"/>
        <v>80235.944843532256</v>
      </c>
      <c r="L48" s="12">
        <f t="shared" ca="1" si="18"/>
        <v>4792.2781090909111</v>
      </c>
      <c r="M48" s="12">
        <f t="shared" ca="1" si="18"/>
        <v>2070.83999168111</v>
      </c>
      <c r="N48" s="12">
        <f t="shared" ca="1" si="18"/>
        <v>0</v>
      </c>
      <c r="O48" s="12">
        <f t="shared" ca="1" si="18"/>
        <v>0</v>
      </c>
      <c r="P48" s="12">
        <f t="shared" ca="1" si="18"/>
        <v>0</v>
      </c>
      <c r="Q48" s="12">
        <f t="shared" ca="1" si="18"/>
        <v>0</v>
      </c>
      <c r="R48" s="12">
        <f t="shared" ca="1" si="18"/>
        <v>0</v>
      </c>
      <c r="S48" s="12">
        <f t="shared" ca="1" si="18"/>
        <v>0</v>
      </c>
      <c r="T48" s="12">
        <f t="shared" ca="1" si="18"/>
        <v>0</v>
      </c>
      <c r="U48" s="12">
        <f t="shared" ca="1" si="18"/>
        <v>0</v>
      </c>
      <c r="V48" s="12">
        <f t="shared" ca="1" si="18"/>
        <v>0</v>
      </c>
      <c r="W48" s="12">
        <f t="shared" ca="1" si="18"/>
        <v>0</v>
      </c>
    </row>
    <row r="49" spans="4:23" x14ac:dyDescent="0.15">
      <c r="D49" s="1">
        <v>70</v>
      </c>
      <c r="E49" s="7">
        <v>4</v>
      </c>
      <c r="F49" s="7">
        <f t="shared" si="19"/>
        <v>70</v>
      </c>
      <c r="G49" s="7">
        <v>12</v>
      </c>
      <c r="H49" s="7">
        <v>3</v>
      </c>
      <c r="I49" s="126">
        <v>3</v>
      </c>
      <c r="J49" s="1">
        <f t="shared" ca="1" si="20"/>
        <v>4.16</v>
      </c>
      <c r="K49" s="12">
        <f t="shared" ca="1" si="18"/>
        <v>119740.14391826435</v>
      </c>
      <c r="L49" s="12">
        <f t="shared" ca="1" si="18"/>
        <v>6532.338994652413</v>
      </c>
      <c r="M49" s="12">
        <f t="shared" ca="1" si="18"/>
        <v>2822.7553830156007</v>
      </c>
      <c r="N49" s="12">
        <f t="shared" ca="1" si="18"/>
        <v>0</v>
      </c>
      <c r="O49" s="12">
        <f t="shared" ca="1" si="18"/>
        <v>0</v>
      </c>
      <c r="P49" s="12">
        <f t="shared" ca="1" si="18"/>
        <v>0</v>
      </c>
      <c r="Q49" s="12">
        <f t="shared" ca="1" si="18"/>
        <v>0</v>
      </c>
      <c r="R49" s="12">
        <f t="shared" ca="1" si="18"/>
        <v>0</v>
      </c>
      <c r="S49" s="12">
        <f t="shared" ca="1" si="18"/>
        <v>0</v>
      </c>
      <c r="T49" s="12">
        <f t="shared" ca="1" si="18"/>
        <v>0</v>
      </c>
      <c r="U49" s="12">
        <f t="shared" ca="1" si="18"/>
        <v>0</v>
      </c>
      <c r="V49" s="12">
        <f t="shared" ca="1" si="18"/>
        <v>0</v>
      </c>
      <c r="W49" s="12">
        <f t="shared" ca="1" si="18"/>
        <v>0</v>
      </c>
    </row>
    <row r="50" spans="4:23" x14ac:dyDescent="0.15">
      <c r="D50" s="1">
        <v>80</v>
      </c>
      <c r="E50" s="7">
        <v>5</v>
      </c>
      <c r="F50" s="7">
        <f t="shared" si="19"/>
        <v>80</v>
      </c>
      <c r="G50" s="7">
        <v>10</v>
      </c>
      <c r="H50" s="7">
        <v>10</v>
      </c>
      <c r="I50" s="126">
        <v>4</v>
      </c>
      <c r="J50" s="1">
        <f t="shared" ca="1" si="20"/>
        <v>19.466666666666669</v>
      </c>
      <c r="K50" s="12">
        <f t="shared" ca="1" si="18"/>
        <v>763057.51115956274</v>
      </c>
      <c r="L50" s="12">
        <f t="shared" ca="1" si="18"/>
        <v>38757.912641711242</v>
      </c>
      <c r="M50" s="12">
        <f t="shared" ca="1" si="18"/>
        <v>16748.075480069328</v>
      </c>
      <c r="N50" s="163">
        <f t="shared" ca="1" si="18"/>
        <v>0</v>
      </c>
      <c r="O50" s="163">
        <f t="shared" ca="1" si="18"/>
        <v>0</v>
      </c>
      <c r="P50" s="163">
        <f t="shared" ca="1" si="18"/>
        <v>0</v>
      </c>
      <c r="Q50" s="163">
        <f t="shared" ca="1" si="18"/>
        <v>0</v>
      </c>
      <c r="R50" s="163">
        <f t="shared" ca="1" si="18"/>
        <v>0</v>
      </c>
      <c r="S50" s="163">
        <f t="shared" ca="1" si="18"/>
        <v>0</v>
      </c>
      <c r="T50" s="163">
        <f t="shared" ca="1" si="18"/>
        <v>0</v>
      </c>
      <c r="U50" s="163">
        <f t="shared" ca="1" si="18"/>
        <v>0</v>
      </c>
      <c r="V50" s="163">
        <f t="shared" ca="1" si="18"/>
        <v>0</v>
      </c>
      <c r="W50" s="163">
        <f t="shared" ca="1" si="18"/>
        <v>0</v>
      </c>
    </row>
    <row r="51" spans="4:23" x14ac:dyDescent="0.15">
      <c r="D51" s="1">
        <v>90</v>
      </c>
      <c r="E51" s="7">
        <v>5</v>
      </c>
      <c r="F51" s="7">
        <f t="shared" si="19"/>
        <v>90</v>
      </c>
      <c r="G51" s="7">
        <v>12</v>
      </c>
      <c r="H51" s="7">
        <v>3</v>
      </c>
      <c r="I51" s="126">
        <v>4</v>
      </c>
      <c r="J51" s="1">
        <f t="shared" ca="1" si="20"/>
        <v>8.1333333333333329</v>
      </c>
      <c r="K51" s="12">
        <f t="shared" ca="1" si="18"/>
        <v>417285.96745173901</v>
      </c>
      <c r="L51" s="12">
        <f t="shared" ca="1" si="18"/>
        <v>20048.939807486622</v>
      </c>
      <c r="M51" s="12">
        <f t="shared" ca="1" si="18"/>
        <v>8663.5511126516431</v>
      </c>
      <c r="N51" s="12">
        <f t="shared" ca="1" si="18"/>
        <v>0</v>
      </c>
      <c r="O51" s="12">
        <f t="shared" ca="1" si="18"/>
        <v>0</v>
      </c>
      <c r="P51" s="12">
        <f t="shared" ca="1" si="18"/>
        <v>0</v>
      </c>
      <c r="Q51" s="12">
        <f t="shared" ca="1" si="18"/>
        <v>0</v>
      </c>
      <c r="R51" s="12">
        <f t="shared" ca="1" si="18"/>
        <v>0</v>
      </c>
      <c r="S51" s="12">
        <f t="shared" ca="1" si="18"/>
        <v>0</v>
      </c>
      <c r="T51" s="12">
        <f t="shared" ca="1" si="18"/>
        <v>0</v>
      </c>
      <c r="U51" s="12">
        <f t="shared" ca="1" si="18"/>
        <v>0</v>
      </c>
      <c r="V51" s="12">
        <f t="shared" ca="1" si="18"/>
        <v>0</v>
      </c>
      <c r="W51" s="12">
        <f t="shared" ca="1" si="18"/>
        <v>0</v>
      </c>
    </row>
    <row r="52" spans="4:23" x14ac:dyDescent="0.15">
      <c r="D52" s="1">
        <v>100</v>
      </c>
      <c r="E52" s="7">
        <v>5</v>
      </c>
      <c r="F52" s="7">
        <f t="shared" si="19"/>
        <v>100</v>
      </c>
      <c r="G52" s="7">
        <v>10</v>
      </c>
      <c r="H52" s="7">
        <v>10</v>
      </c>
      <c r="I52" s="126">
        <v>4</v>
      </c>
      <c r="J52" s="1">
        <f t="shared" ca="1" si="20"/>
        <v>20.000000000000004</v>
      </c>
      <c r="K52" s="12">
        <f t="shared" ca="1" si="18"/>
        <v>1276328.4839319463</v>
      </c>
      <c r="L52" s="12">
        <f t="shared" ca="1" si="18"/>
        <v>58781.570053475909</v>
      </c>
      <c r="M52" s="12">
        <f t="shared" ca="1" si="18"/>
        <v>25400.701559792018</v>
      </c>
      <c r="N52" s="12">
        <f t="shared" ca="1" si="18"/>
        <v>0</v>
      </c>
      <c r="O52" s="12">
        <f t="shared" ca="1" si="18"/>
        <v>0</v>
      </c>
      <c r="P52" s="12">
        <f t="shared" ca="1" si="18"/>
        <v>0</v>
      </c>
      <c r="Q52" s="12">
        <f t="shared" ca="1" si="18"/>
        <v>0</v>
      </c>
      <c r="R52" s="12">
        <f t="shared" ca="1" si="18"/>
        <v>0</v>
      </c>
      <c r="S52" s="12">
        <f t="shared" ca="1" si="18"/>
        <v>0</v>
      </c>
      <c r="T52" s="12">
        <f t="shared" ca="1" si="18"/>
        <v>0</v>
      </c>
      <c r="U52" s="12">
        <f t="shared" ca="1" si="18"/>
        <v>0</v>
      </c>
      <c r="V52" s="12">
        <f t="shared" ca="1" si="18"/>
        <v>0</v>
      </c>
      <c r="W52" s="12">
        <f t="shared" ca="1" si="18"/>
        <v>0</v>
      </c>
    </row>
    <row r="54" spans="4:23" x14ac:dyDescent="0.15">
      <c r="N54" s="1"/>
      <c r="O54" s="1"/>
      <c r="P54" s="1"/>
      <c r="Q54" s="1"/>
      <c r="R54" s="1"/>
      <c r="S54" s="1"/>
      <c r="T54" s="1"/>
      <c r="U54" s="39"/>
      <c r="V54" s="39"/>
      <c r="W54" s="39"/>
    </row>
    <row r="55" spans="4:23" x14ac:dyDescent="0.15"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4:23" x14ac:dyDescent="0.15">
      <c r="L56" s="36"/>
      <c r="N56" s="59"/>
      <c r="O56" s="59"/>
      <c r="P56" s="131"/>
      <c r="Q56" s="131"/>
      <c r="R56" s="131"/>
      <c r="S56" s="131"/>
      <c r="T56" s="131"/>
      <c r="U56" s="131"/>
      <c r="V56" s="131"/>
      <c r="W56" s="131"/>
    </row>
    <row r="57" spans="4:23" x14ac:dyDescent="0.15">
      <c r="N57" s="91"/>
      <c r="O57" s="91"/>
      <c r="P57" s="91"/>
      <c r="Q57" s="91"/>
      <c r="R57" s="91"/>
      <c r="S57" s="91"/>
      <c r="T57" s="91"/>
      <c r="U57" s="91"/>
      <c r="V57" s="91"/>
      <c r="W57" s="91"/>
    </row>
    <row r="58" spans="4:23" x14ac:dyDescent="0.15">
      <c r="N58" s="162"/>
      <c r="O58" s="162"/>
      <c r="P58" s="1"/>
      <c r="Q58" s="1"/>
      <c r="R58" s="1"/>
      <c r="S58" s="162"/>
      <c r="T58" s="162"/>
      <c r="U58" s="5"/>
      <c r="V58" s="5"/>
      <c r="W58" s="147"/>
    </row>
    <row r="59" spans="4:23" x14ac:dyDescent="0.15">
      <c r="N59" s="1"/>
      <c r="O59" s="1"/>
      <c r="P59" s="1"/>
      <c r="Q59" s="1"/>
      <c r="R59" s="1"/>
      <c r="S59" s="1"/>
      <c r="T59" s="1"/>
      <c r="U59" s="5"/>
      <c r="V59" s="5"/>
      <c r="W59" s="5"/>
    </row>
  </sheetData>
  <phoneticPr fontId="1" type="noConversion"/>
  <conditionalFormatting sqref="B24:B27 B29:B32">
    <cfRule type="cellIs" dxfId="9" priority="6" operator="equal">
      <formula>5</formula>
    </cfRule>
    <cfRule type="cellIs" dxfId="8" priority="7" operator="equal">
      <formula>4</formula>
    </cfRule>
    <cfRule type="cellIs" dxfId="7" priority="8" operator="equal">
      <formula>3</formula>
    </cfRule>
    <cfRule type="cellIs" dxfId="6" priority="9" operator="equal">
      <formula>1</formula>
    </cfRule>
    <cfRule type="cellIs" dxfId="5" priority="10" operator="equal">
      <formula>2</formula>
    </cfRule>
  </conditionalFormatting>
  <conditionalFormatting sqref="I41:I52">
    <cfRule type="cellIs" dxfId="4" priority="1" operator="equal">
      <formula>5</formula>
    </cfRule>
    <cfRule type="cellIs" dxfId="3" priority="2" operator="equal">
      <formula>4</formula>
    </cfRule>
    <cfRule type="cellIs" dxfId="2" priority="3" operator="equal">
      <formula>3</formula>
    </cfRule>
    <cfRule type="cellIs" dxfId="1" priority="4" operator="equal">
      <formula>1</formula>
    </cfRule>
    <cfRule type="cellIs" dxfId="0" priority="5" operator="equal">
      <formula>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30"/>
  <sheetViews>
    <sheetView workbookViewId="0">
      <selection activeCell="G11" sqref="G11"/>
    </sheetView>
  </sheetViews>
  <sheetFormatPr defaultRowHeight="13.5" x14ac:dyDescent="0.15"/>
  <cols>
    <col min="1" max="1" width="18.375" bestFit="1" customWidth="1"/>
    <col min="13" max="13" width="12.75" bestFit="1" customWidth="1"/>
    <col min="21" max="21" width="13.875" bestFit="1" customWidth="1"/>
    <col min="22" max="23" width="11.625" bestFit="1" customWidth="1"/>
  </cols>
  <sheetData>
    <row r="1" spans="1:23" x14ac:dyDescent="0.15">
      <c r="A1" s="1" t="s">
        <v>144</v>
      </c>
      <c r="B1" s="1">
        <f>'2、属性成长'!J3</f>
        <v>0.3</v>
      </c>
    </row>
    <row r="2" spans="1:23" x14ac:dyDescent="0.15">
      <c r="A2" s="1" t="s">
        <v>145</v>
      </c>
      <c r="B2" s="1">
        <v>10</v>
      </c>
    </row>
    <row r="3" spans="1:23" x14ac:dyDescent="0.15">
      <c r="A3" t="s">
        <v>290</v>
      </c>
      <c r="B3" t="s">
        <v>300</v>
      </c>
      <c r="D3" s="1" t="s">
        <v>146</v>
      </c>
      <c r="E3" s="1" t="s">
        <v>68</v>
      </c>
      <c r="F3" s="1" t="s">
        <v>55</v>
      </c>
      <c r="K3" s="59">
        <v>2</v>
      </c>
      <c r="L3" s="59">
        <v>3</v>
      </c>
      <c r="M3" s="59">
        <v>4</v>
      </c>
      <c r="N3" s="59">
        <v>5</v>
      </c>
      <c r="O3" s="59">
        <v>6</v>
      </c>
      <c r="P3" s="59">
        <v>7</v>
      </c>
      <c r="Q3" s="59">
        <v>8</v>
      </c>
      <c r="R3" s="59">
        <v>9</v>
      </c>
      <c r="S3" s="59">
        <v>10</v>
      </c>
      <c r="T3" s="59">
        <v>11</v>
      </c>
      <c r="U3" s="59">
        <v>12</v>
      </c>
      <c r="V3" s="59">
        <v>13</v>
      </c>
      <c r="W3" s="59">
        <v>14</v>
      </c>
    </row>
    <row r="4" spans="1:23" x14ac:dyDescent="0.15">
      <c r="D4" s="1">
        <v>0</v>
      </c>
      <c r="E4" s="1">
        <v>0</v>
      </c>
      <c r="F4" s="1">
        <v>0</v>
      </c>
      <c r="H4" s="1" t="s">
        <v>60</v>
      </c>
      <c r="I4" s="1" t="s">
        <v>147</v>
      </c>
      <c r="J4" s="1" t="s">
        <v>148</v>
      </c>
      <c r="K4" s="9" t="str">
        <f>各种公式!C12</f>
        <v>生命</v>
      </c>
      <c r="L4" s="9" t="str">
        <f>各种公式!D12</f>
        <v>攻击</v>
      </c>
      <c r="M4" s="9" t="str">
        <f>各种公式!E12</f>
        <v>防御</v>
      </c>
      <c r="N4" s="9" t="str">
        <f>各种公式!F12</f>
        <v>闪避值</v>
      </c>
      <c r="O4" s="9" t="str">
        <f>各种公式!G12</f>
        <v>命中值</v>
      </c>
      <c r="P4" s="9" t="str">
        <f>各种公式!H12</f>
        <v>暴击值</v>
      </c>
      <c r="Q4" s="9" t="str">
        <f>各种公式!I12</f>
        <v>暴击倍数</v>
      </c>
      <c r="R4" s="9" t="str">
        <f>各种公式!J12</f>
        <v>韧性值</v>
      </c>
      <c r="S4" s="9" t="str">
        <f>各种公式!K12</f>
        <v>伤害减免</v>
      </c>
      <c r="T4" s="9" t="str">
        <f>各种公式!L12</f>
        <v>伤害加深</v>
      </c>
      <c r="U4" s="9" t="str">
        <f>各种公式!M12</f>
        <v>生命加成</v>
      </c>
      <c r="V4" s="9" t="str">
        <f>各种公式!N12</f>
        <v>攻击加成</v>
      </c>
      <c r="W4" s="9" t="str">
        <f>各种公式!O12</f>
        <v>防御加成</v>
      </c>
    </row>
    <row r="5" spans="1:23" x14ac:dyDescent="0.15">
      <c r="D5" s="1">
        <v>1</v>
      </c>
      <c r="E5" s="1">
        <f t="shared" ref="E5:E12" si="0">E6/1.2</f>
        <v>0.19380669946781492</v>
      </c>
      <c r="F5" s="1">
        <f t="shared" ref="F5:F12" si="1">E5*$F$14</f>
        <v>5.8142009840344476E-2</v>
      </c>
      <c r="H5" s="1">
        <v>0</v>
      </c>
      <c r="I5" s="1">
        <v>0</v>
      </c>
      <c r="J5" s="1">
        <f>VLOOKUP(I5,D3:F14,3,FALSE)</f>
        <v>0</v>
      </c>
      <c r="K5" s="34">
        <v>0</v>
      </c>
      <c r="L5" s="34">
        <v>0</v>
      </c>
      <c r="M5" s="34">
        <v>0</v>
      </c>
      <c r="N5" s="34">
        <v>0</v>
      </c>
      <c r="O5" s="34">
        <v>0</v>
      </c>
      <c r="P5" s="34">
        <v>0</v>
      </c>
      <c r="Q5" s="34">
        <v>0</v>
      </c>
      <c r="R5" s="34">
        <v>0</v>
      </c>
      <c r="S5" s="34">
        <v>0</v>
      </c>
      <c r="T5" s="34">
        <v>0</v>
      </c>
      <c r="U5" s="34">
        <v>0</v>
      </c>
      <c r="V5" s="34">
        <v>0</v>
      </c>
      <c r="W5" s="34">
        <v>0</v>
      </c>
    </row>
    <row r="6" spans="1:23" x14ac:dyDescent="0.15">
      <c r="D6" s="1">
        <v>2</v>
      </c>
      <c r="E6" s="1">
        <f t="shared" si="0"/>
        <v>0.2325680393613779</v>
      </c>
      <c r="F6" s="1">
        <f t="shared" si="1"/>
        <v>6.9770411808413368E-2</v>
      </c>
      <c r="H6" s="1">
        <v>1</v>
      </c>
      <c r="I6" s="1">
        <v>0</v>
      </c>
      <c r="J6" s="1">
        <f t="shared" ref="J6" si="2">VLOOKUP(I6,D4:F15,3,FALSE)</f>
        <v>0</v>
      </c>
      <c r="K6" s="34">
        <f t="shared" ref="K6:W16" si="3">VLOOKUP($H6,总属性参考数组,K$3,FALSE)*VLOOKUP($B$3,属性权重数组,K$3,FALSE)*$J6/$B$1</f>
        <v>0</v>
      </c>
      <c r="L6" s="34">
        <f t="shared" si="3"/>
        <v>0</v>
      </c>
      <c r="M6" s="34">
        <f t="shared" si="3"/>
        <v>0</v>
      </c>
      <c r="N6" s="34">
        <f t="shared" si="3"/>
        <v>0</v>
      </c>
      <c r="O6" s="34">
        <f t="shared" si="3"/>
        <v>0</v>
      </c>
      <c r="P6" s="34">
        <f t="shared" si="3"/>
        <v>0</v>
      </c>
      <c r="Q6" s="34">
        <f t="shared" si="3"/>
        <v>0</v>
      </c>
      <c r="R6" s="34">
        <f t="shared" si="3"/>
        <v>0</v>
      </c>
      <c r="S6" s="34">
        <f t="shared" si="3"/>
        <v>0</v>
      </c>
      <c r="T6" s="34">
        <v>0</v>
      </c>
      <c r="U6" s="34">
        <v>0</v>
      </c>
      <c r="V6" s="34">
        <v>0</v>
      </c>
      <c r="W6" s="34">
        <v>0</v>
      </c>
    </row>
    <row r="7" spans="1:23" x14ac:dyDescent="0.15">
      <c r="D7" s="1">
        <v>3</v>
      </c>
      <c r="E7" s="1">
        <f t="shared" si="0"/>
        <v>0.27908164723365347</v>
      </c>
      <c r="F7" s="1">
        <f t="shared" si="1"/>
        <v>8.3724494170096045E-2</v>
      </c>
      <c r="H7" s="1">
        <v>10</v>
      </c>
      <c r="I7" s="1">
        <v>1</v>
      </c>
      <c r="J7" s="1">
        <f>VLOOKUP(I7,$D$3:$F$14,3,FALSE)</f>
        <v>5.8142009840344476E-2</v>
      </c>
      <c r="K7" s="34">
        <f>VLOOKUP($H7,总属性参考数组,K$3,FALSE)*VLOOKUP($B$3,属性权重数组,K$3,FALSE)*$J7/$B$1</f>
        <v>81.735470837024181</v>
      </c>
      <c r="L7" s="34">
        <f t="shared" si="3"/>
        <v>11.48413516290355</v>
      </c>
      <c r="M7" s="34">
        <f t="shared" si="3"/>
        <v>4.9625263442240639</v>
      </c>
      <c r="N7" s="34">
        <f t="shared" si="3"/>
        <v>0</v>
      </c>
      <c r="O7" s="34">
        <f t="shared" si="3"/>
        <v>0</v>
      </c>
      <c r="P7" s="34">
        <f t="shared" si="3"/>
        <v>0</v>
      </c>
      <c r="Q7" s="34">
        <f t="shared" si="3"/>
        <v>0</v>
      </c>
      <c r="R7" s="34">
        <f t="shared" si="3"/>
        <v>0</v>
      </c>
      <c r="S7" s="34">
        <f t="shared" si="3"/>
        <v>0</v>
      </c>
      <c r="T7" s="34">
        <f t="shared" si="3"/>
        <v>0</v>
      </c>
      <c r="U7" s="34">
        <f t="shared" si="3"/>
        <v>0</v>
      </c>
      <c r="V7" s="34">
        <f t="shared" si="3"/>
        <v>0</v>
      </c>
      <c r="W7" s="34">
        <f t="shared" si="3"/>
        <v>0</v>
      </c>
    </row>
    <row r="8" spans="1:23" x14ac:dyDescent="0.15">
      <c r="D8" s="1">
        <v>4</v>
      </c>
      <c r="E8" s="1">
        <f t="shared" si="0"/>
        <v>0.33489797668038418</v>
      </c>
      <c r="F8" s="1">
        <f t="shared" si="1"/>
        <v>0.10046939300411525</v>
      </c>
      <c r="H8" s="1">
        <v>20</v>
      </c>
      <c r="I8" s="1">
        <v>2</v>
      </c>
      <c r="J8" s="1">
        <f t="shared" ref="J8:J16" si="4">VLOOKUP(I8,$D$3:$F$14,3,FALSE)</f>
        <v>6.9770411808413368E-2</v>
      </c>
      <c r="K8" s="34">
        <f t="shared" si="3"/>
        <v>207.90887234000851</v>
      </c>
      <c r="L8" s="34">
        <f t="shared" si="3"/>
        <v>20.671443293226389</v>
      </c>
      <c r="M8" s="34">
        <f t="shared" si="3"/>
        <v>8.932547419603317</v>
      </c>
      <c r="N8" s="34">
        <f t="shared" si="3"/>
        <v>0</v>
      </c>
      <c r="O8" s="34">
        <f t="shared" si="3"/>
        <v>0</v>
      </c>
      <c r="P8" s="34">
        <f t="shared" si="3"/>
        <v>0</v>
      </c>
      <c r="Q8" s="34">
        <f t="shared" si="3"/>
        <v>0</v>
      </c>
      <c r="R8" s="34">
        <f t="shared" si="3"/>
        <v>0</v>
      </c>
      <c r="S8" s="34">
        <f t="shared" si="3"/>
        <v>0</v>
      </c>
      <c r="T8" s="34">
        <f t="shared" si="3"/>
        <v>0</v>
      </c>
      <c r="U8" s="34">
        <f t="shared" si="3"/>
        <v>0</v>
      </c>
      <c r="V8" s="34">
        <f t="shared" si="3"/>
        <v>0</v>
      </c>
      <c r="W8" s="34">
        <f t="shared" si="3"/>
        <v>0</v>
      </c>
    </row>
    <row r="9" spans="1:23" x14ac:dyDescent="0.15">
      <c r="D9" s="1">
        <v>5</v>
      </c>
      <c r="E9" s="1">
        <f t="shared" si="0"/>
        <v>0.40187757201646102</v>
      </c>
      <c r="F9" s="1">
        <f t="shared" si="1"/>
        <v>0.12056327160493829</v>
      </c>
      <c r="H9" s="1">
        <v>30</v>
      </c>
      <c r="I9" s="1">
        <v>4</v>
      </c>
      <c r="J9" s="1">
        <f t="shared" si="4"/>
        <v>0.10046939300411525</v>
      </c>
      <c r="K9" s="34">
        <f t="shared" si="3"/>
        <v>517.41126167959703</v>
      </c>
      <c r="L9" s="34">
        <f t="shared" si="3"/>
        <v>40.185285762032123</v>
      </c>
      <c r="M9" s="34">
        <f t="shared" si="3"/>
        <v>17.364872183708851</v>
      </c>
      <c r="N9" s="34">
        <f t="shared" si="3"/>
        <v>0</v>
      </c>
      <c r="O9" s="34">
        <f t="shared" si="3"/>
        <v>0</v>
      </c>
      <c r="P9" s="34">
        <f t="shared" si="3"/>
        <v>0</v>
      </c>
      <c r="Q9" s="34">
        <f t="shared" si="3"/>
        <v>0</v>
      </c>
      <c r="R9" s="34">
        <f t="shared" si="3"/>
        <v>0</v>
      </c>
      <c r="S9" s="34">
        <f t="shared" si="3"/>
        <v>0</v>
      </c>
      <c r="T9" s="34">
        <f t="shared" si="3"/>
        <v>0</v>
      </c>
      <c r="U9" s="34">
        <f t="shared" si="3"/>
        <v>0</v>
      </c>
      <c r="V9" s="34">
        <f t="shared" si="3"/>
        <v>0</v>
      </c>
      <c r="W9" s="34">
        <f t="shared" si="3"/>
        <v>0</v>
      </c>
    </row>
    <row r="10" spans="1:23" x14ac:dyDescent="0.15">
      <c r="D10" s="1">
        <v>6</v>
      </c>
      <c r="E10" s="1">
        <f t="shared" si="0"/>
        <v>0.48225308641975323</v>
      </c>
      <c r="F10" s="1">
        <f t="shared" si="1"/>
        <v>0.14467592592592596</v>
      </c>
      <c r="H10" s="1">
        <v>40</v>
      </c>
      <c r="I10" s="1">
        <v>6</v>
      </c>
      <c r="J10" s="1">
        <f t="shared" si="4"/>
        <v>0.14467592592592596</v>
      </c>
      <c r="K10" s="34">
        <f t="shared" si="3"/>
        <v>1240.6953470211395</v>
      </c>
      <c r="L10" s="34">
        <f t="shared" si="3"/>
        <v>80.013368983957278</v>
      </c>
      <c r="M10" s="34">
        <f t="shared" si="3"/>
        <v>34.575389948006958</v>
      </c>
      <c r="N10" s="34">
        <f t="shared" si="3"/>
        <v>0</v>
      </c>
      <c r="O10" s="34">
        <f t="shared" si="3"/>
        <v>0</v>
      </c>
      <c r="P10" s="34">
        <f t="shared" si="3"/>
        <v>0</v>
      </c>
      <c r="Q10" s="34">
        <f t="shared" si="3"/>
        <v>0</v>
      </c>
      <c r="R10" s="34">
        <f t="shared" si="3"/>
        <v>0</v>
      </c>
      <c r="S10" s="34">
        <f t="shared" si="3"/>
        <v>0</v>
      </c>
      <c r="T10" s="34">
        <f t="shared" si="3"/>
        <v>0</v>
      </c>
      <c r="U10" s="34">
        <f t="shared" si="3"/>
        <v>0</v>
      </c>
      <c r="V10" s="34">
        <f t="shared" si="3"/>
        <v>0</v>
      </c>
      <c r="W10" s="34">
        <f t="shared" si="3"/>
        <v>0</v>
      </c>
    </row>
    <row r="11" spans="1:23" x14ac:dyDescent="0.15">
      <c r="D11" s="1">
        <v>7</v>
      </c>
      <c r="E11" s="1">
        <f t="shared" si="0"/>
        <v>0.57870370370370383</v>
      </c>
      <c r="F11" s="1">
        <f t="shared" si="1"/>
        <v>0.17361111111111113</v>
      </c>
      <c r="H11" s="1">
        <v>50</v>
      </c>
      <c r="I11" s="1">
        <v>8</v>
      </c>
      <c r="J11" s="1">
        <f t="shared" si="4"/>
        <v>0.20833333333333334</v>
      </c>
      <c r="K11" s="34">
        <f t="shared" si="3"/>
        <v>2820.7404233898492</v>
      </c>
      <c r="L11" s="34">
        <f t="shared" si="3"/>
        <v>157.39772727272734</v>
      </c>
      <c r="M11" s="34">
        <f t="shared" si="3"/>
        <v>68.014731369150809</v>
      </c>
      <c r="N11" s="34">
        <f t="shared" si="3"/>
        <v>0</v>
      </c>
      <c r="O11" s="34">
        <f t="shared" si="3"/>
        <v>0</v>
      </c>
      <c r="P11" s="34">
        <f t="shared" si="3"/>
        <v>0</v>
      </c>
      <c r="Q11" s="34">
        <f t="shared" si="3"/>
        <v>0</v>
      </c>
      <c r="R11" s="34">
        <f t="shared" si="3"/>
        <v>0</v>
      </c>
      <c r="S11" s="34">
        <f t="shared" si="3"/>
        <v>0</v>
      </c>
      <c r="T11" s="34">
        <f t="shared" si="3"/>
        <v>0</v>
      </c>
      <c r="U11" s="34">
        <f t="shared" si="3"/>
        <v>0</v>
      </c>
      <c r="V11" s="34">
        <f t="shared" si="3"/>
        <v>0</v>
      </c>
      <c r="W11" s="34">
        <f t="shared" si="3"/>
        <v>0</v>
      </c>
    </row>
    <row r="12" spans="1:23" x14ac:dyDescent="0.15">
      <c r="D12" s="1">
        <v>8</v>
      </c>
      <c r="E12" s="1">
        <f t="shared" si="0"/>
        <v>0.69444444444444453</v>
      </c>
      <c r="F12" s="1">
        <f t="shared" si="1"/>
        <v>0.20833333333333334</v>
      </c>
      <c r="H12" s="1">
        <v>60</v>
      </c>
      <c r="I12" s="1">
        <v>9</v>
      </c>
      <c r="J12" s="1">
        <f t="shared" si="4"/>
        <v>0.25</v>
      </c>
      <c r="K12" s="34">
        <f t="shared" si="3"/>
        <v>5059.7218581263332</v>
      </c>
      <c r="L12" s="34">
        <f t="shared" si="3"/>
        <v>251.83636363636373</v>
      </c>
      <c r="M12" s="34">
        <f t="shared" si="3"/>
        <v>108.82357019064129</v>
      </c>
      <c r="N12" s="34">
        <f t="shared" si="3"/>
        <v>0</v>
      </c>
      <c r="O12" s="34">
        <f t="shared" si="3"/>
        <v>0</v>
      </c>
      <c r="P12" s="34">
        <f t="shared" si="3"/>
        <v>0</v>
      </c>
      <c r="Q12" s="34">
        <f t="shared" si="3"/>
        <v>0</v>
      </c>
      <c r="R12" s="34">
        <f t="shared" si="3"/>
        <v>0</v>
      </c>
      <c r="S12" s="34">
        <f t="shared" si="3"/>
        <v>0</v>
      </c>
      <c r="T12" s="34">
        <f t="shared" si="3"/>
        <v>0</v>
      </c>
      <c r="U12" s="34">
        <f t="shared" si="3"/>
        <v>0</v>
      </c>
      <c r="V12" s="34">
        <f t="shared" si="3"/>
        <v>0</v>
      </c>
      <c r="W12" s="34">
        <f t="shared" si="3"/>
        <v>0</v>
      </c>
    </row>
    <row r="13" spans="1:23" x14ac:dyDescent="0.15">
      <c r="D13" s="1">
        <v>9</v>
      </c>
      <c r="E13" s="1">
        <f>E14/1.2</f>
        <v>0.83333333333333337</v>
      </c>
      <c r="F13" s="1">
        <f>E13*$F$14</f>
        <v>0.25</v>
      </c>
      <c r="H13" s="1">
        <v>70</v>
      </c>
      <c r="I13" s="1">
        <v>10</v>
      </c>
      <c r="J13" s="1">
        <f t="shared" si="4"/>
        <v>0.3</v>
      </c>
      <c r="K13" s="34">
        <f t="shared" si="3"/>
        <v>8635.1065325671407</v>
      </c>
      <c r="L13" s="34">
        <f t="shared" si="3"/>
        <v>392.56844919786136</v>
      </c>
      <c r="M13" s="34">
        <f t="shared" si="3"/>
        <v>169.63674176776445</v>
      </c>
      <c r="N13" s="34">
        <f t="shared" si="3"/>
        <v>0</v>
      </c>
      <c r="O13" s="34">
        <f t="shared" si="3"/>
        <v>0</v>
      </c>
      <c r="P13" s="34">
        <f t="shared" si="3"/>
        <v>0</v>
      </c>
      <c r="Q13" s="34">
        <f t="shared" si="3"/>
        <v>0</v>
      </c>
      <c r="R13" s="34">
        <f t="shared" si="3"/>
        <v>0</v>
      </c>
      <c r="S13" s="34">
        <f t="shared" si="3"/>
        <v>0</v>
      </c>
      <c r="T13" s="34">
        <f t="shared" si="3"/>
        <v>0</v>
      </c>
      <c r="U13" s="34">
        <f t="shared" si="3"/>
        <v>0</v>
      </c>
      <c r="V13" s="34">
        <f t="shared" si="3"/>
        <v>0</v>
      </c>
      <c r="W13" s="34">
        <f t="shared" si="3"/>
        <v>0</v>
      </c>
    </row>
    <row r="14" spans="1:23" x14ac:dyDescent="0.15">
      <c r="D14" s="1">
        <v>10</v>
      </c>
      <c r="E14" s="1">
        <v>1</v>
      </c>
      <c r="F14" s="1">
        <f>B1</f>
        <v>0.3</v>
      </c>
      <c r="H14" s="1">
        <v>80</v>
      </c>
      <c r="I14" s="1">
        <v>10</v>
      </c>
      <c r="J14" s="1">
        <f t="shared" si="4"/>
        <v>0.3</v>
      </c>
      <c r="K14" s="34">
        <f t="shared" si="3"/>
        <v>11759.447945952166</v>
      </c>
      <c r="L14" s="34">
        <f t="shared" si="3"/>
        <v>497.74716577540119</v>
      </c>
      <c r="M14" s="34">
        <f t="shared" si="3"/>
        <v>215.08658578856156</v>
      </c>
      <c r="N14" s="34">
        <f t="shared" si="3"/>
        <v>0</v>
      </c>
      <c r="O14" s="34">
        <f t="shared" si="3"/>
        <v>0</v>
      </c>
      <c r="P14" s="34">
        <f t="shared" si="3"/>
        <v>0</v>
      </c>
      <c r="Q14" s="34">
        <f t="shared" si="3"/>
        <v>0</v>
      </c>
      <c r="R14" s="34">
        <f t="shared" si="3"/>
        <v>0</v>
      </c>
      <c r="S14" s="34">
        <f t="shared" si="3"/>
        <v>0</v>
      </c>
      <c r="T14" s="34">
        <f t="shared" si="3"/>
        <v>0</v>
      </c>
      <c r="U14" s="34">
        <f t="shared" si="3"/>
        <v>0</v>
      </c>
      <c r="V14" s="34">
        <f t="shared" si="3"/>
        <v>0</v>
      </c>
      <c r="W14" s="34">
        <f t="shared" si="3"/>
        <v>0</v>
      </c>
    </row>
    <row r="15" spans="1:23" x14ac:dyDescent="0.15">
      <c r="H15" s="1">
        <v>90</v>
      </c>
      <c r="I15" s="1">
        <v>10</v>
      </c>
      <c r="J15" s="1">
        <f t="shared" si="4"/>
        <v>0.3</v>
      </c>
      <c r="K15" s="34">
        <f t="shared" si="3"/>
        <v>15391.695520760868</v>
      </c>
      <c r="L15" s="34">
        <f t="shared" si="3"/>
        <v>616.2583957219249</v>
      </c>
      <c r="M15" s="34">
        <f t="shared" si="3"/>
        <v>266.29767764298083</v>
      </c>
      <c r="N15" s="34">
        <f t="shared" si="3"/>
        <v>0</v>
      </c>
      <c r="O15" s="34">
        <f t="shared" si="3"/>
        <v>0</v>
      </c>
      <c r="P15" s="34">
        <f t="shared" si="3"/>
        <v>0</v>
      </c>
      <c r="Q15" s="34">
        <f t="shared" si="3"/>
        <v>0</v>
      </c>
      <c r="R15" s="34">
        <f t="shared" si="3"/>
        <v>0</v>
      </c>
      <c r="S15" s="34">
        <f t="shared" si="3"/>
        <v>0</v>
      </c>
      <c r="T15" s="34">
        <f t="shared" si="3"/>
        <v>0</v>
      </c>
      <c r="U15" s="34">
        <f t="shared" si="3"/>
        <v>0</v>
      </c>
      <c r="V15" s="34">
        <f t="shared" si="3"/>
        <v>0</v>
      </c>
      <c r="W15" s="34">
        <f t="shared" si="3"/>
        <v>0</v>
      </c>
    </row>
    <row r="16" spans="1:23" x14ac:dyDescent="0.15">
      <c r="H16" s="1">
        <v>100</v>
      </c>
      <c r="I16" s="1">
        <v>10</v>
      </c>
      <c r="J16" s="1">
        <f t="shared" si="4"/>
        <v>0.3</v>
      </c>
      <c r="K16" s="34">
        <f t="shared" si="3"/>
        <v>19144.927258979194</v>
      </c>
      <c r="L16" s="34">
        <f t="shared" si="3"/>
        <v>734.76962566844873</v>
      </c>
      <c r="M16" s="34">
        <f t="shared" si="3"/>
        <v>317.50876949740012</v>
      </c>
      <c r="N16" s="34">
        <f t="shared" si="3"/>
        <v>0</v>
      </c>
      <c r="O16" s="34">
        <f t="shared" si="3"/>
        <v>0</v>
      </c>
      <c r="P16" s="34">
        <f t="shared" si="3"/>
        <v>0</v>
      </c>
      <c r="Q16" s="34">
        <f t="shared" si="3"/>
        <v>0</v>
      </c>
      <c r="R16" s="34">
        <f t="shared" si="3"/>
        <v>0</v>
      </c>
      <c r="S16" s="34">
        <f t="shared" si="3"/>
        <v>0</v>
      </c>
      <c r="T16" s="34">
        <f t="shared" si="3"/>
        <v>0</v>
      </c>
      <c r="U16" s="34">
        <f t="shared" si="3"/>
        <v>0</v>
      </c>
      <c r="V16" s="34">
        <f t="shared" si="3"/>
        <v>0</v>
      </c>
      <c r="W16" s="34">
        <f t="shared" si="3"/>
        <v>0</v>
      </c>
    </row>
    <row r="19" spans="4:19" x14ac:dyDescent="0.15">
      <c r="G19" s="59">
        <v>2</v>
      </c>
      <c r="H19" s="59">
        <v>3</v>
      </c>
      <c r="I19" s="59">
        <v>4</v>
      </c>
      <c r="J19" s="59">
        <v>5</v>
      </c>
      <c r="K19" s="59">
        <v>6</v>
      </c>
      <c r="L19" s="59">
        <v>7</v>
      </c>
      <c r="M19" s="59">
        <v>8</v>
      </c>
      <c r="N19" s="59">
        <v>9</v>
      </c>
      <c r="O19" s="59">
        <v>10</v>
      </c>
      <c r="P19" s="59">
        <v>11</v>
      </c>
      <c r="Q19" s="59">
        <v>12</v>
      </c>
      <c r="R19" s="59">
        <v>13</v>
      </c>
      <c r="S19" s="59">
        <v>14</v>
      </c>
    </row>
    <row r="20" spans="4:19" x14ac:dyDescent="0.15">
      <c r="D20" s="1" t="s">
        <v>358</v>
      </c>
      <c r="E20" s="1" t="s">
        <v>359</v>
      </c>
      <c r="F20" s="1" t="s">
        <v>360</v>
      </c>
      <c r="G20" s="9" t="str">
        <f>各种公式!C12</f>
        <v>生命</v>
      </c>
      <c r="H20" s="9" t="str">
        <f>各种公式!D12</f>
        <v>攻击</v>
      </c>
      <c r="I20" s="9" t="str">
        <f>各种公式!E12</f>
        <v>防御</v>
      </c>
      <c r="J20" s="9" t="str">
        <f>各种公式!F12</f>
        <v>闪避值</v>
      </c>
      <c r="K20" s="9" t="str">
        <f>各种公式!G12</f>
        <v>命中值</v>
      </c>
      <c r="L20" s="9" t="str">
        <f>各种公式!H12</f>
        <v>暴击值</v>
      </c>
      <c r="M20" s="9" t="str">
        <f>各种公式!I12</f>
        <v>暴击倍数</v>
      </c>
      <c r="N20" s="9" t="str">
        <f>各种公式!J12</f>
        <v>韧性值</v>
      </c>
      <c r="O20" s="9" t="str">
        <f>各种公式!K12</f>
        <v>伤害减免</v>
      </c>
      <c r="P20" s="9" t="str">
        <f>各种公式!L12</f>
        <v>伤害加深</v>
      </c>
      <c r="Q20" s="9" t="str">
        <f>各种公式!M12</f>
        <v>生命加成</v>
      </c>
      <c r="R20" s="9" t="str">
        <f>各种公式!N12</f>
        <v>攻击加成</v>
      </c>
      <c r="S20" s="9" t="str">
        <f>各种公式!O12</f>
        <v>防御加成</v>
      </c>
    </row>
    <row r="21" spans="4:19" x14ac:dyDescent="0.15">
      <c r="D21" s="1">
        <v>80</v>
      </c>
      <c r="E21" s="1">
        <v>1</v>
      </c>
      <c r="F21" s="1">
        <f>VLOOKUP(E21,$D$3:$F$14,3,FALSE)</f>
        <v>5.8142009840344476E-2</v>
      </c>
      <c r="G21" s="34">
        <f t="shared" ref="G21:S30" si="5">VLOOKUP($D21,总属性参考数组,G$19,FALSE)*VLOOKUP($B$3,属性权重数组,G$19,FALSE)*$F21/$B$1</f>
        <v>2279.0597939685649</v>
      </c>
      <c r="H21" s="34">
        <f t="shared" si="5"/>
        <v>96.466735368389834</v>
      </c>
      <c r="I21" s="34">
        <f t="shared" si="5"/>
        <v>41.685221291482144</v>
      </c>
      <c r="J21" s="34">
        <f t="shared" si="5"/>
        <v>0</v>
      </c>
      <c r="K21" s="34">
        <f t="shared" si="5"/>
        <v>0</v>
      </c>
      <c r="L21" s="34">
        <f t="shared" si="5"/>
        <v>0</v>
      </c>
      <c r="M21" s="34">
        <f t="shared" si="5"/>
        <v>0</v>
      </c>
      <c r="N21" s="34">
        <f t="shared" si="5"/>
        <v>0</v>
      </c>
      <c r="O21" s="34">
        <f t="shared" si="5"/>
        <v>0</v>
      </c>
      <c r="P21" s="34">
        <f t="shared" si="5"/>
        <v>0</v>
      </c>
      <c r="Q21" s="34">
        <f>VLOOKUP($D21,总属性参考数组,Q$19,FALSE)*VLOOKUP($B$3,属性权重数组,Q$19,FALSE)*$F21/$B$1</f>
        <v>0</v>
      </c>
      <c r="R21" s="34">
        <f t="shared" si="5"/>
        <v>0</v>
      </c>
      <c r="S21" s="34">
        <f t="shared" si="5"/>
        <v>0</v>
      </c>
    </row>
    <row r="22" spans="4:19" x14ac:dyDescent="0.15">
      <c r="D22" s="1">
        <v>80</v>
      </c>
      <c r="E22" s="1">
        <v>2</v>
      </c>
      <c r="F22" s="1">
        <f t="shared" ref="F22:F30" si="6">VLOOKUP(E22,$D$3:$F$14,3,FALSE)</f>
        <v>6.9770411808413368E-2</v>
      </c>
      <c r="G22" s="34">
        <f t="shared" si="5"/>
        <v>2734.871752762278</v>
      </c>
      <c r="H22" s="34">
        <f t="shared" si="5"/>
        <v>115.76008244206781</v>
      </c>
      <c r="I22" s="34">
        <f t="shared" si="5"/>
        <v>50.022265549778574</v>
      </c>
      <c r="J22" s="34">
        <f t="shared" si="5"/>
        <v>0</v>
      </c>
      <c r="K22" s="34">
        <f t="shared" si="5"/>
        <v>0</v>
      </c>
      <c r="L22" s="34">
        <f t="shared" si="5"/>
        <v>0</v>
      </c>
      <c r="M22" s="34">
        <f t="shared" si="5"/>
        <v>0</v>
      </c>
      <c r="N22" s="34">
        <f t="shared" si="5"/>
        <v>0</v>
      </c>
      <c r="O22" s="34">
        <f t="shared" si="5"/>
        <v>0</v>
      </c>
      <c r="P22" s="34">
        <f t="shared" si="5"/>
        <v>0</v>
      </c>
      <c r="Q22" s="34">
        <f t="shared" si="5"/>
        <v>0</v>
      </c>
      <c r="R22" s="34">
        <f t="shared" si="5"/>
        <v>0</v>
      </c>
      <c r="S22" s="34">
        <f t="shared" si="5"/>
        <v>0</v>
      </c>
    </row>
    <row r="23" spans="4:19" x14ac:dyDescent="0.15">
      <c r="D23" s="1">
        <v>80</v>
      </c>
      <c r="E23" s="1">
        <v>3</v>
      </c>
      <c r="F23" s="1">
        <f t="shared" si="6"/>
        <v>8.3724494170096045E-2</v>
      </c>
      <c r="G23" s="34">
        <f t="shared" si="5"/>
        <v>3281.8461033147337</v>
      </c>
      <c r="H23" s="34">
        <f t="shared" si="5"/>
        <v>138.91209893048136</v>
      </c>
      <c r="I23" s="34">
        <f t="shared" si="5"/>
        <v>60.026718659734286</v>
      </c>
      <c r="J23" s="34">
        <f t="shared" si="5"/>
        <v>0</v>
      </c>
      <c r="K23" s="34">
        <f t="shared" si="5"/>
        <v>0</v>
      </c>
      <c r="L23" s="34">
        <f t="shared" si="5"/>
        <v>0</v>
      </c>
      <c r="M23" s="34">
        <f t="shared" si="5"/>
        <v>0</v>
      </c>
      <c r="N23" s="34">
        <f t="shared" si="5"/>
        <v>0</v>
      </c>
      <c r="O23" s="34">
        <f t="shared" si="5"/>
        <v>0</v>
      </c>
      <c r="P23" s="34">
        <f t="shared" si="5"/>
        <v>0</v>
      </c>
      <c r="Q23" s="34">
        <f t="shared" si="5"/>
        <v>0</v>
      </c>
      <c r="R23" s="34">
        <f t="shared" si="5"/>
        <v>0</v>
      </c>
      <c r="S23" s="34">
        <f t="shared" si="5"/>
        <v>0</v>
      </c>
    </row>
    <row r="24" spans="4:19" x14ac:dyDescent="0.15">
      <c r="D24" s="1">
        <v>80</v>
      </c>
      <c r="E24" s="1">
        <v>4</v>
      </c>
      <c r="F24" s="1">
        <f t="shared" si="6"/>
        <v>0.10046939300411525</v>
      </c>
      <c r="G24" s="34">
        <f t="shared" si="5"/>
        <v>3938.2153239776808</v>
      </c>
      <c r="H24" s="34">
        <f t="shared" si="5"/>
        <v>166.69451871657765</v>
      </c>
      <c r="I24" s="34">
        <f t="shared" si="5"/>
        <v>72.032062391681151</v>
      </c>
      <c r="J24" s="34">
        <f t="shared" si="5"/>
        <v>0</v>
      </c>
      <c r="K24" s="34">
        <f t="shared" si="5"/>
        <v>0</v>
      </c>
      <c r="L24" s="34">
        <f t="shared" si="5"/>
        <v>0</v>
      </c>
      <c r="M24" s="34">
        <f t="shared" si="5"/>
        <v>0</v>
      </c>
      <c r="N24" s="34">
        <f t="shared" si="5"/>
        <v>0</v>
      </c>
      <c r="O24" s="34">
        <f t="shared" si="5"/>
        <v>0</v>
      </c>
      <c r="P24" s="34">
        <f t="shared" si="5"/>
        <v>0</v>
      </c>
      <c r="Q24" s="34">
        <f t="shared" si="5"/>
        <v>0</v>
      </c>
      <c r="R24" s="34">
        <f t="shared" si="5"/>
        <v>0</v>
      </c>
      <c r="S24" s="34">
        <f t="shared" si="5"/>
        <v>0</v>
      </c>
    </row>
    <row r="25" spans="4:19" x14ac:dyDescent="0.15">
      <c r="D25" s="1">
        <v>80</v>
      </c>
      <c r="E25" s="1">
        <v>5</v>
      </c>
      <c r="F25" s="1">
        <f t="shared" si="6"/>
        <v>0.12056327160493829</v>
      </c>
      <c r="G25" s="34">
        <f t="shared" si="5"/>
        <v>4725.8583887732166</v>
      </c>
      <c r="H25" s="34">
        <f t="shared" si="5"/>
        <v>200.03342245989313</v>
      </c>
      <c r="I25" s="34">
        <f t="shared" si="5"/>
        <v>86.438474870017359</v>
      </c>
      <c r="J25" s="34">
        <f t="shared" si="5"/>
        <v>0</v>
      </c>
      <c r="K25" s="34">
        <f t="shared" si="5"/>
        <v>0</v>
      </c>
      <c r="L25" s="34">
        <f t="shared" si="5"/>
        <v>0</v>
      </c>
      <c r="M25" s="34">
        <f t="shared" si="5"/>
        <v>0</v>
      </c>
      <c r="N25" s="34">
        <f t="shared" si="5"/>
        <v>0</v>
      </c>
      <c r="O25" s="34">
        <f t="shared" si="5"/>
        <v>0</v>
      </c>
      <c r="P25" s="34">
        <f t="shared" si="5"/>
        <v>0</v>
      </c>
      <c r="Q25" s="34">
        <f t="shared" si="5"/>
        <v>0</v>
      </c>
      <c r="R25" s="34">
        <f t="shared" si="5"/>
        <v>0</v>
      </c>
      <c r="S25" s="34">
        <f t="shared" si="5"/>
        <v>0</v>
      </c>
    </row>
    <row r="26" spans="4:19" x14ac:dyDescent="0.15">
      <c r="D26" s="1">
        <v>80</v>
      </c>
      <c r="E26" s="1">
        <v>6</v>
      </c>
      <c r="F26" s="1">
        <f t="shared" si="6"/>
        <v>0.14467592592592596</v>
      </c>
      <c r="G26" s="34">
        <f t="shared" si="5"/>
        <v>5671.0300665278592</v>
      </c>
      <c r="H26" s="34">
        <f t="shared" si="5"/>
        <v>240.04010695187176</v>
      </c>
      <c r="I26" s="34">
        <f t="shared" si="5"/>
        <v>103.72616984402084</v>
      </c>
      <c r="J26" s="34">
        <f t="shared" si="5"/>
        <v>0</v>
      </c>
      <c r="K26" s="34">
        <f t="shared" si="5"/>
        <v>0</v>
      </c>
      <c r="L26" s="34">
        <f t="shared" si="5"/>
        <v>0</v>
      </c>
      <c r="M26" s="34">
        <f t="shared" si="5"/>
        <v>0</v>
      </c>
      <c r="N26" s="34">
        <f t="shared" si="5"/>
        <v>0</v>
      </c>
      <c r="O26" s="34">
        <f t="shared" si="5"/>
        <v>0</v>
      </c>
      <c r="P26" s="34">
        <f t="shared" si="5"/>
        <v>0</v>
      </c>
      <c r="Q26" s="34">
        <f t="shared" si="5"/>
        <v>0</v>
      </c>
      <c r="R26" s="34">
        <f t="shared" si="5"/>
        <v>0</v>
      </c>
      <c r="S26" s="34">
        <f t="shared" si="5"/>
        <v>0</v>
      </c>
    </row>
    <row r="27" spans="4:19" x14ac:dyDescent="0.15">
      <c r="D27" s="1">
        <v>80</v>
      </c>
      <c r="E27" s="1">
        <v>7</v>
      </c>
      <c r="F27" s="1">
        <f t="shared" si="6"/>
        <v>0.17361111111111113</v>
      </c>
      <c r="G27" s="34">
        <f t="shared" si="5"/>
        <v>6805.2360798334303</v>
      </c>
      <c r="H27" s="34">
        <f t="shared" si="5"/>
        <v>288.04812834224612</v>
      </c>
      <c r="I27" s="34">
        <f t="shared" si="5"/>
        <v>124.471403812825</v>
      </c>
      <c r="J27" s="34">
        <f t="shared" si="5"/>
        <v>0</v>
      </c>
      <c r="K27" s="34">
        <f t="shared" si="5"/>
        <v>0</v>
      </c>
      <c r="L27" s="34">
        <f t="shared" si="5"/>
        <v>0</v>
      </c>
      <c r="M27" s="34">
        <f t="shared" si="5"/>
        <v>0</v>
      </c>
      <c r="N27" s="34">
        <f t="shared" si="5"/>
        <v>0</v>
      </c>
      <c r="O27" s="34">
        <f t="shared" si="5"/>
        <v>0</v>
      </c>
      <c r="P27" s="34">
        <f t="shared" si="5"/>
        <v>0</v>
      </c>
      <c r="Q27" s="34">
        <f t="shared" si="5"/>
        <v>0</v>
      </c>
      <c r="R27" s="34">
        <f t="shared" si="5"/>
        <v>0</v>
      </c>
      <c r="S27" s="34">
        <f t="shared" si="5"/>
        <v>0</v>
      </c>
    </row>
    <row r="28" spans="4:19" x14ac:dyDescent="0.15">
      <c r="D28" s="1">
        <v>80</v>
      </c>
      <c r="E28" s="1">
        <v>8</v>
      </c>
      <c r="F28" s="1">
        <f t="shared" si="6"/>
        <v>0.20833333333333334</v>
      </c>
      <c r="G28" s="34">
        <f t="shared" si="5"/>
        <v>8166.2832958001163</v>
      </c>
      <c r="H28" s="34">
        <f t="shared" si="5"/>
        <v>345.65775401069533</v>
      </c>
      <c r="I28" s="34">
        <f t="shared" si="5"/>
        <v>149.36568457538999</v>
      </c>
      <c r="J28" s="34">
        <f t="shared" si="5"/>
        <v>0</v>
      </c>
      <c r="K28" s="34">
        <f t="shared" si="5"/>
        <v>0</v>
      </c>
      <c r="L28" s="34">
        <f t="shared" si="5"/>
        <v>0</v>
      </c>
      <c r="M28" s="34">
        <f t="shared" si="5"/>
        <v>0</v>
      </c>
      <c r="N28" s="34">
        <f t="shared" si="5"/>
        <v>0</v>
      </c>
      <c r="O28" s="34">
        <f t="shared" si="5"/>
        <v>0</v>
      </c>
      <c r="P28" s="34">
        <f t="shared" si="5"/>
        <v>0</v>
      </c>
      <c r="Q28" s="34">
        <f t="shared" si="5"/>
        <v>0</v>
      </c>
      <c r="R28" s="34">
        <f t="shared" si="5"/>
        <v>0</v>
      </c>
      <c r="S28" s="34">
        <f t="shared" si="5"/>
        <v>0</v>
      </c>
    </row>
    <row r="29" spans="4:19" x14ac:dyDescent="0.15">
      <c r="D29" s="1">
        <v>80</v>
      </c>
      <c r="E29" s="1">
        <v>9</v>
      </c>
      <c r="F29" s="1">
        <f t="shared" si="6"/>
        <v>0.25</v>
      </c>
      <c r="G29" s="34">
        <f t="shared" si="5"/>
        <v>9799.5399549601389</v>
      </c>
      <c r="H29" s="34">
        <f t="shared" si="5"/>
        <v>414.78930481283436</v>
      </c>
      <c r="I29" s="34">
        <f t="shared" si="5"/>
        <v>179.23882149046798</v>
      </c>
      <c r="J29" s="34">
        <f t="shared" si="5"/>
        <v>0</v>
      </c>
      <c r="K29" s="34">
        <f t="shared" si="5"/>
        <v>0</v>
      </c>
      <c r="L29" s="34">
        <f t="shared" si="5"/>
        <v>0</v>
      </c>
      <c r="M29" s="34">
        <f t="shared" si="5"/>
        <v>0</v>
      </c>
      <c r="N29" s="34">
        <f t="shared" si="5"/>
        <v>0</v>
      </c>
      <c r="O29" s="34">
        <f t="shared" si="5"/>
        <v>0</v>
      </c>
      <c r="P29" s="34">
        <f t="shared" si="5"/>
        <v>0</v>
      </c>
      <c r="Q29" s="34">
        <f t="shared" si="5"/>
        <v>0</v>
      </c>
      <c r="R29" s="34">
        <f t="shared" si="5"/>
        <v>0</v>
      </c>
      <c r="S29" s="34">
        <f t="shared" si="5"/>
        <v>0</v>
      </c>
    </row>
    <row r="30" spans="4:19" x14ac:dyDescent="0.15">
      <c r="D30" s="1">
        <v>80</v>
      </c>
      <c r="E30" s="1">
        <v>10</v>
      </c>
      <c r="F30" s="1">
        <f t="shared" si="6"/>
        <v>0.3</v>
      </c>
      <c r="G30" s="34">
        <f t="shared" si="5"/>
        <v>11759.447945952166</v>
      </c>
      <c r="H30" s="34">
        <f t="shared" si="5"/>
        <v>497.74716577540119</v>
      </c>
      <c r="I30" s="34">
        <f t="shared" si="5"/>
        <v>215.08658578856156</v>
      </c>
      <c r="J30" s="34">
        <f t="shared" si="5"/>
        <v>0</v>
      </c>
      <c r="K30" s="34">
        <f t="shared" si="5"/>
        <v>0</v>
      </c>
      <c r="L30" s="34">
        <f t="shared" si="5"/>
        <v>0</v>
      </c>
      <c r="M30" s="34">
        <f t="shared" si="5"/>
        <v>0</v>
      </c>
      <c r="N30" s="34">
        <f t="shared" si="5"/>
        <v>0</v>
      </c>
      <c r="O30" s="34">
        <f t="shared" si="5"/>
        <v>0</v>
      </c>
      <c r="P30" s="34">
        <f t="shared" si="5"/>
        <v>0</v>
      </c>
      <c r="Q30" s="34">
        <f t="shared" si="5"/>
        <v>0</v>
      </c>
      <c r="R30" s="34">
        <f t="shared" si="5"/>
        <v>0</v>
      </c>
      <c r="S30" s="34">
        <f t="shared" si="5"/>
        <v>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25"/>
  <sheetViews>
    <sheetView topLeftCell="B1" workbookViewId="0">
      <selection activeCell="I32" sqref="I32"/>
    </sheetView>
  </sheetViews>
  <sheetFormatPr defaultRowHeight="13.5" x14ac:dyDescent="0.15"/>
  <cols>
    <col min="1" max="1" width="17.25" bestFit="1" customWidth="1"/>
    <col min="5" max="6" width="13.875" bestFit="1" customWidth="1"/>
    <col min="7" max="7" width="15.375" customWidth="1"/>
    <col min="8" max="8" width="12.75" bestFit="1" customWidth="1"/>
    <col min="9" max="9" width="12.875" customWidth="1"/>
    <col min="10" max="10" width="12.5" customWidth="1"/>
    <col min="11" max="11" width="11.625" customWidth="1"/>
    <col min="12" max="12" width="9" bestFit="1" customWidth="1"/>
    <col min="13" max="13" width="10.25" customWidth="1"/>
    <col min="14" max="14" width="11.625" bestFit="1" customWidth="1"/>
    <col min="15" max="15" width="7.5" bestFit="1" customWidth="1"/>
    <col min="16" max="18" width="9" bestFit="1" customWidth="1"/>
    <col min="19" max="19" width="11.625" bestFit="1" customWidth="1"/>
    <col min="20" max="20" width="9" bestFit="1" customWidth="1"/>
  </cols>
  <sheetData>
    <row r="1" spans="1:20" x14ac:dyDescent="0.15">
      <c r="A1" s="1" t="s">
        <v>56</v>
      </c>
      <c r="B1" s="1">
        <v>5</v>
      </c>
    </row>
    <row r="2" spans="1:20" x14ac:dyDescent="0.15">
      <c r="A2" s="1" t="s">
        <v>57</v>
      </c>
      <c r="B2" s="1">
        <v>20</v>
      </c>
    </row>
    <row r="3" spans="1:20" x14ac:dyDescent="0.15">
      <c r="A3" s="1" t="s">
        <v>62</v>
      </c>
      <c r="B3" s="1">
        <f>'2、属性成长'!M3</f>
        <v>0</v>
      </c>
    </row>
    <row r="4" spans="1:20" x14ac:dyDescent="0.15">
      <c r="A4" s="5" t="s">
        <v>278</v>
      </c>
      <c r="B4" s="1" t="s">
        <v>287</v>
      </c>
      <c r="C4" s="19" t="s">
        <v>124</v>
      </c>
      <c r="D4" s="9" t="s">
        <v>65</v>
      </c>
      <c r="E4" s="9" t="s">
        <v>63</v>
      </c>
      <c r="F4" s="9" t="s">
        <v>64</v>
      </c>
    </row>
    <row r="5" spans="1:20" x14ac:dyDescent="0.15">
      <c r="C5" s="23"/>
      <c r="D5" s="9">
        <v>0</v>
      </c>
      <c r="E5" s="9">
        <v>0</v>
      </c>
      <c r="F5" s="9">
        <v>0</v>
      </c>
    </row>
    <row r="6" spans="1:20" x14ac:dyDescent="0.15">
      <c r="D6" s="1">
        <v>1</v>
      </c>
      <c r="E6" s="1">
        <f>4</f>
        <v>4</v>
      </c>
      <c r="F6" s="1" t="e">
        <f t="shared" ref="F6:F9" si="0">E6/$B$3</f>
        <v>#DIV/0!</v>
      </c>
    </row>
    <row r="7" spans="1:20" x14ac:dyDescent="0.15">
      <c r="D7" s="1">
        <v>2</v>
      </c>
      <c r="E7" s="1">
        <f>($E$10-$E$6)/4*D7</f>
        <v>-2</v>
      </c>
      <c r="F7" s="1" t="e">
        <f t="shared" si="0"/>
        <v>#DIV/0!</v>
      </c>
    </row>
    <row r="8" spans="1:20" x14ac:dyDescent="0.15">
      <c r="D8" s="1">
        <v>3</v>
      </c>
      <c r="E8" s="1">
        <f t="shared" ref="E8:E9" si="1">($E$10-$E$6)/4*D8</f>
        <v>-3</v>
      </c>
      <c r="F8" s="1" t="e">
        <f t="shared" si="0"/>
        <v>#DIV/0!</v>
      </c>
    </row>
    <row r="9" spans="1:20" x14ac:dyDescent="0.15">
      <c r="D9" s="1">
        <v>4</v>
      </c>
      <c r="E9" s="1">
        <f t="shared" si="1"/>
        <v>-4</v>
      </c>
      <c r="F9" s="1" t="e">
        <f t="shared" si="0"/>
        <v>#DIV/0!</v>
      </c>
    </row>
    <row r="10" spans="1:20" x14ac:dyDescent="0.15">
      <c r="D10" s="1">
        <v>5</v>
      </c>
      <c r="E10" s="1">
        <f>B3</f>
        <v>0</v>
      </c>
      <c r="F10" s="1" t="e">
        <f>E10/$B$3</f>
        <v>#DIV/0!</v>
      </c>
      <c r="G10" s="21"/>
      <c r="H10" s="15"/>
      <c r="I10" s="15"/>
    </row>
    <row r="11" spans="1:20" x14ac:dyDescent="0.15">
      <c r="I11" s="15"/>
      <c r="J11" s="15"/>
      <c r="K11" s="15"/>
    </row>
    <row r="12" spans="1:20" x14ac:dyDescent="0.15">
      <c r="H12" s="59">
        <v>2</v>
      </c>
      <c r="I12" s="59">
        <v>3</v>
      </c>
      <c r="J12" s="59">
        <v>4</v>
      </c>
      <c r="K12" s="59">
        <v>5</v>
      </c>
      <c r="L12" s="59">
        <v>6</v>
      </c>
      <c r="M12" s="59">
        <v>7</v>
      </c>
      <c r="N12" s="59">
        <v>8</v>
      </c>
      <c r="O12" s="59">
        <v>9</v>
      </c>
      <c r="P12" s="59">
        <v>10</v>
      </c>
      <c r="Q12" s="59">
        <v>11</v>
      </c>
      <c r="R12" s="59">
        <v>12</v>
      </c>
      <c r="S12" s="59">
        <v>13</v>
      </c>
      <c r="T12" s="59">
        <v>14</v>
      </c>
    </row>
    <row r="13" spans="1:20" x14ac:dyDescent="0.15">
      <c r="C13" t="s">
        <v>125</v>
      </c>
      <c r="D13" s="9" t="s">
        <v>1</v>
      </c>
      <c r="E13" s="9" t="s">
        <v>65</v>
      </c>
      <c r="F13" s="9" t="s">
        <v>45</v>
      </c>
      <c r="G13" s="9"/>
      <c r="H13" s="9" t="str">
        <f>各种公式!C12</f>
        <v>生命</v>
      </c>
      <c r="I13" s="9" t="str">
        <f>各种公式!D12</f>
        <v>攻击</v>
      </c>
      <c r="J13" s="9" t="str">
        <f>各种公式!E12</f>
        <v>防御</v>
      </c>
      <c r="K13" s="9" t="str">
        <f>各种公式!F12</f>
        <v>闪避值</v>
      </c>
      <c r="L13" s="9" t="str">
        <f>各种公式!G12</f>
        <v>命中值</v>
      </c>
      <c r="M13" s="9" t="str">
        <f>各种公式!H12</f>
        <v>暴击值</v>
      </c>
      <c r="N13" s="9" t="str">
        <f>各种公式!I12</f>
        <v>暴击倍数</v>
      </c>
      <c r="O13" s="9" t="str">
        <f>各种公式!J12</f>
        <v>韧性值</v>
      </c>
      <c r="P13" s="9" t="str">
        <f>各种公式!K12</f>
        <v>伤害减免</v>
      </c>
      <c r="Q13" s="9" t="str">
        <f>各种公式!L12</f>
        <v>伤害加深</v>
      </c>
      <c r="R13" s="9" t="str">
        <f>各种公式!M12</f>
        <v>生命加成</v>
      </c>
      <c r="S13" s="9" t="str">
        <f>各种公式!N12</f>
        <v>攻击加成</v>
      </c>
      <c r="T13" s="9" t="str">
        <f>各种公式!O12</f>
        <v>防御加成</v>
      </c>
    </row>
    <row r="14" spans="1:20" x14ac:dyDescent="0.15">
      <c r="D14" s="5">
        <v>0</v>
      </c>
      <c r="E14" s="1">
        <v>0</v>
      </c>
      <c r="F14" s="1">
        <v>0</v>
      </c>
      <c r="G14" s="89"/>
      <c r="H14" s="166"/>
      <c r="I14" s="166"/>
      <c r="J14" s="166"/>
      <c r="K14" s="166"/>
      <c r="L14" s="167"/>
      <c r="M14" s="167"/>
      <c r="N14" s="167"/>
      <c r="O14" s="166"/>
      <c r="P14" s="166"/>
      <c r="Q14" s="166"/>
      <c r="R14" s="168"/>
      <c r="S14" s="168"/>
      <c r="T14" s="168"/>
    </row>
    <row r="15" spans="1:20" x14ac:dyDescent="0.15">
      <c r="D15" s="5">
        <v>10</v>
      </c>
      <c r="E15" s="1">
        <v>0</v>
      </c>
      <c r="F15" s="1">
        <f>VLOOKUP(E15,$D$5:$E$10,2)</f>
        <v>0</v>
      </c>
      <c r="G15" s="89"/>
      <c r="H15" s="166" t="e">
        <f t="shared" ref="H15:T24" si="2">VLOOKUP($D15,总属性参考数组,H$12,FALSE)*VLOOKUP($B$4,属性权重数组,H$12,FALSE)*$F15/$B$3</f>
        <v>#DIV/0!</v>
      </c>
      <c r="I15" s="166" t="e">
        <f t="shared" si="2"/>
        <v>#DIV/0!</v>
      </c>
      <c r="J15" s="166" t="e">
        <f t="shared" si="2"/>
        <v>#DIV/0!</v>
      </c>
      <c r="K15" s="166" t="e">
        <f t="shared" si="2"/>
        <v>#DIV/0!</v>
      </c>
      <c r="L15" s="166" t="e">
        <f t="shared" si="2"/>
        <v>#DIV/0!</v>
      </c>
      <c r="M15" s="166" t="e">
        <f t="shared" si="2"/>
        <v>#DIV/0!</v>
      </c>
      <c r="N15" s="166" t="e">
        <f t="shared" si="2"/>
        <v>#DIV/0!</v>
      </c>
      <c r="O15" s="166" t="e">
        <f t="shared" si="2"/>
        <v>#DIV/0!</v>
      </c>
      <c r="P15" s="166" t="e">
        <f t="shared" si="2"/>
        <v>#DIV/0!</v>
      </c>
      <c r="Q15" s="166" t="e">
        <f t="shared" si="2"/>
        <v>#DIV/0!</v>
      </c>
      <c r="R15" s="166" t="e">
        <f t="shared" si="2"/>
        <v>#DIV/0!</v>
      </c>
      <c r="S15" s="166" t="e">
        <f t="shared" si="2"/>
        <v>#DIV/0!</v>
      </c>
      <c r="T15" s="166" t="e">
        <f t="shared" si="2"/>
        <v>#DIV/0!</v>
      </c>
    </row>
    <row r="16" spans="1:20" x14ac:dyDescent="0.15">
      <c r="D16" s="5">
        <v>20</v>
      </c>
      <c r="E16" s="1">
        <v>1</v>
      </c>
      <c r="F16" s="1">
        <f t="shared" ref="F16:F24" si="3">VLOOKUP(E16,$D$5:$E$10,2)</f>
        <v>4</v>
      </c>
      <c r="G16" s="89"/>
      <c r="H16" s="166" t="e">
        <f t="shared" si="2"/>
        <v>#DIV/0!</v>
      </c>
      <c r="I16" s="166" t="e">
        <f t="shared" si="2"/>
        <v>#DIV/0!</v>
      </c>
      <c r="J16" s="166" t="e">
        <f t="shared" si="2"/>
        <v>#DIV/0!</v>
      </c>
      <c r="K16" s="166" t="e">
        <f t="shared" si="2"/>
        <v>#DIV/0!</v>
      </c>
      <c r="L16" s="166" t="e">
        <f t="shared" si="2"/>
        <v>#DIV/0!</v>
      </c>
      <c r="M16" s="166" t="e">
        <f t="shared" si="2"/>
        <v>#DIV/0!</v>
      </c>
      <c r="N16" s="166" t="e">
        <f t="shared" si="2"/>
        <v>#DIV/0!</v>
      </c>
      <c r="O16" s="166" t="e">
        <f t="shared" si="2"/>
        <v>#DIV/0!</v>
      </c>
      <c r="P16" s="166" t="e">
        <f t="shared" si="2"/>
        <v>#DIV/0!</v>
      </c>
      <c r="Q16" s="166" t="e">
        <f t="shared" si="2"/>
        <v>#DIV/0!</v>
      </c>
      <c r="R16" s="166" t="e">
        <f t="shared" si="2"/>
        <v>#DIV/0!</v>
      </c>
      <c r="S16" s="166" t="e">
        <f t="shared" si="2"/>
        <v>#DIV/0!</v>
      </c>
      <c r="T16" s="166" t="e">
        <f t="shared" si="2"/>
        <v>#DIV/0!</v>
      </c>
    </row>
    <row r="17" spans="4:20" x14ac:dyDescent="0.15">
      <c r="D17" s="5">
        <v>30</v>
      </c>
      <c r="E17" s="1">
        <v>1</v>
      </c>
      <c r="F17" s="1">
        <f t="shared" si="3"/>
        <v>4</v>
      </c>
      <c r="G17" s="89"/>
      <c r="H17" s="166" t="e">
        <f t="shared" si="2"/>
        <v>#DIV/0!</v>
      </c>
      <c r="I17" s="166" t="e">
        <f t="shared" si="2"/>
        <v>#DIV/0!</v>
      </c>
      <c r="J17" s="166" t="e">
        <f t="shared" si="2"/>
        <v>#DIV/0!</v>
      </c>
      <c r="K17" s="166" t="e">
        <f t="shared" si="2"/>
        <v>#DIV/0!</v>
      </c>
      <c r="L17" s="166" t="e">
        <f t="shared" si="2"/>
        <v>#DIV/0!</v>
      </c>
      <c r="M17" s="166" t="e">
        <f t="shared" si="2"/>
        <v>#DIV/0!</v>
      </c>
      <c r="N17" s="166" t="e">
        <f t="shared" si="2"/>
        <v>#DIV/0!</v>
      </c>
      <c r="O17" s="166" t="e">
        <f t="shared" si="2"/>
        <v>#DIV/0!</v>
      </c>
      <c r="P17" s="166" t="e">
        <f t="shared" si="2"/>
        <v>#DIV/0!</v>
      </c>
      <c r="Q17" s="166" t="e">
        <f t="shared" si="2"/>
        <v>#DIV/0!</v>
      </c>
      <c r="R17" s="166" t="e">
        <f t="shared" si="2"/>
        <v>#DIV/0!</v>
      </c>
      <c r="S17" s="166" t="e">
        <f t="shared" si="2"/>
        <v>#DIV/0!</v>
      </c>
      <c r="T17" s="166" t="e">
        <f t="shared" si="2"/>
        <v>#DIV/0!</v>
      </c>
    </row>
    <row r="18" spans="4:20" x14ac:dyDescent="0.15">
      <c r="D18" s="5">
        <v>40</v>
      </c>
      <c r="E18" s="1">
        <v>2</v>
      </c>
      <c r="F18" s="1">
        <f t="shared" si="3"/>
        <v>-2</v>
      </c>
      <c r="G18" s="89"/>
      <c r="H18" s="166" t="e">
        <f t="shared" si="2"/>
        <v>#DIV/0!</v>
      </c>
      <c r="I18" s="166" t="e">
        <f t="shared" si="2"/>
        <v>#DIV/0!</v>
      </c>
      <c r="J18" s="166" t="e">
        <f t="shared" si="2"/>
        <v>#DIV/0!</v>
      </c>
      <c r="K18" s="166" t="e">
        <f t="shared" si="2"/>
        <v>#DIV/0!</v>
      </c>
      <c r="L18" s="166" t="e">
        <f t="shared" si="2"/>
        <v>#DIV/0!</v>
      </c>
      <c r="M18" s="166" t="e">
        <f t="shared" si="2"/>
        <v>#DIV/0!</v>
      </c>
      <c r="N18" s="166" t="e">
        <f t="shared" si="2"/>
        <v>#DIV/0!</v>
      </c>
      <c r="O18" s="166" t="e">
        <f t="shared" si="2"/>
        <v>#DIV/0!</v>
      </c>
      <c r="P18" s="166" t="e">
        <f t="shared" si="2"/>
        <v>#DIV/0!</v>
      </c>
      <c r="Q18" s="166" t="e">
        <f t="shared" si="2"/>
        <v>#DIV/0!</v>
      </c>
      <c r="R18" s="166" t="e">
        <f t="shared" si="2"/>
        <v>#DIV/0!</v>
      </c>
      <c r="S18" s="166" t="e">
        <f t="shared" si="2"/>
        <v>#DIV/0!</v>
      </c>
      <c r="T18" s="166" t="e">
        <f t="shared" si="2"/>
        <v>#DIV/0!</v>
      </c>
    </row>
    <row r="19" spans="4:20" x14ac:dyDescent="0.15">
      <c r="D19" s="5">
        <v>50</v>
      </c>
      <c r="E19" s="1">
        <v>2</v>
      </c>
      <c r="F19" s="1">
        <f t="shared" si="3"/>
        <v>-2</v>
      </c>
      <c r="G19" s="89"/>
      <c r="H19" s="166" t="e">
        <f t="shared" si="2"/>
        <v>#DIV/0!</v>
      </c>
      <c r="I19" s="166" t="e">
        <f t="shared" si="2"/>
        <v>#DIV/0!</v>
      </c>
      <c r="J19" s="166" t="e">
        <f t="shared" si="2"/>
        <v>#DIV/0!</v>
      </c>
      <c r="K19" s="166" t="e">
        <f t="shared" si="2"/>
        <v>#DIV/0!</v>
      </c>
      <c r="L19" s="166" t="e">
        <f t="shared" si="2"/>
        <v>#DIV/0!</v>
      </c>
      <c r="M19" s="166" t="e">
        <f t="shared" si="2"/>
        <v>#DIV/0!</v>
      </c>
      <c r="N19" s="166" t="e">
        <f t="shared" si="2"/>
        <v>#DIV/0!</v>
      </c>
      <c r="O19" s="166" t="e">
        <f t="shared" si="2"/>
        <v>#DIV/0!</v>
      </c>
      <c r="P19" s="166" t="e">
        <f t="shared" si="2"/>
        <v>#DIV/0!</v>
      </c>
      <c r="Q19" s="166" t="e">
        <f t="shared" si="2"/>
        <v>#DIV/0!</v>
      </c>
      <c r="R19" s="166" t="e">
        <f t="shared" si="2"/>
        <v>#DIV/0!</v>
      </c>
      <c r="S19" s="166" t="e">
        <f t="shared" si="2"/>
        <v>#DIV/0!</v>
      </c>
      <c r="T19" s="166" t="e">
        <f t="shared" si="2"/>
        <v>#DIV/0!</v>
      </c>
    </row>
    <row r="20" spans="4:20" x14ac:dyDescent="0.15">
      <c r="D20" s="5">
        <v>60</v>
      </c>
      <c r="E20" s="1">
        <v>3</v>
      </c>
      <c r="F20" s="1">
        <f t="shared" si="3"/>
        <v>-3</v>
      </c>
      <c r="G20" s="89"/>
      <c r="H20" s="166" t="e">
        <f t="shared" si="2"/>
        <v>#DIV/0!</v>
      </c>
      <c r="I20" s="166" t="e">
        <f t="shared" si="2"/>
        <v>#DIV/0!</v>
      </c>
      <c r="J20" s="166" t="e">
        <f t="shared" si="2"/>
        <v>#DIV/0!</v>
      </c>
      <c r="K20" s="166" t="e">
        <f t="shared" si="2"/>
        <v>#DIV/0!</v>
      </c>
      <c r="L20" s="166" t="e">
        <f t="shared" si="2"/>
        <v>#DIV/0!</v>
      </c>
      <c r="M20" s="166" t="e">
        <f t="shared" si="2"/>
        <v>#DIV/0!</v>
      </c>
      <c r="N20" s="166" t="e">
        <f t="shared" si="2"/>
        <v>#DIV/0!</v>
      </c>
      <c r="O20" s="166" t="e">
        <f t="shared" si="2"/>
        <v>#DIV/0!</v>
      </c>
      <c r="P20" s="166" t="e">
        <f t="shared" si="2"/>
        <v>#DIV/0!</v>
      </c>
      <c r="Q20" s="166" t="e">
        <f t="shared" si="2"/>
        <v>#DIV/0!</v>
      </c>
      <c r="R20" s="166" t="e">
        <f t="shared" si="2"/>
        <v>#DIV/0!</v>
      </c>
      <c r="S20" s="166" t="e">
        <f t="shared" si="2"/>
        <v>#DIV/0!</v>
      </c>
      <c r="T20" s="166" t="e">
        <f t="shared" si="2"/>
        <v>#DIV/0!</v>
      </c>
    </row>
    <row r="21" spans="4:20" x14ac:dyDescent="0.15">
      <c r="D21" s="5">
        <v>70</v>
      </c>
      <c r="E21" s="1">
        <v>3</v>
      </c>
      <c r="F21" s="1">
        <f t="shared" si="3"/>
        <v>-3</v>
      </c>
      <c r="G21" s="89"/>
      <c r="H21" s="166" t="e">
        <f t="shared" si="2"/>
        <v>#DIV/0!</v>
      </c>
      <c r="I21" s="166" t="e">
        <f t="shared" si="2"/>
        <v>#DIV/0!</v>
      </c>
      <c r="J21" s="166" t="e">
        <f t="shared" si="2"/>
        <v>#DIV/0!</v>
      </c>
      <c r="K21" s="166" t="e">
        <f t="shared" si="2"/>
        <v>#DIV/0!</v>
      </c>
      <c r="L21" s="166" t="e">
        <f t="shared" si="2"/>
        <v>#DIV/0!</v>
      </c>
      <c r="M21" s="166" t="e">
        <f t="shared" si="2"/>
        <v>#DIV/0!</v>
      </c>
      <c r="N21" s="166" t="e">
        <f t="shared" si="2"/>
        <v>#DIV/0!</v>
      </c>
      <c r="O21" s="166" t="e">
        <f t="shared" si="2"/>
        <v>#DIV/0!</v>
      </c>
      <c r="P21" s="166" t="e">
        <f t="shared" si="2"/>
        <v>#DIV/0!</v>
      </c>
      <c r="Q21" s="166" t="e">
        <f t="shared" si="2"/>
        <v>#DIV/0!</v>
      </c>
      <c r="R21" s="166" t="e">
        <f t="shared" si="2"/>
        <v>#DIV/0!</v>
      </c>
      <c r="S21" s="166" t="e">
        <f t="shared" si="2"/>
        <v>#DIV/0!</v>
      </c>
      <c r="T21" s="166" t="e">
        <f t="shared" si="2"/>
        <v>#DIV/0!</v>
      </c>
    </row>
    <row r="22" spans="4:20" x14ac:dyDescent="0.15">
      <c r="D22" s="5">
        <v>80</v>
      </c>
      <c r="E22" s="1">
        <v>4</v>
      </c>
      <c r="F22" s="1">
        <f t="shared" si="3"/>
        <v>-4</v>
      </c>
      <c r="G22" s="89"/>
      <c r="H22" s="166" t="e">
        <f t="shared" si="2"/>
        <v>#DIV/0!</v>
      </c>
      <c r="I22" s="166" t="e">
        <f t="shared" si="2"/>
        <v>#DIV/0!</v>
      </c>
      <c r="J22" s="166" t="e">
        <f t="shared" si="2"/>
        <v>#DIV/0!</v>
      </c>
      <c r="K22" s="166" t="e">
        <f t="shared" si="2"/>
        <v>#DIV/0!</v>
      </c>
      <c r="L22" s="166" t="e">
        <f t="shared" si="2"/>
        <v>#DIV/0!</v>
      </c>
      <c r="M22" s="166" t="e">
        <f t="shared" si="2"/>
        <v>#DIV/0!</v>
      </c>
      <c r="N22" s="166" t="e">
        <f t="shared" si="2"/>
        <v>#DIV/0!</v>
      </c>
      <c r="O22" s="166" t="e">
        <f t="shared" si="2"/>
        <v>#DIV/0!</v>
      </c>
      <c r="P22" s="166" t="e">
        <f t="shared" si="2"/>
        <v>#DIV/0!</v>
      </c>
      <c r="Q22" s="166" t="e">
        <f t="shared" si="2"/>
        <v>#DIV/0!</v>
      </c>
      <c r="R22" s="166" t="e">
        <f t="shared" si="2"/>
        <v>#DIV/0!</v>
      </c>
      <c r="S22" s="166" t="e">
        <f t="shared" si="2"/>
        <v>#DIV/0!</v>
      </c>
      <c r="T22" s="166" t="e">
        <f t="shared" si="2"/>
        <v>#DIV/0!</v>
      </c>
    </row>
    <row r="23" spans="4:20" x14ac:dyDescent="0.15">
      <c r="D23" s="5">
        <v>90</v>
      </c>
      <c r="E23" s="1">
        <v>5</v>
      </c>
      <c r="F23" s="1">
        <f t="shared" si="3"/>
        <v>0</v>
      </c>
      <c r="G23" s="89"/>
      <c r="H23" s="166" t="e">
        <f t="shared" si="2"/>
        <v>#DIV/0!</v>
      </c>
      <c r="I23" s="166" t="e">
        <f t="shared" si="2"/>
        <v>#DIV/0!</v>
      </c>
      <c r="J23" s="166" t="e">
        <f t="shared" si="2"/>
        <v>#DIV/0!</v>
      </c>
      <c r="K23" s="166" t="e">
        <f t="shared" si="2"/>
        <v>#DIV/0!</v>
      </c>
      <c r="L23" s="166" t="e">
        <f t="shared" si="2"/>
        <v>#DIV/0!</v>
      </c>
      <c r="M23" s="166" t="e">
        <f t="shared" si="2"/>
        <v>#DIV/0!</v>
      </c>
      <c r="N23" s="166" t="e">
        <f t="shared" si="2"/>
        <v>#DIV/0!</v>
      </c>
      <c r="O23" s="166" t="e">
        <f t="shared" si="2"/>
        <v>#DIV/0!</v>
      </c>
      <c r="P23" s="166" t="e">
        <f t="shared" si="2"/>
        <v>#DIV/0!</v>
      </c>
      <c r="Q23" s="166" t="e">
        <f t="shared" si="2"/>
        <v>#DIV/0!</v>
      </c>
      <c r="R23" s="166" t="e">
        <f t="shared" si="2"/>
        <v>#DIV/0!</v>
      </c>
      <c r="S23" s="166" t="e">
        <f t="shared" si="2"/>
        <v>#DIV/0!</v>
      </c>
      <c r="T23" s="166" t="e">
        <f t="shared" si="2"/>
        <v>#DIV/0!</v>
      </c>
    </row>
    <row r="24" spans="4:20" x14ac:dyDescent="0.15">
      <c r="D24" s="5">
        <v>100</v>
      </c>
      <c r="E24" s="1">
        <v>5</v>
      </c>
      <c r="F24" s="1">
        <f t="shared" si="3"/>
        <v>0</v>
      </c>
      <c r="G24" s="89"/>
      <c r="H24" s="166" t="e">
        <f t="shared" si="2"/>
        <v>#DIV/0!</v>
      </c>
      <c r="I24" s="166" t="e">
        <f t="shared" si="2"/>
        <v>#DIV/0!</v>
      </c>
      <c r="J24" s="166" t="e">
        <f t="shared" si="2"/>
        <v>#DIV/0!</v>
      </c>
      <c r="K24" s="166" t="e">
        <f t="shared" si="2"/>
        <v>#DIV/0!</v>
      </c>
      <c r="L24" s="166" t="e">
        <f t="shared" si="2"/>
        <v>#DIV/0!</v>
      </c>
      <c r="M24" s="166" t="e">
        <f t="shared" si="2"/>
        <v>#DIV/0!</v>
      </c>
      <c r="N24" s="166" t="e">
        <f t="shared" si="2"/>
        <v>#DIV/0!</v>
      </c>
      <c r="O24" s="166" t="e">
        <f t="shared" si="2"/>
        <v>#DIV/0!</v>
      </c>
      <c r="P24" s="166" t="e">
        <f t="shared" si="2"/>
        <v>#DIV/0!</v>
      </c>
      <c r="Q24" s="166" t="e">
        <f t="shared" si="2"/>
        <v>#DIV/0!</v>
      </c>
      <c r="R24" s="166" t="e">
        <f t="shared" si="2"/>
        <v>#DIV/0!</v>
      </c>
      <c r="S24" s="166" t="e">
        <f t="shared" si="2"/>
        <v>#DIV/0!</v>
      </c>
      <c r="T24" s="166" t="e">
        <f t="shared" si="2"/>
        <v>#DIV/0!</v>
      </c>
    </row>
    <row r="25" spans="4:20" x14ac:dyDescent="0.15">
      <c r="D25" s="5"/>
      <c r="E25" s="1"/>
      <c r="F25" s="1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78"/>
  <sheetViews>
    <sheetView workbookViewId="0">
      <selection activeCell="D36" sqref="D36"/>
    </sheetView>
  </sheetViews>
  <sheetFormatPr defaultRowHeight="13.5" x14ac:dyDescent="0.15"/>
  <cols>
    <col min="1" max="1" width="21.5" bestFit="1" customWidth="1"/>
    <col min="5" max="5" width="15.125" customWidth="1"/>
    <col min="6" max="7" width="12.75" bestFit="1" customWidth="1"/>
    <col min="8" max="8" width="12.75" style="15" bestFit="1" customWidth="1"/>
    <col min="9" max="9" width="13.875" bestFit="1" customWidth="1"/>
    <col min="10" max="10" width="13" customWidth="1"/>
    <col min="11" max="11" width="8.5" bestFit="1" customWidth="1"/>
    <col min="12" max="12" width="16.125" bestFit="1" customWidth="1"/>
    <col min="13" max="13" width="8.5" bestFit="1" customWidth="1"/>
    <col min="14" max="14" width="12.75" bestFit="1" customWidth="1"/>
    <col min="15" max="15" width="16.125" bestFit="1" customWidth="1"/>
    <col min="16" max="16" width="13.875" bestFit="1" customWidth="1"/>
    <col min="17" max="18" width="11.625" bestFit="1" customWidth="1"/>
    <col min="19" max="19" width="13.875" bestFit="1" customWidth="1"/>
  </cols>
  <sheetData>
    <row r="1" spans="1:21" x14ac:dyDescent="0.15">
      <c r="A1" t="s">
        <v>66</v>
      </c>
      <c r="B1">
        <v>6</v>
      </c>
    </row>
    <row r="2" spans="1:21" x14ac:dyDescent="0.15">
      <c r="A2" t="s">
        <v>70</v>
      </c>
      <c r="B2" s="58">
        <f>'2、属性成长'!G3</f>
        <v>8</v>
      </c>
    </row>
    <row r="3" spans="1:21" x14ac:dyDescent="0.15">
      <c r="A3" t="s">
        <v>290</v>
      </c>
      <c r="B3" t="s">
        <v>392</v>
      </c>
      <c r="D3" t="s">
        <v>371</v>
      </c>
      <c r="E3" t="s">
        <v>366</v>
      </c>
    </row>
    <row r="4" spans="1:21" x14ac:dyDescent="0.15">
      <c r="H4" s="1" t="s">
        <v>367</v>
      </c>
      <c r="I4" s="9" t="str">
        <f>各种公式!C12</f>
        <v>生命</v>
      </c>
      <c r="J4" s="9" t="str">
        <f>各种公式!D12</f>
        <v>攻击</v>
      </c>
      <c r="K4" s="9" t="str">
        <f>各种公式!E12</f>
        <v>防御</v>
      </c>
      <c r="L4" s="9" t="str">
        <f>各种公式!F12</f>
        <v>闪避值</v>
      </c>
      <c r="M4" s="9" t="str">
        <f>各种公式!G12</f>
        <v>命中值</v>
      </c>
      <c r="N4" s="9" t="str">
        <f>各种公式!H12</f>
        <v>暴击值</v>
      </c>
      <c r="O4" s="9" t="str">
        <f>各种公式!I12</f>
        <v>暴击倍数</v>
      </c>
      <c r="P4" s="9" t="str">
        <f>各种公式!J12</f>
        <v>韧性值</v>
      </c>
      <c r="Q4" s="9" t="str">
        <f>各种公式!K12</f>
        <v>伤害减免</v>
      </c>
      <c r="R4" s="9" t="str">
        <f>各种公式!L12</f>
        <v>伤害加深</v>
      </c>
      <c r="S4" s="9" t="str">
        <f>各种公式!M12</f>
        <v>生命加成</v>
      </c>
      <c r="T4" s="9" t="str">
        <f>各种公式!N12</f>
        <v>攻击加成</v>
      </c>
      <c r="U4" s="9" t="str">
        <f>各种公式!O12</f>
        <v>防御加成</v>
      </c>
    </row>
    <row r="5" spans="1:21" x14ac:dyDescent="0.15">
      <c r="H5" s="1" t="s">
        <v>368</v>
      </c>
      <c r="I5" s="1">
        <v>5</v>
      </c>
      <c r="J5" s="1">
        <v>5</v>
      </c>
      <c r="K5" s="1">
        <v>5</v>
      </c>
      <c r="L5" s="1">
        <v>1</v>
      </c>
      <c r="M5" s="1">
        <v>1</v>
      </c>
      <c r="N5" s="1">
        <v>5</v>
      </c>
      <c r="O5" s="1">
        <v>1</v>
      </c>
      <c r="P5" s="1">
        <v>1</v>
      </c>
      <c r="Q5" s="5">
        <v>0</v>
      </c>
      <c r="R5" s="5">
        <v>0</v>
      </c>
      <c r="S5" s="5">
        <v>1</v>
      </c>
      <c r="T5" s="5">
        <v>1</v>
      </c>
      <c r="U5" s="5">
        <v>1</v>
      </c>
    </row>
    <row r="6" spans="1:21" x14ac:dyDescent="0.15">
      <c r="H6" s="1" t="s">
        <v>369</v>
      </c>
      <c r="I6" s="1">
        <v>1</v>
      </c>
      <c r="J6" s="1">
        <v>1</v>
      </c>
      <c r="K6" s="1">
        <v>1</v>
      </c>
      <c r="L6" s="1">
        <v>0</v>
      </c>
      <c r="M6" s="1">
        <v>0</v>
      </c>
      <c r="N6" s="1">
        <v>0</v>
      </c>
      <c r="O6" s="1">
        <v>1</v>
      </c>
      <c r="P6" s="1">
        <v>0</v>
      </c>
      <c r="Q6" s="1">
        <v>1</v>
      </c>
      <c r="R6" s="1">
        <v>1</v>
      </c>
      <c r="S6" s="1">
        <v>1</v>
      </c>
      <c r="T6" s="1">
        <v>1</v>
      </c>
      <c r="U6" s="1">
        <v>1</v>
      </c>
    </row>
    <row r="8" spans="1:21" x14ac:dyDescent="0.15">
      <c r="I8" s="59">
        <v>2</v>
      </c>
      <c r="J8" s="59">
        <v>3</v>
      </c>
      <c r="K8" s="59">
        <v>4</v>
      </c>
      <c r="L8" s="59">
        <v>5</v>
      </c>
      <c r="M8" s="59">
        <v>6</v>
      </c>
      <c r="N8" s="59">
        <v>7</v>
      </c>
      <c r="O8" s="59">
        <v>8</v>
      </c>
      <c r="P8" s="59">
        <v>9</v>
      </c>
      <c r="Q8" s="59">
        <v>10</v>
      </c>
      <c r="R8" s="59">
        <v>11</v>
      </c>
      <c r="S8" s="59">
        <v>12</v>
      </c>
      <c r="T8" s="59">
        <v>13</v>
      </c>
      <c r="U8" s="59">
        <v>14</v>
      </c>
    </row>
    <row r="9" spans="1:21" x14ac:dyDescent="0.15">
      <c r="E9" s="1" t="s">
        <v>67</v>
      </c>
      <c r="F9" s="1" t="s">
        <v>68</v>
      </c>
      <c r="G9" s="1" t="s">
        <v>55</v>
      </c>
      <c r="H9" s="5" t="s">
        <v>365</v>
      </c>
      <c r="I9" s="9" t="str">
        <f>各种公式!C12</f>
        <v>生命</v>
      </c>
      <c r="J9" s="9" t="str">
        <f>各种公式!D12</f>
        <v>攻击</v>
      </c>
      <c r="K9" s="9" t="str">
        <f>各种公式!E12</f>
        <v>防御</v>
      </c>
      <c r="L9" s="9" t="str">
        <f>各种公式!F12</f>
        <v>闪避值</v>
      </c>
      <c r="M9" s="9" t="str">
        <f>各种公式!G12</f>
        <v>命中值</v>
      </c>
      <c r="N9" s="9" t="str">
        <f>各种公式!H12</f>
        <v>暴击值</v>
      </c>
      <c r="O9" s="9" t="str">
        <f>各种公式!I12</f>
        <v>暴击倍数</v>
      </c>
      <c r="P9" s="9" t="str">
        <f>各种公式!J12</f>
        <v>韧性值</v>
      </c>
      <c r="Q9" s="9" t="str">
        <f>各种公式!K12</f>
        <v>伤害减免</v>
      </c>
      <c r="R9" s="9" t="str">
        <f>各种公式!L12</f>
        <v>伤害加深</v>
      </c>
      <c r="S9" s="9" t="str">
        <f>各种公式!M12</f>
        <v>生命加成</v>
      </c>
      <c r="T9" s="9" t="str">
        <f>各种公式!N12</f>
        <v>攻击加成</v>
      </c>
      <c r="U9" s="9" t="str">
        <f>各种公式!O12</f>
        <v>防御加成</v>
      </c>
    </row>
    <row r="10" spans="1:21" x14ac:dyDescent="0.15">
      <c r="E10" s="1">
        <v>1</v>
      </c>
      <c r="F10" s="58">
        <v>1</v>
      </c>
      <c r="G10" s="1">
        <f>F10/SUM($F$10:$F$15)*$B$2</f>
        <v>1.3333333333333333</v>
      </c>
      <c r="H10" s="7">
        <v>80</v>
      </c>
      <c r="I10" s="34">
        <f t="shared" ref="I10:U15" si="0">VLOOKUP($H10,总属性参考数组,I$8,FALSE)*VLOOKUP($B$3,属性权重数组,I$8,FALSE)*$G10/$B$2</f>
        <v>62717.055711744884</v>
      </c>
      <c r="J10" s="34">
        <f t="shared" si="0"/>
        <v>1769.7677005347598</v>
      </c>
      <c r="K10" s="34">
        <f t="shared" si="0"/>
        <v>955.94038128249599</v>
      </c>
      <c r="L10" s="34">
        <f t="shared" si="0"/>
        <v>2083.333333333333</v>
      </c>
      <c r="M10" s="34">
        <f t="shared" si="0"/>
        <v>2083.333333333333</v>
      </c>
      <c r="N10" s="34">
        <f t="shared" si="0"/>
        <v>1851.8518518518517</v>
      </c>
      <c r="O10" s="34">
        <f t="shared" si="0"/>
        <v>2380.9523809523807</v>
      </c>
      <c r="P10" s="34">
        <f t="shared" si="0"/>
        <v>1851.8518518518517</v>
      </c>
      <c r="Q10" s="34">
        <f t="shared" si="0"/>
        <v>833.33333333333326</v>
      </c>
      <c r="R10" s="34">
        <f t="shared" si="0"/>
        <v>833.33333333333326</v>
      </c>
      <c r="S10" s="34">
        <f t="shared" si="0"/>
        <v>740.74074074074065</v>
      </c>
      <c r="T10" s="34">
        <f t="shared" si="0"/>
        <v>0</v>
      </c>
      <c r="U10" s="34">
        <f t="shared" si="0"/>
        <v>0</v>
      </c>
    </row>
    <row r="11" spans="1:21" x14ac:dyDescent="0.15">
      <c r="E11" s="1">
        <v>2</v>
      </c>
      <c r="F11" s="7">
        <v>1</v>
      </c>
      <c r="G11" s="1">
        <f t="shared" ref="G11:G15" si="1">F11/SUM($F$10:$F$15)*$B$2</f>
        <v>1.3333333333333333</v>
      </c>
      <c r="H11" s="7">
        <v>80</v>
      </c>
      <c r="I11" s="34">
        <f t="shared" si="0"/>
        <v>62717.055711744884</v>
      </c>
      <c r="J11" s="34">
        <f t="shared" si="0"/>
        <v>1769.7677005347598</v>
      </c>
      <c r="K11" s="34">
        <f t="shared" si="0"/>
        <v>955.94038128249599</v>
      </c>
      <c r="L11" s="34">
        <f t="shared" si="0"/>
        <v>2083.333333333333</v>
      </c>
      <c r="M11" s="34">
        <f t="shared" si="0"/>
        <v>2083.333333333333</v>
      </c>
      <c r="N11" s="34">
        <f t="shared" si="0"/>
        <v>1851.8518518518517</v>
      </c>
      <c r="O11" s="34">
        <f t="shared" si="0"/>
        <v>2380.9523809523807</v>
      </c>
      <c r="P11" s="34">
        <f t="shared" si="0"/>
        <v>1851.8518518518517</v>
      </c>
      <c r="Q11" s="34">
        <f t="shared" si="0"/>
        <v>833.33333333333326</v>
      </c>
      <c r="R11" s="34">
        <f t="shared" si="0"/>
        <v>833.33333333333326</v>
      </c>
      <c r="S11" s="34">
        <f t="shared" si="0"/>
        <v>740.74074074074065</v>
      </c>
      <c r="T11" s="34">
        <f t="shared" si="0"/>
        <v>0</v>
      </c>
      <c r="U11" s="34">
        <f t="shared" si="0"/>
        <v>0</v>
      </c>
    </row>
    <row r="12" spans="1:21" x14ac:dyDescent="0.15">
      <c r="E12" s="1">
        <v>3</v>
      </c>
      <c r="F12" s="7">
        <v>1</v>
      </c>
      <c r="G12" s="1">
        <f t="shared" si="1"/>
        <v>1.3333333333333333</v>
      </c>
      <c r="H12" s="7">
        <v>80</v>
      </c>
      <c r="I12" s="34">
        <f t="shared" si="0"/>
        <v>62717.055711744884</v>
      </c>
      <c r="J12" s="34">
        <f t="shared" si="0"/>
        <v>1769.7677005347598</v>
      </c>
      <c r="K12" s="34">
        <f t="shared" si="0"/>
        <v>955.94038128249599</v>
      </c>
      <c r="L12" s="34">
        <f t="shared" si="0"/>
        <v>2083.333333333333</v>
      </c>
      <c r="M12" s="34">
        <f t="shared" si="0"/>
        <v>2083.333333333333</v>
      </c>
      <c r="N12" s="34">
        <f t="shared" si="0"/>
        <v>1851.8518518518517</v>
      </c>
      <c r="O12" s="34">
        <f t="shared" si="0"/>
        <v>2380.9523809523807</v>
      </c>
      <c r="P12" s="34">
        <f t="shared" si="0"/>
        <v>1851.8518518518517</v>
      </c>
      <c r="Q12" s="34">
        <f t="shared" si="0"/>
        <v>833.33333333333326</v>
      </c>
      <c r="R12" s="34">
        <f t="shared" si="0"/>
        <v>833.33333333333326</v>
      </c>
      <c r="S12" s="34">
        <f t="shared" si="0"/>
        <v>740.74074074074065</v>
      </c>
      <c r="T12" s="34">
        <f t="shared" si="0"/>
        <v>0</v>
      </c>
      <c r="U12" s="34">
        <f t="shared" si="0"/>
        <v>0</v>
      </c>
    </row>
    <row r="13" spans="1:21" x14ac:dyDescent="0.15">
      <c r="E13" s="1">
        <v>4</v>
      </c>
      <c r="F13" s="7">
        <v>1</v>
      </c>
      <c r="G13" s="1">
        <f t="shared" si="1"/>
        <v>1.3333333333333333</v>
      </c>
      <c r="H13" s="7">
        <v>80</v>
      </c>
      <c r="I13" s="34">
        <f t="shared" si="0"/>
        <v>62717.055711744884</v>
      </c>
      <c r="J13" s="34">
        <f t="shared" si="0"/>
        <v>1769.7677005347598</v>
      </c>
      <c r="K13" s="34">
        <f t="shared" si="0"/>
        <v>955.94038128249599</v>
      </c>
      <c r="L13" s="34">
        <f t="shared" si="0"/>
        <v>2083.333333333333</v>
      </c>
      <c r="M13" s="34">
        <f t="shared" si="0"/>
        <v>2083.333333333333</v>
      </c>
      <c r="N13" s="34">
        <f t="shared" si="0"/>
        <v>1851.8518518518517</v>
      </c>
      <c r="O13" s="34">
        <f t="shared" si="0"/>
        <v>2380.9523809523807</v>
      </c>
      <c r="P13" s="34">
        <f t="shared" si="0"/>
        <v>1851.8518518518517</v>
      </c>
      <c r="Q13" s="34">
        <f t="shared" si="0"/>
        <v>833.33333333333326</v>
      </c>
      <c r="R13" s="34">
        <f t="shared" si="0"/>
        <v>833.33333333333326</v>
      </c>
      <c r="S13" s="34">
        <f t="shared" si="0"/>
        <v>740.74074074074065</v>
      </c>
      <c r="T13" s="34">
        <f t="shared" si="0"/>
        <v>0</v>
      </c>
      <c r="U13" s="34">
        <f t="shared" si="0"/>
        <v>0</v>
      </c>
    </row>
    <row r="14" spans="1:21" x14ac:dyDescent="0.15">
      <c r="E14" s="1">
        <v>5</v>
      </c>
      <c r="F14" s="7">
        <v>1</v>
      </c>
      <c r="G14" s="1">
        <f t="shared" si="1"/>
        <v>1.3333333333333333</v>
      </c>
      <c r="H14" s="7">
        <v>80</v>
      </c>
      <c r="I14" s="34">
        <f t="shared" si="0"/>
        <v>62717.055711744884</v>
      </c>
      <c r="J14" s="34">
        <f t="shared" si="0"/>
        <v>1769.7677005347598</v>
      </c>
      <c r="K14" s="34">
        <f t="shared" si="0"/>
        <v>955.94038128249599</v>
      </c>
      <c r="L14" s="34">
        <f t="shared" si="0"/>
        <v>2083.333333333333</v>
      </c>
      <c r="M14" s="34">
        <f t="shared" si="0"/>
        <v>2083.333333333333</v>
      </c>
      <c r="N14" s="34">
        <f t="shared" si="0"/>
        <v>1851.8518518518517</v>
      </c>
      <c r="O14" s="34">
        <f t="shared" si="0"/>
        <v>2380.9523809523807</v>
      </c>
      <c r="P14" s="34">
        <f t="shared" si="0"/>
        <v>1851.8518518518517</v>
      </c>
      <c r="Q14" s="34">
        <f t="shared" si="0"/>
        <v>833.33333333333326</v>
      </c>
      <c r="R14" s="34">
        <f t="shared" si="0"/>
        <v>833.33333333333326</v>
      </c>
      <c r="S14" s="34">
        <f t="shared" si="0"/>
        <v>740.74074074074065</v>
      </c>
      <c r="T14" s="34">
        <f t="shared" si="0"/>
        <v>0</v>
      </c>
      <c r="U14" s="34">
        <f t="shared" si="0"/>
        <v>0</v>
      </c>
    </row>
    <row r="15" spans="1:21" x14ac:dyDescent="0.15">
      <c r="E15" s="1">
        <v>6</v>
      </c>
      <c r="F15" s="7">
        <v>1</v>
      </c>
      <c r="G15" s="1">
        <f t="shared" si="1"/>
        <v>1.3333333333333333</v>
      </c>
      <c r="H15" s="7">
        <v>80</v>
      </c>
      <c r="I15" s="34">
        <f t="shared" si="0"/>
        <v>62717.055711744884</v>
      </c>
      <c r="J15" s="34">
        <f t="shared" si="0"/>
        <v>1769.7677005347598</v>
      </c>
      <c r="K15" s="34">
        <f t="shared" si="0"/>
        <v>955.94038128249599</v>
      </c>
      <c r="L15" s="34">
        <f t="shared" si="0"/>
        <v>2083.333333333333</v>
      </c>
      <c r="M15" s="34">
        <f t="shared" si="0"/>
        <v>2083.333333333333</v>
      </c>
      <c r="N15" s="34">
        <f t="shared" si="0"/>
        <v>1851.8518518518517</v>
      </c>
      <c r="O15" s="34">
        <f t="shared" si="0"/>
        <v>2380.9523809523807</v>
      </c>
      <c r="P15" s="34">
        <f t="shared" si="0"/>
        <v>1851.8518518518517</v>
      </c>
      <c r="Q15" s="34">
        <f t="shared" si="0"/>
        <v>833.33333333333326</v>
      </c>
      <c r="R15" s="34">
        <f t="shared" si="0"/>
        <v>833.33333333333326</v>
      </c>
      <c r="S15" s="34">
        <f t="shared" si="0"/>
        <v>740.74074074074065</v>
      </c>
      <c r="T15" s="34">
        <f t="shared" si="0"/>
        <v>0</v>
      </c>
      <c r="U15" s="34">
        <f t="shared" si="0"/>
        <v>0</v>
      </c>
    </row>
    <row r="16" spans="1:21" x14ac:dyDescent="0.15">
      <c r="I16" s="1" t="s">
        <v>377</v>
      </c>
      <c r="J16" s="127"/>
      <c r="K16" s="127"/>
      <c r="L16" s="127"/>
      <c r="M16" s="127"/>
      <c r="N16" s="127"/>
      <c r="O16" s="127"/>
      <c r="P16" s="127"/>
      <c r="Q16" s="127"/>
      <c r="R16" s="127"/>
    </row>
    <row r="17" spans="6:9" x14ac:dyDescent="0.15">
      <c r="F17" s="1">
        <v>1</v>
      </c>
      <c r="G17" s="1">
        <f>G10</f>
        <v>1.3333333333333333</v>
      </c>
      <c r="H17" s="1">
        <f>H10</f>
        <v>80</v>
      </c>
      <c r="I17" s="39">
        <f t="shared" ref="I17:I22" si="2">VLOOKUP(H17,躶体属性参考系,5,FALSE)*G17</f>
        <v>3520.8352000000004</v>
      </c>
    </row>
    <row r="18" spans="6:9" x14ac:dyDescent="0.15">
      <c r="F18" s="1">
        <v>2</v>
      </c>
      <c r="G18" s="1">
        <f t="shared" ref="G18:H22" si="3">G11</f>
        <v>1.3333333333333333</v>
      </c>
      <c r="H18" s="1">
        <f t="shared" si="3"/>
        <v>80</v>
      </c>
      <c r="I18" s="39">
        <f t="shared" si="2"/>
        <v>3520.8352000000004</v>
      </c>
    </row>
    <row r="19" spans="6:9" x14ac:dyDescent="0.15">
      <c r="F19" s="1">
        <v>3</v>
      </c>
      <c r="G19" s="1">
        <f t="shared" si="3"/>
        <v>1.3333333333333333</v>
      </c>
      <c r="H19" s="1">
        <f t="shared" si="3"/>
        <v>80</v>
      </c>
      <c r="I19" s="39">
        <f t="shared" si="2"/>
        <v>3520.8352000000004</v>
      </c>
    </row>
    <row r="20" spans="6:9" x14ac:dyDescent="0.15">
      <c r="F20" s="1">
        <v>4</v>
      </c>
      <c r="G20" s="1">
        <f t="shared" si="3"/>
        <v>1.3333333333333333</v>
      </c>
      <c r="H20" s="1">
        <f t="shared" si="3"/>
        <v>80</v>
      </c>
      <c r="I20" s="39">
        <f t="shared" si="2"/>
        <v>3520.8352000000004</v>
      </c>
    </row>
    <row r="21" spans="6:9" x14ac:dyDescent="0.15">
      <c r="F21" s="1">
        <v>5</v>
      </c>
      <c r="G21" s="1">
        <f t="shared" si="3"/>
        <v>1.3333333333333333</v>
      </c>
      <c r="H21" s="1">
        <f t="shared" si="3"/>
        <v>80</v>
      </c>
      <c r="I21" s="39">
        <f t="shared" si="2"/>
        <v>3520.8352000000004</v>
      </c>
    </row>
    <row r="22" spans="6:9" x14ac:dyDescent="0.15">
      <c r="F22" s="1">
        <v>6</v>
      </c>
      <c r="G22" s="1">
        <f t="shared" si="3"/>
        <v>1.3333333333333333</v>
      </c>
      <c r="H22" s="1">
        <f t="shared" si="3"/>
        <v>80</v>
      </c>
      <c r="I22" s="39">
        <f t="shared" si="2"/>
        <v>3520.8352000000004</v>
      </c>
    </row>
    <row r="33" spans="4:18" x14ac:dyDescent="0.15">
      <c r="E33" s="1" t="s">
        <v>376</v>
      </c>
      <c r="F33" s="7"/>
      <c r="G33" s="1">
        <v>3</v>
      </c>
      <c r="H33" s="7">
        <v>100</v>
      </c>
      <c r="I33" s="34">
        <f>VLOOKUP($H33,总属性参考数组,I$8,FALSE)*VLOOKUP($B$3,属性权重数组,I$8,FALSE)*$G33/$B$2</f>
        <v>229739.12710775033</v>
      </c>
      <c r="J33" s="34">
        <f t="shared" ref="J33:R33" si="4">VLOOKUP($H33,总属性参考数组,J$8,FALSE)*VLOOKUP($B$3,属性权重数组,J$8,FALSE)*$G33/$B$2</f>
        <v>5878.1570053475907</v>
      </c>
      <c r="K33" s="34">
        <f t="shared" si="4"/>
        <v>3175.0876949740014</v>
      </c>
      <c r="L33" s="34">
        <f t="shared" si="4"/>
        <v>5859.375</v>
      </c>
      <c r="M33" s="34">
        <f t="shared" si="4"/>
        <v>5859.375</v>
      </c>
      <c r="N33" s="34">
        <f t="shared" si="4"/>
        <v>5208.333333333333</v>
      </c>
      <c r="O33" s="34">
        <f t="shared" si="4"/>
        <v>6696.4285714285706</v>
      </c>
      <c r="P33" s="34">
        <f t="shared" si="4"/>
        <v>5208.333333333333</v>
      </c>
      <c r="Q33" s="34">
        <f t="shared" si="4"/>
        <v>2343.75</v>
      </c>
      <c r="R33" s="34">
        <f t="shared" si="4"/>
        <v>2343.75</v>
      </c>
    </row>
    <row r="34" spans="4:18" x14ac:dyDescent="0.15">
      <c r="E34" t="s">
        <v>373</v>
      </c>
    </row>
    <row r="35" spans="4:18" x14ac:dyDescent="0.15">
      <c r="D35" s="19" t="s">
        <v>372</v>
      </c>
    </row>
    <row r="36" spans="4:18" x14ac:dyDescent="0.15">
      <c r="D36" s="15"/>
      <c r="E36" s="1" t="s">
        <v>67</v>
      </c>
      <c r="F36" s="102" t="str">
        <f>各种公式!C12</f>
        <v>生命</v>
      </c>
      <c r="G36" s="102" t="str">
        <f>各种公式!D12</f>
        <v>攻击</v>
      </c>
      <c r="H36" s="102" t="str">
        <f>各种公式!E12</f>
        <v>防御</v>
      </c>
      <c r="I36" s="102" t="str">
        <f>各种公式!F12</f>
        <v>闪避值</v>
      </c>
      <c r="J36" s="102" t="str">
        <f>各种公式!G12</f>
        <v>命中值</v>
      </c>
      <c r="K36" s="102" t="str">
        <f>各种公式!H12</f>
        <v>暴击值</v>
      </c>
      <c r="L36" s="102" t="str">
        <f>各种公式!I12</f>
        <v>暴击倍数</v>
      </c>
      <c r="M36" s="102" t="str">
        <f>各种公式!J12</f>
        <v>韧性值</v>
      </c>
      <c r="N36" s="102" t="str">
        <f>各种公式!K12</f>
        <v>伤害减免</v>
      </c>
      <c r="O36" s="102" t="str">
        <f>各种公式!L12</f>
        <v>伤害加深</v>
      </c>
    </row>
    <row r="37" spans="4:18" x14ac:dyDescent="0.15">
      <c r="D37" s="15"/>
      <c r="E37" s="1">
        <v>1</v>
      </c>
      <c r="F37" s="34">
        <f>I10*I$5/SUM(I$5:I$6)</f>
        <v>52264.213093120743</v>
      </c>
      <c r="G37" s="34">
        <f t="shared" ref="F37:O42" si="5">J10*J$5/SUM(J$5:J$6)</f>
        <v>1474.8064171122999</v>
      </c>
      <c r="H37" s="34">
        <f t="shared" si="5"/>
        <v>796.61698440207999</v>
      </c>
      <c r="I37" s="34">
        <f t="shared" si="5"/>
        <v>2083.333333333333</v>
      </c>
      <c r="J37" s="34">
        <f t="shared" si="5"/>
        <v>2083.333333333333</v>
      </c>
      <c r="K37" s="34">
        <f t="shared" si="5"/>
        <v>1851.8518518518517</v>
      </c>
      <c r="L37" s="34">
        <f t="shared" si="5"/>
        <v>1190.4761904761904</v>
      </c>
      <c r="M37" s="34">
        <f t="shared" si="5"/>
        <v>1851.8518518518517</v>
      </c>
      <c r="N37" s="34">
        <f t="shared" si="5"/>
        <v>0</v>
      </c>
      <c r="O37" s="34">
        <f t="shared" si="5"/>
        <v>0</v>
      </c>
    </row>
    <row r="38" spans="4:18" x14ac:dyDescent="0.15">
      <c r="D38" s="15"/>
      <c r="E38" s="1">
        <v>2</v>
      </c>
      <c r="F38" s="34">
        <f t="shared" si="5"/>
        <v>52264.213093120743</v>
      </c>
      <c r="G38" s="34">
        <f t="shared" si="5"/>
        <v>1474.8064171122999</v>
      </c>
      <c r="H38" s="34">
        <f t="shared" si="5"/>
        <v>796.61698440207999</v>
      </c>
      <c r="I38" s="34">
        <f t="shared" si="5"/>
        <v>2083.333333333333</v>
      </c>
      <c r="J38" s="34">
        <f t="shared" si="5"/>
        <v>2083.333333333333</v>
      </c>
      <c r="K38" s="34">
        <f t="shared" si="5"/>
        <v>1851.8518518518517</v>
      </c>
      <c r="L38" s="34">
        <f t="shared" si="5"/>
        <v>1190.4761904761904</v>
      </c>
      <c r="M38" s="34">
        <f t="shared" si="5"/>
        <v>1851.8518518518517</v>
      </c>
      <c r="N38" s="34">
        <f t="shared" si="5"/>
        <v>0</v>
      </c>
      <c r="O38" s="34">
        <f t="shared" si="5"/>
        <v>0</v>
      </c>
    </row>
    <row r="39" spans="4:18" x14ac:dyDescent="0.15">
      <c r="D39" s="15"/>
      <c r="E39" s="1">
        <v>3</v>
      </c>
      <c r="F39" s="34">
        <f t="shared" si="5"/>
        <v>52264.213093120743</v>
      </c>
      <c r="G39" s="34">
        <f t="shared" si="5"/>
        <v>1474.8064171122999</v>
      </c>
      <c r="H39" s="34">
        <f t="shared" si="5"/>
        <v>796.61698440207999</v>
      </c>
      <c r="I39" s="34">
        <f t="shared" si="5"/>
        <v>2083.333333333333</v>
      </c>
      <c r="J39" s="34">
        <f t="shared" si="5"/>
        <v>2083.333333333333</v>
      </c>
      <c r="K39" s="34">
        <f t="shared" si="5"/>
        <v>1851.8518518518517</v>
      </c>
      <c r="L39" s="34">
        <f t="shared" si="5"/>
        <v>1190.4761904761904</v>
      </c>
      <c r="M39" s="34">
        <f t="shared" si="5"/>
        <v>1851.8518518518517</v>
      </c>
      <c r="N39" s="34">
        <f t="shared" si="5"/>
        <v>0</v>
      </c>
      <c r="O39" s="34">
        <f t="shared" si="5"/>
        <v>0</v>
      </c>
    </row>
    <row r="40" spans="4:18" x14ac:dyDescent="0.15">
      <c r="D40" s="15"/>
      <c r="E40" s="1">
        <v>4</v>
      </c>
      <c r="F40" s="34">
        <f t="shared" si="5"/>
        <v>52264.213093120743</v>
      </c>
      <c r="G40" s="34">
        <f t="shared" si="5"/>
        <v>1474.8064171122999</v>
      </c>
      <c r="H40" s="34">
        <f t="shared" si="5"/>
        <v>796.61698440207999</v>
      </c>
      <c r="I40" s="34">
        <f t="shared" si="5"/>
        <v>2083.333333333333</v>
      </c>
      <c r="J40" s="34">
        <f t="shared" si="5"/>
        <v>2083.333333333333</v>
      </c>
      <c r="K40" s="34">
        <f t="shared" si="5"/>
        <v>1851.8518518518517</v>
      </c>
      <c r="L40" s="34">
        <f t="shared" si="5"/>
        <v>1190.4761904761904</v>
      </c>
      <c r="M40" s="34">
        <f t="shared" si="5"/>
        <v>1851.8518518518517</v>
      </c>
      <c r="N40" s="34">
        <f t="shared" si="5"/>
        <v>0</v>
      </c>
      <c r="O40" s="34">
        <f>R13*R$5/SUM(R$5:R$6)</f>
        <v>0</v>
      </c>
    </row>
    <row r="41" spans="4:18" x14ac:dyDescent="0.15">
      <c r="D41" s="15"/>
      <c r="E41" s="1">
        <v>5</v>
      </c>
      <c r="F41" s="34">
        <f t="shared" si="5"/>
        <v>52264.213093120743</v>
      </c>
      <c r="G41" s="34">
        <f t="shared" si="5"/>
        <v>1474.8064171122999</v>
      </c>
      <c r="H41" s="34">
        <f t="shared" si="5"/>
        <v>796.61698440207999</v>
      </c>
      <c r="I41" s="34">
        <f t="shared" si="5"/>
        <v>2083.333333333333</v>
      </c>
      <c r="J41" s="34">
        <f t="shared" si="5"/>
        <v>2083.333333333333</v>
      </c>
      <c r="K41" s="34">
        <f t="shared" si="5"/>
        <v>1851.8518518518517</v>
      </c>
      <c r="L41" s="34">
        <f t="shared" si="5"/>
        <v>1190.4761904761904</v>
      </c>
      <c r="M41" s="34">
        <f t="shared" si="5"/>
        <v>1851.8518518518517</v>
      </c>
      <c r="N41" s="34">
        <f t="shared" si="5"/>
        <v>0</v>
      </c>
      <c r="O41" s="34">
        <f t="shared" si="5"/>
        <v>0</v>
      </c>
    </row>
    <row r="42" spans="4:18" x14ac:dyDescent="0.15">
      <c r="E42" s="1">
        <v>6</v>
      </c>
      <c r="F42" s="34">
        <f t="shared" si="5"/>
        <v>52264.213093120743</v>
      </c>
      <c r="G42" s="34">
        <f t="shared" si="5"/>
        <v>1474.8064171122999</v>
      </c>
      <c r="H42" s="34">
        <f t="shared" si="5"/>
        <v>796.61698440207999</v>
      </c>
      <c r="I42" s="34">
        <f t="shared" si="5"/>
        <v>2083.333333333333</v>
      </c>
      <c r="J42" s="34">
        <f t="shared" si="5"/>
        <v>2083.333333333333</v>
      </c>
      <c r="K42" s="34">
        <f t="shared" si="5"/>
        <v>1851.8518518518517</v>
      </c>
      <c r="L42" s="34">
        <f t="shared" si="5"/>
        <v>1190.4761904761904</v>
      </c>
      <c r="M42" s="34">
        <f t="shared" si="5"/>
        <v>1851.8518518518517</v>
      </c>
      <c r="N42" s="34">
        <f t="shared" si="5"/>
        <v>0</v>
      </c>
      <c r="O42" s="34">
        <f t="shared" si="5"/>
        <v>0</v>
      </c>
    </row>
    <row r="43" spans="4:18" x14ac:dyDescent="0.15">
      <c r="E43" s="1" t="s">
        <v>375</v>
      </c>
      <c r="F43" s="34">
        <f>SUM(F37:F42)</f>
        <v>313585.27855872444</v>
      </c>
      <c r="G43" s="34">
        <f t="shared" ref="G43:L43" si="6">SUM(G37:G42)</f>
        <v>8848.8385026737997</v>
      </c>
      <c r="H43" s="34">
        <f t="shared" si="6"/>
        <v>4779.7019064124797</v>
      </c>
      <c r="I43" s="34">
        <f t="shared" si="6"/>
        <v>12499.999999999996</v>
      </c>
      <c r="J43" s="34">
        <f t="shared" si="6"/>
        <v>12499.999999999996</v>
      </c>
      <c r="K43" s="34">
        <f t="shared" si="6"/>
        <v>11111.111111111111</v>
      </c>
      <c r="L43" s="34">
        <f t="shared" si="6"/>
        <v>7142.8571428571431</v>
      </c>
      <c r="M43" s="34">
        <f>SUM(M37:M42)</f>
        <v>11111.111111111111</v>
      </c>
      <c r="N43" s="34">
        <f>SUM(N37:N42)</f>
        <v>0</v>
      </c>
      <c r="O43" s="34">
        <f>SUM(O37:O42)</f>
        <v>0</v>
      </c>
    </row>
    <row r="45" spans="4:18" x14ac:dyDescent="0.15">
      <c r="E45" t="s">
        <v>374</v>
      </c>
    </row>
    <row r="46" spans="4:18" x14ac:dyDescent="0.15">
      <c r="D46" t="s">
        <v>370</v>
      </c>
      <c r="E46" s="1" t="s">
        <v>67</v>
      </c>
      <c r="F46" s="102" t="str">
        <f>各种公式!C12</f>
        <v>生命</v>
      </c>
      <c r="G46" s="102" t="str">
        <f>各种公式!D12</f>
        <v>攻击</v>
      </c>
      <c r="H46" s="102" t="str">
        <f>各种公式!E12</f>
        <v>防御</v>
      </c>
      <c r="I46" s="102" t="str">
        <f>各种公式!F12</f>
        <v>闪避值</v>
      </c>
      <c r="J46" s="102" t="str">
        <f>各种公式!G12</f>
        <v>命中值</v>
      </c>
      <c r="K46" s="102" t="str">
        <f>各种公式!H12</f>
        <v>暴击值</v>
      </c>
      <c r="L46" s="102" t="str">
        <f>各种公式!I12</f>
        <v>暴击倍数</v>
      </c>
      <c r="M46" s="102" t="str">
        <f>各种公式!J12</f>
        <v>韧性值</v>
      </c>
      <c r="N46" s="102" t="str">
        <f>各种公式!K12</f>
        <v>伤害减免</v>
      </c>
      <c r="O46" s="102" t="str">
        <f>各种公式!L12</f>
        <v>伤害加深</v>
      </c>
      <c r="P46" s="102" t="str">
        <f>各种公式!M12</f>
        <v>生命加成</v>
      </c>
      <c r="Q46" s="102" t="str">
        <f>各种公式!N12</f>
        <v>攻击加成</v>
      </c>
      <c r="R46" s="102" t="str">
        <f>各种公式!O12</f>
        <v>防御加成</v>
      </c>
    </row>
    <row r="47" spans="4:18" x14ac:dyDescent="0.15">
      <c r="E47" s="1">
        <v>1</v>
      </c>
      <c r="F47" s="1">
        <f t="shared" ref="F47:O47" si="7">I10*I$6/SUM(I$5:I$6)</f>
        <v>10452.842618624147</v>
      </c>
      <c r="G47" s="1">
        <f t="shared" si="7"/>
        <v>294.96128342245999</v>
      </c>
      <c r="H47" s="1">
        <f t="shared" si="7"/>
        <v>159.323396880416</v>
      </c>
      <c r="I47" s="1">
        <f t="shared" si="7"/>
        <v>0</v>
      </c>
      <c r="J47" s="1">
        <f t="shared" si="7"/>
        <v>0</v>
      </c>
      <c r="K47" s="1">
        <f t="shared" si="7"/>
        <v>0</v>
      </c>
      <c r="L47" s="1">
        <f t="shared" si="7"/>
        <v>1190.4761904761904</v>
      </c>
      <c r="M47" s="1">
        <f t="shared" si="7"/>
        <v>0</v>
      </c>
      <c r="N47" s="1">
        <f t="shared" si="7"/>
        <v>833.33333333333326</v>
      </c>
      <c r="O47" s="1">
        <f t="shared" si="7"/>
        <v>833.33333333333326</v>
      </c>
      <c r="P47" s="1">
        <f t="shared" ref="P47:R47" si="8">S10*S$6/SUM(S$5:S$6)</f>
        <v>370.37037037037032</v>
      </c>
      <c r="Q47" s="1">
        <f t="shared" si="8"/>
        <v>0</v>
      </c>
      <c r="R47" s="1">
        <f t="shared" si="8"/>
        <v>0</v>
      </c>
    </row>
    <row r="48" spans="4:18" x14ac:dyDescent="0.15">
      <c r="E48" s="1">
        <v>2</v>
      </c>
      <c r="F48" s="1">
        <f t="shared" ref="F48:N52" si="9">I11*I$6/SUM(I$5:I$6)</f>
        <v>10452.842618624147</v>
      </c>
      <c r="G48" s="1">
        <f t="shared" si="9"/>
        <v>294.96128342245999</v>
      </c>
      <c r="H48" s="1">
        <f t="shared" si="9"/>
        <v>159.323396880416</v>
      </c>
      <c r="I48" s="1">
        <f t="shared" si="9"/>
        <v>0</v>
      </c>
      <c r="J48" s="1">
        <f t="shared" si="9"/>
        <v>0</v>
      </c>
      <c r="K48" s="1">
        <f t="shared" si="9"/>
        <v>0</v>
      </c>
      <c r="L48" s="1">
        <f t="shared" si="9"/>
        <v>1190.4761904761904</v>
      </c>
      <c r="M48" s="1">
        <f t="shared" si="9"/>
        <v>0</v>
      </c>
      <c r="N48" s="1">
        <f t="shared" si="9"/>
        <v>833.33333333333326</v>
      </c>
      <c r="O48" s="1">
        <f t="shared" ref="O48:O52" si="10">R11*R$6/SUM(R$5:R$6)</f>
        <v>833.33333333333326</v>
      </c>
      <c r="P48" s="1">
        <f t="shared" ref="P48:P52" si="11">S11*S$6/SUM(S$5:S$6)</f>
        <v>370.37037037037032</v>
      </c>
      <c r="Q48" s="1">
        <f t="shared" ref="Q48:Q52" si="12">T11*T$6/SUM(T$5:T$6)</f>
        <v>0</v>
      </c>
      <c r="R48" s="1">
        <f t="shared" ref="R48:R52" si="13">U11*U$6/SUM(U$5:U$6)</f>
        <v>0</v>
      </c>
    </row>
    <row r="49" spans="4:18" x14ac:dyDescent="0.15">
      <c r="E49" s="1">
        <v>3</v>
      </c>
      <c r="F49" s="1">
        <f t="shared" si="9"/>
        <v>10452.842618624147</v>
      </c>
      <c r="G49" s="1">
        <f t="shared" si="9"/>
        <v>294.96128342245999</v>
      </c>
      <c r="H49" s="1">
        <f t="shared" si="9"/>
        <v>159.323396880416</v>
      </c>
      <c r="I49" s="1">
        <f t="shared" si="9"/>
        <v>0</v>
      </c>
      <c r="J49" s="1">
        <f t="shared" si="9"/>
        <v>0</v>
      </c>
      <c r="K49" s="1">
        <f t="shared" si="9"/>
        <v>0</v>
      </c>
      <c r="L49" s="1">
        <f t="shared" si="9"/>
        <v>1190.4761904761904</v>
      </c>
      <c r="M49" s="1">
        <f t="shared" si="9"/>
        <v>0</v>
      </c>
      <c r="N49" s="1">
        <f t="shared" si="9"/>
        <v>833.33333333333326</v>
      </c>
      <c r="O49" s="1">
        <f t="shared" si="10"/>
        <v>833.33333333333326</v>
      </c>
      <c r="P49" s="1">
        <f t="shared" si="11"/>
        <v>370.37037037037032</v>
      </c>
      <c r="Q49" s="1">
        <f t="shared" si="12"/>
        <v>0</v>
      </c>
      <c r="R49" s="1">
        <f t="shared" si="13"/>
        <v>0</v>
      </c>
    </row>
    <row r="50" spans="4:18" x14ac:dyDescent="0.15">
      <c r="E50" s="1">
        <v>4</v>
      </c>
      <c r="F50" s="1">
        <f t="shared" si="9"/>
        <v>10452.842618624147</v>
      </c>
      <c r="G50" s="1">
        <f t="shared" si="9"/>
        <v>294.96128342245999</v>
      </c>
      <c r="H50" s="1">
        <f t="shared" si="9"/>
        <v>159.323396880416</v>
      </c>
      <c r="I50" s="1">
        <f t="shared" si="9"/>
        <v>0</v>
      </c>
      <c r="J50" s="1">
        <f t="shared" si="9"/>
        <v>0</v>
      </c>
      <c r="K50" s="1">
        <f t="shared" si="9"/>
        <v>0</v>
      </c>
      <c r="L50" s="1">
        <f t="shared" si="9"/>
        <v>1190.4761904761904</v>
      </c>
      <c r="M50" s="1">
        <f t="shared" si="9"/>
        <v>0</v>
      </c>
      <c r="N50" s="1">
        <f t="shared" si="9"/>
        <v>833.33333333333326</v>
      </c>
      <c r="O50" s="1">
        <f t="shared" si="10"/>
        <v>833.33333333333326</v>
      </c>
      <c r="P50" s="1">
        <f t="shared" si="11"/>
        <v>370.37037037037032</v>
      </c>
      <c r="Q50" s="1">
        <f t="shared" si="12"/>
        <v>0</v>
      </c>
      <c r="R50" s="1">
        <f t="shared" si="13"/>
        <v>0</v>
      </c>
    </row>
    <row r="51" spans="4:18" x14ac:dyDescent="0.15">
      <c r="E51" s="1">
        <v>5</v>
      </c>
      <c r="F51" s="1">
        <f t="shared" si="9"/>
        <v>10452.842618624147</v>
      </c>
      <c r="G51" s="1">
        <f t="shared" si="9"/>
        <v>294.96128342245999</v>
      </c>
      <c r="H51" s="1">
        <f t="shared" si="9"/>
        <v>159.323396880416</v>
      </c>
      <c r="I51" s="1">
        <f t="shared" si="9"/>
        <v>0</v>
      </c>
      <c r="J51" s="1">
        <f t="shared" si="9"/>
        <v>0</v>
      </c>
      <c r="K51" s="1">
        <f t="shared" si="9"/>
        <v>0</v>
      </c>
      <c r="L51" s="1">
        <f t="shared" si="9"/>
        <v>1190.4761904761904</v>
      </c>
      <c r="M51" s="1">
        <f t="shared" si="9"/>
        <v>0</v>
      </c>
      <c r="N51" s="1">
        <f t="shared" si="9"/>
        <v>833.33333333333326</v>
      </c>
      <c r="O51" s="1">
        <f t="shared" si="10"/>
        <v>833.33333333333326</v>
      </c>
      <c r="P51" s="1">
        <f t="shared" si="11"/>
        <v>370.37037037037032</v>
      </c>
      <c r="Q51" s="1">
        <f t="shared" si="12"/>
        <v>0</v>
      </c>
      <c r="R51" s="1">
        <f t="shared" si="13"/>
        <v>0</v>
      </c>
    </row>
    <row r="52" spans="4:18" x14ac:dyDescent="0.15">
      <c r="E52" s="1">
        <v>6</v>
      </c>
      <c r="F52" s="1">
        <f t="shared" si="9"/>
        <v>10452.842618624147</v>
      </c>
      <c r="G52" s="1">
        <f t="shared" si="9"/>
        <v>294.96128342245999</v>
      </c>
      <c r="H52" s="1">
        <f t="shared" si="9"/>
        <v>159.323396880416</v>
      </c>
      <c r="I52" s="1">
        <f t="shared" si="9"/>
        <v>0</v>
      </c>
      <c r="J52" s="1">
        <f t="shared" si="9"/>
        <v>0</v>
      </c>
      <c r="K52" s="1">
        <f t="shared" si="9"/>
        <v>0</v>
      </c>
      <c r="L52" s="1">
        <f t="shared" si="9"/>
        <v>1190.4761904761904</v>
      </c>
      <c r="M52" s="1">
        <f t="shared" si="9"/>
        <v>0</v>
      </c>
      <c r="N52" s="1">
        <f t="shared" si="9"/>
        <v>833.33333333333326</v>
      </c>
      <c r="O52" s="1">
        <f t="shared" si="10"/>
        <v>833.33333333333326</v>
      </c>
      <c r="P52" s="1">
        <f t="shared" si="11"/>
        <v>370.37037037037032</v>
      </c>
      <c r="Q52" s="1">
        <f t="shared" si="12"/>
        <v>0</v>
      </c>
      <c r="R52" s="1">
        <f t="shared" si="13"/>
        <v>0</v>
      </c>
    </row>
    <row r="55" spans="4:18" x14ac:dyDescent="0.15">
      <c r="E55" s="1" t="str">
        <f>E46</f>
        <v>张数</v>
      </c>
      <c r="F55" s="1" t="str">
        <f>F46</f>
        <v>生命</v>
      </c>
      <c r="G55" s="1" t="str">
        <f t="shared" ref="G55:R55" si="14">G46</f>
        <v>攻击</v>
      </c>
      <c r="H55" s="1" t="str">
        <f t="shared" si="14"/>
        <v>防御</v>
      </c>
      <c r="I55" s="1" t="str">
        <f t="shared" si="14"/>
        <v>闪避值</v>
      </c>
      <c r="J55" s="1" t="str">
        <f t="shared" si="14"/>
        <v>命中值</v>
      </c>
      <c r="K55" s="1" t="str">
        <f t="shared" si="14"/>
        <v>暴击值</v>
      </c>
      <c r="L55" s="1" t="str">
        <f t="shared" si="14"/>
        <v>暴击倍数</v>
      </c>
      <c r="M55" s="1" t="str">
        <f t="shared" si="14"/>
        <v>韧性值</v>
      </c>
      <c r="N55" s="1" t="str">
        <f t="shared" si="14"/>
        <v>伤害减免</v>
      </c>
      <c r="O55" s="1" t="str">
        <f t="shared" si="14"/>
        <v>伤害加深</v>
      </c>
      <c r="P55" s="1" t="str">
        <f t="shared" si="14"/>
        <v>生命加成</v>
      </c>
      <c r="Q55" s="1" t="str">
        <f t="shared" si="14"/>
        <v>攻击加成</v>
      </c>
      <c r="R55" s="1" t="str">
        <f t="shared" si="14"/>
        <v>防御加成</v>
      </c>
    </row>
    <row r="56" spans="4:18" x14ac:dyDescent="0.15">
      <c r="E56" s="1">
        <v>1</v>
      </c>
      <c r="F56" s="1">
        <v>1</v>
      </c>
      <c r="G56" s="1"/>
      <c r="H56" s="1">
        <v>1</v>
      </c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4:18" x14ac:dyDescent="0.15">
      <c r="E57" s="1">
        <v>2</v>
      </c>
      <c r="F57" s="1">
        <v>1.5</v>
      </c>
      <c r="G57" s="1">
        <v>1</v>
      </c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</row>
    <row r="58" spans="4:18" x14ac:dyDescent="0.15">
      <c r="E58" s="1">
        <v>3</v>
      </c>
      <c r="F58" s="1">
        <v>3</v>
      </c>
      <c r="G58" s="1"/>
      <c r="H58" s="1">
        <v>2</v>
      </c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4:18" x14ac:dyDescent="0.15">
      <c r="E59" s="1">
        <v>4</v>
      </c>
      <c r="F59" s="1">
        <v>3.5</v>
      </c>
      <c r="G59" s="1">
        <v>2</v>
      </c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4:18" x14ac:dyDescent="0.15">
      <c r="E60" s="1">
        <v>5</v>
      </c>
      <c r="F60" s="1">
        <v>6</v>
      </c>
      <c r="G60" s="1"/>
      <c r="H60" s="1">
        <v>4</v>
      </c>
      <c r="I60" s="1"/>
      <c r="J60" s="1"/>
      <c r="K60" s="1"/>
      <c r="L60" s="1"/>
      <c r="M60" s="1"/>
      <c r="N60" s="1"/>
      <c r="O60" s="1"/>
      <c r="P60" s="1"/>
      <c r="Q60" s="1"/>
      <c r="R60" s="1"/>
    </row>
    <row r="61" spans="4:18" x14ac:dyDescent="0.15">
      <c r="E61" s="1">
        <v>6</v>
      </c>
      <c r="F61" s="1">
        <v>8</v>
      </c>
      <c r="G61" s="1">
        <v>4</v>
      </c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</row>
    <row r="64" spans="4:18" x14ac:dyDescent="0.15">
      <c r="D64" s="1" t="s">
        <v>416</v>
      </c>
      <c r="E64" s="1" t="str">
        <f>E46</f>
        <v>张数</v>
      </c>
      <c r="F64" s="1" t="str">
        <f t="shared" ref="F64:R64" si="15">F46</f>
        <v>生命</v>
      </c>
      <c r="G64" s="1" t="str">
        <f t="shared" si="15"/>
        <v>攻击</v>
      </c>
      <c r="H64" s="1" t="str">
        <f t="shared" si="15"/>
        <v>防御</v>
      </c>
      <c r="I64" s="1" t="str">
        <f t="shared" si="15"/>
        <v>闪避值</v>
      </c>
      <c r="J64" s="1" t="str">
        <f t="shared" si="15"/>
        <v>命中值</v>
      </c>
      <c r="K64" s="1" t="str">
        <f t="shared" si="15"/>
        <v>暴击值</v>
      </c>
      <c r="L64" s="1" t="str">
        <f t="shared" si="15"/>
        <v>暴击倍数</v>
      </c>
      <c r="M64" s="1" t="str">
        <f t="shared" si="15"/>
        <v>韧性值</v>
      </c>
      <c r="N64" s="1" t="str">
        <f t="shared" si="15"/>
        <v>伤害减免</v>
      </c>
      <c r="O64" s="1" t="str">
        <f t="shared" si="15"/>
        <v>伤害加深</v>
      </c>
      <c r="P64" s="1" t="str">
        <f t="shared" si="15"/>
        <v>生命加成</v>
      </c>
      <c r="Q64" s="1" t="str">
        <f t="shared" si="15"/>
        <v>攻击加成</v>
      </c>
      <c r="R64" s="1" t="str">
        <f t="shared" si="15"/>
        <v>防御加成</v>
      </c>
    </row>
    <row r="65" spans="4:18" x14ac:dyDescent="0.15">
      <c r="D65" s="1">
        <f>COUNTIF(F65:R65,"&gt;0")</f>
        <v>2</v>
      </c>
      <c r="E65" s="1">
        <v>1</v>
      </c>
      <c r="F65" s="1">
        <f>IFERROR(F56/SUM(F$56:F$61)*SUM(F$47:F$52),0)</f>
        <v>2726.8285092062993</v>
      </c>
      <c r="G65" s="1">
        <f t="shared" ref="G65:R65" si="16">IFERROR(G56/SUM(G$56:G$61)*SUM(G$47:G$52),0)</f>
        <v>0</v>
      </c>
      <c r="H65" s="1">
        <f t="shared" si="16"/>
        <v>136.56291161178513</v>
      </c>
      <c r="I65" s="1">
        <f t="shared" si="16"/>
        <v>0</v>
      </c>
      <c r="J65" s="1">
        <f t="shared" si="16"/>
        <v>0</v>
      </c>
      <c r="K65" s="1">
        <f t="shared" si="16"/>
        <v>0</v>
      </c>
      <c r="L65" s="1">
        <f t="shared" si="16"/>
        <v>0</v>
      </c>
      <c r="M65" s="1">
        <f t="shared" si="16"/>
        <v>0</v>
      </c>
      <c r="N65" s="1">
        <f t="shared" si="16"/>
        <v>0</v>
      </c>
      <c r="O65" s="1">
        <f t="shared" si="16"/>
        <v>0</v>
      </c>
      <c r="P65" s="1">
        <f t="shared" si="16"/>
        <v>0</v>
      </c>
      <c r="Q65" s="1">
        <f t="shared" si="16"/>
        <v>0</v>
      </c>
      <c r="R65" s="1">
        <f t="shared" si="16"/>
        <v>0</v>
      </c>
    </row>
    <row r="66" spans="4:18" x14ac:dyDescent="0.15">
      <c r="D66" s="1">
        <f t="shared" ref="D66:D70" si="17">COUNTIF(F66:R66,"&gt;0")</f>
        <v>2</v>
      </c>
      <c r="E66" s="1">
        <v>2</v>
      </c>
      <c r="F66" s="1">
        <f t="shared" ref="F66:F70" si="18">IFERROR(F57/SUM(F$56:F$61)*SUM(F$47:F$52),0)</f>
        <v>4090.2427638094487</v>
      </c>
      <c r="G66" s="1">
        <f t="shared" ref="G66:R70" si="19">IFERROR(G57/SUM(G$56:G$61)*SUM(G$47:G$52),0)</f>
        <v>252.82395721925138</v>
      </c>
      <c r="H66" s="1">
        <f t="shared" si="19"/>
        <v>0</v>
      </c>
      <c r="I66" s="1">
        <f t="shared" si="19"/>
        <v>0</v>
      </c>
      <c r="J66" s="1">
        <f t="shared" si="19"/>
        <v>0</v>
      </c>
      <c r="K66" s="1">
        <f t="shared" si="19"/>
        <v>0</v>
      </c>
      <c r="L66" s="1">
        <f t="shared" si="19"/>
        <v>0</v>
      </c>
      <c r="M66" s="1">
        <f t="shared" si="19"/>
        <v>0</v>
      </c>
      <c r="N66" s="1">
        <f t="shared" si="19"/>
        <v>0</v>
      </c>
      <c r="O66" s="1">
        <f t="shared" si="19"/>
        <v>0</v>
      </c>
      <c r="P66" s="1">
        <f t="shared" si="19"/>
        <v>0</v>
      </c>
      <c r="Q66" s="1">
        <f t="shared" si="19"/>
        <v>0</v>
      </c>
      <c r="R66" s="1">
        <f t="shared" si="19"/>
        <v>0</v>
      </c>
    </row>
    <row r="67" spans="4:18" x14ac:dyDescent="0.15">
      <c r="D67" s="1">
        <f t="shared" si="17"/>
        <v>2</v>
      </c>
      <c r="E67" s="1">
        <v>3</v>
      </c>
      <c r="F67" s="1">
        <f t="shared" si="18"/>
        <v>8180.4855276188973</v>
      </c>
      <c r="G67" s="1">
        <f t="shared" si="19"/>
        <v>0</v>
      </c>
      <c r="H67" s="1">
        <f t="shared" si="19"/>
        <v>273.12582322357025</v>
      </c>
      <c r="I67" s="1">
        <f t="shared" si="19"/>
        <v>0</v>
      </c>
      <c r="J67" s="1">
        <f t="shared" si="19"/>
        <v>0</v>
      </c>
      <c r="K67" s="1">
        <f t="shared" si="19"/>
        <v>0</v>
      </c>
      <c r="L67" s="1">
        <f t="shared" si="19"/>
        <v>0</v>
      </c>
      <c r="M67" s="1">
        <f t="shared" si="19"/>
        <v>0</v>
      </c>
      <c r="N67" s="1">
        <f t="shared" si="19"/>
        <v>0</v>
      </c>
      <c r="O67" s="1">
        <f t="shared" si="19"/>
        <v>0</v>
      </c>
      <c r="P67" s="1">
        <f t="shared" si="19"/>
        <v>0</v>
      </c>
      <c r="Q67" s="1">
        <f t="shared" si="19"/>
        <v>0</v>
      </c>
      <c r="R67" s="1">
        <f t="shared" si="19"/>
        <v>0</v>
      </c>
    </row>
    <row r="68" spans="4:18" x14ac:dyDescent="0.15">
      <c r="D68" s="1">
        <f t="shared" si="17"/>
        <v>2</v>
      </c>
      <c r="E68" s="1">
        <v>4</v>
      </c>
      <c r="F68" s="1">
        <f t="shared" si="18"/>
        <v>9543.8997822220481</v>
      </c>
      <c r="G68" s="1">
        <f t="shared" si="19"/>
        <v>505.64791443850277</v>
      </c>
      <c r="H68" s="1">
        <f t="shared" si="19"/>
        <v>0</v>
      </c>
      <c r="I68" s="1">
        <f t="shared" si="19"/>
        <v>0</v>
      </c>
      <c r="J68" s="1">
        <f t="shared" si="19"/>
        <v>0</v>
      </c>
      <c r="K68" s="1">
        <f t="shared" si="19"/>
        <v>0</v>
      </c>
      <c r="L68" s="1">
        <f t="shared" si="19"/>
        <v>0</v>
      </c>
      <c r="M68" s="1">
        <f t="shared" si="19"/>
        <v>0</v>
      </c>
      <c r="N68" s="1">
        <f t="shared" si="19"/>
        <v>0</v>
      </c>
      <c r="O68" s="1">
        <f t="shared" si="19"/>
        <v>0</v>
      </c>
      <c r="P68" s="1">
        <f t="shared" si="19"/>
        <v>0</v>
      </c>
      <c r="Q68" s="1">
        <f t="shared" si="19"/>
        <v>0</v>
      </c>
      <c r="R68" s="1">
        <f t="shared" si="19"/>
        <v>0</v>
      </c>
    </row>
    <row r="69" spans="4:18" x14ac:dyDescent="0.15">
      <c r="D69" s="1">
        <f t="shared" si="17"/>
        <v>2</v>
      </c>
      <c r="E69" s="1">
        <v>5</v>
      </c>
      <c r="F69" s="1">
        <f t="shared" si="18"/>
        <v>16360.971055237795</v>
      </c>
      <c r="G69" s="1">
        <f t="shared" si="19"/>
        <v>0</v>
      </c>
      <c r="H69" s="1">
        <f t="shared" si="19"/>
        <v>546.2516464471405</v>
      </c>
      <c r="I69" s="1">
        <f t="shared" si="19"/>
        <v>0</v>
      </c>
      <c r="J69" s="1">
        <f t="shared" si="19"/>
        <v>0</v>
      </c>
      <c r="K69" s="1">
        <f t="shared" si="19"/>
        <v>0</v>
      </c>
      <c r="L69" s="1">
        <f t="shared" si="19"/>
        <v>0</v>
      </c>
      <c r="M69" s="1">
        <f t="shared" si="19"/>
        <v>0</v>
      </c>
      <c r="N69" s="1">
        <f t="shared" si="19"/>
        <v>0</v>
      </c>
      <c r="O69" s="1">
        <f t="shared" si="19"/>
        <v>0</v>
      </c>
      <c r="P69" s="1">
        <f t="shared" si="19"/>
        <v>0</v>
      </c>
      <c r="Q69" s="1">
        <f t="shared" si="19"/>
        <v>0</v>
      </c>
      <c r="R69" s="1">
        <f t="shared" si="19"/>
        <v>0</v>
      </c>
    </row>
    <row r="70" spans="4:18" x14ac:dyDescent="0.15">
      <c r="D70" s="1">
        <f t="shared" si="17"/>
        <v>2</v>
      </c>
      <c r="E70" s="1">
        <v>6</v>
      </c>
      <c r="F70" s="1">
        <f t="shared" si="18"/>
        <v>21814.628073650394</v>
      </c>
      <c r="G70" s="1">
        <f t="shared" si="19"/>
        <v>1011.2958288770055</v>
      </c>
      <c r="H70" s="1">
        <f t="shared" si="19"/>
        <v>0</v>
      </c>
      <c r="I70" s="1">
        <f t="shared" si="19"/>
        <v>0</v>
      </c>
      <c r="J70" s="1">
        <f t="shared" si="19"/>
        <v>0</v>
      </c>
      <c r="K70" s="1">
        <f t="shared" si="19"/>
        <v>0</v>
      </c>
      <c r="L70" s="1">
        <f t="shared" si="19"/>
        <v>0</v>
      </c>
      <c r="M70" s="1">
        <f t="shared" si="19"/>
        <v>0</v>
      </c>
      <c r="N70" s="1">
        <f t="shared" si="19"/>
        <v>0</v>
      </c>
      <c r="O70" s="1">
        <f t="shared" si="19"/>
        <v>0</v>
      </c>
      <c r="P70" s="1">
        <f t="shared" si="19"/>
        <v>0</v>
      </c>
      <c r="Q70" s="1">
        <f t="shared" si="19"/>
        <v>0</v>
      </c>
      <c r="R70" s="1">
        <f t="shared" si="19"/>
        <v>0</v>
      </c>
    </row>
    <row r="72" spans="4:18" x14ac:dyDescent="0.15">
      <c r="D72" t="s">
        <v>438</v>
      </c>
    </row>
    <row r="73" spans="4:18" x14ac:dyDescent="0.15">
      <c r="D73" s="1">
        <f>SUM(F73:R73)</f>
        <v>245.63605198003711</v>
      </c>
      <c r="E73" s="1">
        <v>1</v>
      </c>
      <c r="F73" s="1">
        <f>F65*各种公式!C$13</f>
        <v>109.07314036825197</v>
      </c>
      <c r="G73" s="1">
        <f>G65*各种公式!D$13</f>
        <v>0</v>
      </c>
      <c r="H73" s="1">
        <f>H65*各种公式!E$13</f>
        <v>136.56291161178513</v>
      </c>
      <c r="I73" s="1">
        <f>I65*各种公式!F$13</f>
        <v>0</v>
      </c>
      <c r="J73" s="1">
        <f>J65*各种公式!G$13</f>
        <v>0</v>
      </c>
      <c r="K73" s="1">
        <f>K65*各种公式!H$13</f>
        <v>0</v>
      </c>
      <c r="L73" s="1">
        <f>L65*各种公式!I$13</f>
        <v>0</v>
      </c>
      <c r="M73" s="1">
        <f>M65*各种公式!J$13</f>
        <v>0</v>
      </c>
      <c r="N73" s="1">
        <f>N65*各种公式!K$13</f>
        <v>0</v>
      </c>
      <c r="O73" s="1">
        <f>O65*各种公式!L$13</f>
        <v>0</v>
      </c>
      <c r="P73" s="1">
        <f>P65*各种公式!M$13</f>
        <v>0</v>
      </c>
      <c r="Q73" s="1">
        <f>Q65*各种公式!N$13</f>
        <v>0</v>
      </c>
      <c r="R73" s="1">
        <f>R65*各种公式!O$13</f>
        <v>0</v>
      </c>
    </row>
    <row r="74" spans="4:18" x14ac:dyDescent="0.15">
      <c r="D74" s="1">
        <f t="shared" ref="D74:D78" si="20">SUM(F74:R74)</f>
        <v>416.4336677716293</v>
      </c>
      <c r="E74" s="1">
        <v>2</v>
      </c>
      <c r="F74" s="1">
        <f>F66*各种公式!C$13</f>
        <v>163.60971055237795</v>
      </c>
      <c r="G74" s="1">
        <f>G66*各种公式!D$13</f>
        <v>252.82395721925138</v>
      </c>
      <c r="H74" s="1">
        <f>H66*各种公式!E$13</f>
        <v>0</v>
      </c>
      <c r="I74" s="1">
        <f>I66*各种公式!F$13</f>
        <v>0</v>
      </c>
      <c r="J74" s="1">
        <f>J66*各种公式!G$13</f>
        <v>0</v>
      </c>
      <c r="K74" s="1">
        <f>K66*各种公式!H$13</f>
        <v>0</v>
      </c>
      <c r="L74" s="1">
        <f>L66*各种公式!I$13</f>
        <v>0</v>
      </c>
      <c r="M74" s="1">
        <f>M66*各种公式!J$13</f>
        <v>0</v>
      </c>
      <c r="N74" s="1">
        <f>N66*各种公式!K$13</f>
        <v>0</v>
      </c>
      <c r="O74" s="1">
        <f>O66*各种公式!L$13</f>
        <v>0</v>
      </c>
      <c r="P74" s="1">
        <f>P66*各种公式!M$13</f>
        <v>0</v>
      </c>
      <c r="Q74" s="1">
        <f>Q66*各种公式!N$13</f>
        <v>0</v>
      </c>
      <c r="R74" s="1">
        <f>R66*各种公式!O$13</f>
        <v>0</v>
      </c>
    </row>
    <row r="75" spans="4:18" x14ac:dyDescent="0.15">
      <c r="D75" s="1">
        <f t="shared" si="20"/>
        <v>600.34524432832609</v>
      </c>
      <c r="E75" s="1">
        <v>3</v>
      </c>
      <c r="F75" s="1">
        <f>F67*各种公式!C$13</f>
        <v>327.2194211047559</v>
      </c>
      <c r="G75" s="1">
        <f>G67*各种公式!D$13</f>
        <v>0</v>
      </c>
      <c r="H75" s="1">
        <f>H67*各种公式!E$13</f>
        <v>273.12582322357025</v>
      </c>
      <c r="I75" s="1">
        <f>I67*各种公式!F$13</f>
        <v>0</v>
      </c>
      <c r="J75" s="1">
        <f>J67*各种公式!G$13</f>
        <v>0</v>
      </c>
      <c r="K75" s="1">
        <f>K67*各种公式!H$13</f>
        <v>0</v>
      </c>
      <c r="L75" s="1">
        <f>L67*各种公式!I$13</f>
        <v>0</v>
      </c>
      <c r="M75" s="1">
        <f>M67*各种公式!J$13</f>
        <v>0</v>
      </c>
      <c r="N75" s="1">
        <f>N67*各种公式!K$13</f>
        <v>0</v>
      </c>
      <c r="O75" s="1">
        <f>O67*各种公式!L$13</f>
        <v>0</v>
      </c>
      <c r="P75" s="1">
        <f>P67*各种公式!M$13</f>
        <v>0</v>
      </c>
      <c r="Q75" s="1">
        <f>Q67*各种公式!N$13</f>
        <v>0</v>
      </c>
      <c r="R75" s="1">
        <f>R67*各种公式!O$13</f>
        <v>0</v>
      </c>
    </row>
    <row r="76" spans="4:18" x14ac:dyDescent="0.15">
      <c r="D76" s="1">
        <f t="shared" si="20"/>
        <v>887.40390572738465</v>
      </c>
      <c r="E76" s="1">
        <v>4</v>
      </c>
      <c r="F76" s="1">
        <f>F68*各种公式!C$13</f>
        <v>381.75599128888194</v>
      </c>
      <c r="G76" s="1">
        <f>G68*各种公式!D$13</f>
        <v>505.64791443850277</v>
      </c>
      <c r="H76" s="1">
        <f>H68*各种公式!E$13</f>
        <v>0</v>
      </c>
      <c r="I76" s="1">
        <f>I68*各种公式!F$13</f>
        <v>0</v>
      </c>
      <c r="J76" s="1">
        <f>J68*各种公式!G$13</f>
        <v>0</v>
      </c>
      <c r="K76" s="1">
        <f>K68*各种公式!H$13</f>
        <v>0</v>
      </c>
      <c r="L76" s="1">
        <f>L68*各种公式!I$13</f>
        <v>0</v>
      </c>
      <c r="M76" s="1">
        <f>M68*各种公式!J$13</f>
        <v>0</v>
      </c>
      <c r="N76" s="1">
        <f>N68*各种公式!K$13</f>
        <v>0</v>
      </c>
      <c r="O76" s="1">
        <f>O68*各种公式!L$13</f>
        <v>0</v>
      </c>
      <c r="P76" s="1">
        <f>P68*各种公式!M$13</f>
        <v>0</v>
      </c>
      <c r="Q76" s="1">
        <f>Q68*各种公式!N$13</f>
        <v>0</v>
      </c>
      <c r="R76" s="1">
        <f>R68*各种公式!O$13</f>
        <v>0</v>
      </c>
    </row>
    <row r="77" spans="4:18" x14ac:dyDescent="0.15">
      <c r="D77" s="1">
        <f t="shared" si="20"/>
        <v>1200.6904886566522</v>
      </c>
      <c r="E77" s="1">
        <v>5</v>
      </c>
      <c r="F77" s="1">
        <f>F69*各种公式!C$13</f>
        <v>654.43884220951179</v>
      </c>
      <c r="G77" s="1">
        <f>G69*各种公式!D$13</f>
        <v>0</v>
      </c>
      <c r="H77" s="1">
        <f>H69*各种公式!E$13</f>
        <v>546.2516464471405</v>
      </c>
      <c r="I77" s="1">
        <f>I69*各种公式!F$13</f>
        <v>0</v>
      </c>
      <c r="J77" s="1">
        <f>J69*各种公式!G$13</f>
        <v>0</v>
      </c>
      <c r="K77" s="1">
        <f>K69*各种公式!H$13</f>
        <v>0</v>
      </c>
      <c r="L77" s="1">
        <f>L69*各种公式!I$13</f>
        <v>0</v>
      </c>
      <c r="M77" s="1">
        <f>M69*各种公式!J$13</f>
        <v>0</v>
      </c>
      <c r="N77" s="1">
        <f>N69*各种公式!K$13</f>
        <v>0</v>
      </c>
      <c r="O77" s="1">
        <f>O69*各种公式!L$13</f>
        <v>0</v>
      </c>
      <c r="P77" s="1">
        <f>P69*各种公式!M$13</f>
        <v>0</v>
      </c>
      <c r="Q77" s="1">
        <f>Q69*各种公式!N$13</f>
        <v>0</v>
      </c>
      <c r="R77" s="1">
        <f>R69*各种公式!O$13</f>
        <v>0</v>
      </c>
    </row>
    <row r="78" spans="4:18" x14ac:dyDescent="0.15">
      <c r="D78" s="1">
        <f t="shared" si="20"/>
        <v>1883.8809518230214</v>
      </c>
      <c r="E78" s="1">
        <v>6</v>
      </c>
      <c r="F78" s="1">
        <f>F70*各种公式!C$13</f>
        <v>872.58512294601576</v>
      </c>
      <c r="G78" s="1">
        <f>G70*各种公式!D$13</f>
        <v>1011.2958288770055</v>
      </c>
      <c r="H78" s="1">
        <f>H70*各种公式!E$13</f>
        <v>0</v>
      </c>
      <c r="I78" s="1">
        <f>I70*各种公式!F$13</f>
        <v>0</v>
      </c>
      <c r="J78" s="1">
        <f>J70*各种公式!G$13</f>
        <v>0</v>
      </c>
      <c r="K78" s="1">
        <f>K70*各种公式!H$13</f>
        <v>0</v>
      </c>
      <c r="L78" s="1">
        <f>L70*各种公式!I$13</f>
        <v>0</v>
      </c>
      <c r="M78" s="1">
        <f>M70*各种公式!J$13</f>
        <v>0</v>
      </c>
      <c r="N78" s="1">
        <f>N70*各种公式!K$13</f>
        <v>0</v>
      </c>
      <c r="O78" s="1">
        <f>O70*各种公式!L$13</f>
        <v>0</v>
      </c>
      <c r="P78" s="1">
        <f>P70*各种公式!M$13</f>
        <v>0</v>
      </c>
      <c r="Q78" s="1">
        <f>Q70*各种公式!N$13</f>
        <v>0</v>
      </c>
      <c r="R78" s="1">
        <f>R70*各种公式!O$13</f>
        <v>0</v>
      </c>
    </row>
  </sheetData>
  <phoneticPr fontId="1" type="noConversion"/>
  <conditionalFormatting sqref="D73:D78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{4B3189A3-2C06-441F-AFC3-DC8AB44EE8EF}</x14:id>
        </ext>
      </extLst>
    </cfRule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B3189A3-2C06-441F-AFC3-DC8AB44EE8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D73:D78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T60"/>
  <sheetViews>
    <sheetView topLeftCell="A10" workbookViewId="0">
      <selection activeCell="D22" sqref="D22:M32"/>
    </sheetView>
  </sheetViews>
  <sheetFormatPr defaultColWidth="8.875" defaultRowHeight="13.5" x14ac:dyDescent="0.15"/>
  <cols>
    <col min="1" max="1" width="19.375" style="14" bestFit="1" customWidth="1"/>
    <col min="2" max="3" width="16.125" style="14" bestFit="1" customWidth="1"/>
    <col min="4" max="5" width="8.875" style="14"/>
    <col min="6" max="6" width="12.75" style="14" bestFit="1" customWidth="1"/>
    <col min="7" max="7" width="13.125" style="14" customWidth="1"/>
    <col min="8" max="8" width="15.125" style="14" bestFit="1" customWidth="1"/>
    <col min="9" max="9" width="13.875" style="14" customWidth="1"/>
    <col min="10" max="10" width="11.625" style="14" bestFit="1" customWidth="1"/>
    <col min="11" max="11" width="16.125" style="14" bestFit="1" customWidth="1"/>
    <col min="12" max="13" width="12.75" style="14" bestFit="1" customWidth="1"/>
    <col min="14" max="14" width="11.625" style="14" bestFit="1" customWidth="1"/>
    <col min="15" max="15" width="12.75" style="14" bestFit="1" customWidth="1"/>
    <col min="16" max="16" width="11.625" style="14" bestFit="1" customWidth="1"/>
    <col min="17" max="17" width="13.125" style="14" customWidth="1"/>
    <col min="18" max="18" width="10.75" style="14" customWidth="1"/>
    <col min="19" max="20" width="11.5" style="14" customWidth="1"/>
    <col min="21" max="16384" width="8.875" style="14"/>
  </cols>
  <sheetData>
    <row r="1" spans="1:19" x14ac:dyDescent="0.15">
      <c r="A1" s="5" t="s">
        <v>61</v>
      </c>
      <c r="B1" s="5">
        <v>8</v>
      </c>
      <c r="G1" s="23"/>
    </row>
    <row r="2" spans="1:19" x14ac:dyDescent="0.15">
      <c r="A2" s="5" t="s">
        <v>58</v>
      </c>
      <c r="B2" s="5">
        <v>8</v>
      </c>
      <c r="G2" s="23"/>
    </row>
    <row r="3" spans="1:19" x14ac:dyDescent="0.15">
      <c r="A3" s="5" t="s">
        <v>59</v>
      </c>
      <c r="B3" s="5">
        <v>7</v>
      </c>
      <c r="G3" s="23"/>
    </row>
    <row r="4" spans="1:19" x14ac:dyDescent="0.15">
      <c r="A4" s="5" t="s">
        <v>278</v>
      </c>
      <c r="B4" s="5" t="s">
        <v>302</v>
      </c>
      <c r="G4" s="23"/>
    </row>
    <row r="5" spans="1:19" x14ac:dyDescent="0.15">
      <c r="C5" s="22"/>
      <c r="D5" s="22" t="s">
        <v>68</v>
      </c>
      <c r="E5" s="22" t="s">
        <v>52</v>
      </c>
      <c r="F5" s="22" t="s">
        <v>55</v>
      </c>
      <c r="G5" s="22" t="s">
        <v>142</v>
      </c>
    </row>
    <row r="6" spans="1:19" x14ac:dyDescent="0.15">
      <c r="B6" s="14" t="s">
        <v>124</v>
      </c>
      <c r="C6" s="5" t="s">
        <v>436</v>
      </c>
      <c r="D6" s="7">
        <v>1</v>
      </c>
      <c r="E6" s="5">
        <f>D6/SUM($D$6:$D$7)</f>
        <v>0.125</v>
      </c>
      <c r="F6" s="5">
        <f>$B$1/$B$2*E6</f>
        <v>0.125</v>
      </c>
      <c r="G6" s="5"/>
    </row>
    <row r="7" spans="1:19" x14ac:dyDescent="0.15">
      <c r="B7" s="16"/>
      <c r="C7" s="5" t="s">
        <v>1</v>
      </c>
      <c r="D7" s="7">
        <v>7</v>
      </c>
      <c r="E7" s="5">
        <f>D7/SUM($D$6:$D$7)</f>
        <v>0.875</v>
      </c>
      <c r="F7" s="5">
        <f>$B$1/$B$2*E7</f>
        <v>0.875</v>
      </c>
      <c r="G7" s="5"/>
    </row>
    <row r="8" spans="1:19" x14ac:dyDescent="0.15">
      <c r="B8" s="16"/>
      <c r="C8" s="5" t="s">
        <v>141</v>
      </c>
      <c r="D8" s="5">
        <f>D7/B3</f>
        <v>1</v>
      </c>
      <c r="E8" s="5"/>
      <c r="F8" s="5">
        <f>F7/B3</f>
        <v>0.125</v>
      </c>
      <c r="G8" s="5">
        <f>D8/D6</f>
        <v>1</v>
      </c>
    </row>
    <row r="9" spans="1:19" x14ac:dyDescent="0.15">
      <c r="B9" s="16"/>
    </row>
    <row r="10" spans="1:19" x14ac:dyDescent="0.15">
      <c r="A10" s="16"/>
      <c r="B10" s="16"/>
      <c r="C10" s="16"/>
      <c r="D10" s="16"/>
      <c r="E10" s="16"/>
      <c r="F10" s="16"/>
      <c r="H10" s="16"/>
      <c r="Q10" s="16"/>
      <c r="S10" s="16"/>
    </row>
    <row r="11" spans="1:19" x14ac:dyDescent="0.15">
      <c r="A11" s="17"/>
      <c r="B11" s="16"/>
      <c r="H11" s="16"/>
      <c r="Q11" s="16"/>
    </row>
    <row r="12" spans="1:19" x14ac:dyDescent="0.15">
      <c r="A12" s="17"/>
      <c r="B12" s="16" t="s">
        <v>125</v>
      </c>
      <c r="C12" s="22" t="s">
        <v>121</v>
      </c>
      <c r="D12" s="22" t="s">
        <v>122</v>
      </c>
      <c r="E12" s="22" t="s">
        <v>51</v>
      </c>
      <c r="F12" s="22" t="s">
        <v>53</v>
      </c>
      <c r="G12" s="22" t="s">
        <v>120</v>
      </c>
      <c r="H12" s="22" t="s">
        <v>123</v>
      </c>
      <c r="Q12" s="16"/>
    </row>
    <row r="13" spans="1:19" x14ac:dyDescent="0.15">
      <c r="A13" s="17"/>
      <c r="B13" s="16"/>
      <c r="C13" s="5">
        <v>1</v>
      </c>
      <c r="D13" s="5" t="s">
        <v>46</v>
      </c>
      <c r="E13" s="7">
        <v>1</v>
      </c>
      <c r="F13" s="5">
        <f>E13/$E$17</f>
        <v>9.5259868922420346E-2</v>
      </c>
      <c r="G13" s="18">
        <f>$F$6*F13</f>
        <v>1.1907483615302543E-2</v>
      </c>
      <c r="H13" s="5">
        <f>G13*$G$8</f>
        <v>1.1907483615302543E-2</v>
      </c>
      <c r="Q13" s="16"/>
    </row>
    <row r="14" spans="1:19" x14ac:dyDescent="0.15">
      <c r="A14" s="17"/>
      <c r="B14" s="16"/>
      <c r="C14" s="5">
        <v>2</v>
      </c>
      <c r="D14" s="5" t="s">
        <v>47</v>
      </c>
      <c r="E14" s="7">
        <f>E13*1.8</f>
        <v>1.8</v>
      </c>
      <c r="F14" s="5">
        <f>E14/$E$17</f>
        <v>0.17146776406035663</v>
      </c>
      <c r="G14" s="18">
        <f t="shared" ref="G14:G16" si="0">$F$6*F14</f>
        <v>2.1433470507544579E-2</v>
      </c>
      <c r="H14" s="5">
        <f t="shared" ref="H14:H17" si="1">G14*$G$8</f>
        <v>2.1433470507544579E-2</v>
      </c>
      <c r="Q14" s="16"/>
    </row>
    <row r="15" spans="1:19" x14ac:dyDescent="0.15">
      <c r="A15" s="17"/>
      <c r="B15" s="16"/>
      <c r="C15" s="5">
        <v>3</v>
      </c>
      <c r="D15" s="5" t="s">
        <v>48</v>
      </c>
      <c r="E15" s="7">
        <f t="shared" ref="E15:E17" si="2">E14*1.8</f>
        <v>3.24</v>
      </c>
      <c r="F15" s="5">
        <f>E15/$E$17</f>
        <v>0.30864197530864196</v>
      </c>
      <c r="G15" s="18">
        <f t="shared" si="0"/>
        <v>3.8580246913580245E-2</v>
      </c>
      <c r="H15" s="5">
        <f t="shared" si="1"/>
        <v>3.8580246913580245E-2</v>
      </c>
      <c r="Q15" s="16"/>
    </row>
    <row r="16" spans="1:19" x14ac:dyDescent="0.15">
      <c r="A16" s="17"/>
      <c r="B16" s="16"/>
      <c r="C16" s="5">
        <v>4</v>
      </c>
      <c r="D16" s="5" t="s">
        <v>49</v>
      </c>
      <c r="E16" s="7">
        <f t="shared" si="2"/>
        <v>5.8320000000000007</v>
      </c>
      <c r="F16" s="5">
        <f>E16/$E$17</f>
        <v>0.55555555555555547</v>
      </c>
      <c r="G16" s="18">
        <f t="shared" si="0"/>
        <v>6.9444444444444434E-2</v>
      </c>
      <c r="H16" s="5">
        <f t="shared" si="1"/>
        <v>6.9444444444444434E-2</v>
      </c>
      <c r="Q16" s="16"/>
    </row>
    <row r="17" spans="1:20" x14ac:dyDescent="0.15">
      <c r="A17" s="17"/>
      <c r="B17" s="16"/>
      <c r="C17" s="5">
        <v>5</v>
      </c>
      <c r="D17" s="5" t="s">
        <v>50</v>
      </c>
      <c r="E17" s="7">
        <f t="shared" si="2"/>
        <v>10.497600000000002</v>
      </c>
      <c r="F17" s="5">
        <f>E17/$E$17</f>
        <v>1</v>
      </c>
      <c r="G17" s="18">
        <f>$F$6*F17</f>
        <v>0.125</v>
      </c>
      <c r="H17" s="5">
        <f t="shared" si="1"/>
        <v>0.125</v>
      </c>
      <c r="Q17" s="16"/>
    </row>
    <row r="18" spans="1:20" x14ac:dyDescent="0.15">
      <c r="A18" s="17"/>
      <c r="Q18" s="16"/>
    </row>
    <row r="19" spans="1:20" x14ac:dyDescent="0.15">
      <c r="A19" s="17"/>
      <c r="Q19" s="16"/>
    </row>
    <row r="20" spans="1:20" x14ac:dyDescent="0.15">
      <c r="A20" s="17"/>
      <c r="B20" s="93" t="s">
        <v>126</v>
      </c>
      <c r="C20" s="93"/>
      <c r="D20" s="93"/>
      <c r="E20" s="93"/>
      <c r="F20" s="93"/>
      <c r="G20" s="93"/>
      <c r="H20" s="59">
        <v>2</v>
      </c>
      <c r="I20" s="59">
        <v>3</v>
      </c>
      <c r="J20" s="59">
        <v>4</v>
      </c>
      <c r="K20" s="59">
        <v>5</v>
      </c>
      <c r="L20" s="59">
        <v>6</v>
      </c>
      <c r="M20" s="59">
        <v>7</v>
      </c>
      <c r="N20" s="59">
        <v>8</v>
      </c>
      <c r="O20" s="59">
        <v>9</v>
      </c>
      <c r="P20" s="59">
        <v>10</v>
      </c>
      <c r="Q20" s="59">
        <v>11</v>
      </c>
      <c r="R20" s="159">
        <v>12</v>
      </c>
      <c r="S20" s="159">
        <v>13</v>
      </c>
      <c r="T20" s="159">
        <v>14</v>
      </c>
    </row>
    <row r="21" spans="1:20" x14ac:dyDescent="0.15">
      <c r="A21" s="17"/>
      <c r="C21" s="5" t="s">
        <v>60</v>
      </c>
      <c r="D21" s="5" t="s">
        <v>44</v>
      </c>
      <c r="E21" s="5" t="s">
        <v>20</v>
      </c>
      <c r="F21" s="5" t="s">
        <v>54</v>
      </c>
      <c r="G21" s="5" t="s">
        <v>7</v>
      </c>
      <c r="H21" s="9" t="str">
        <f>各种公式!C12</f>
        <v>生命</v>
      </c>
      <c r="I21" s="9" t="str">
        <f>各种公式!D12</f>
        <v>攻击</v>
      </c>
      <c r="J21" s="9" t="str">
        <f>各种公式!E12</f>
        <v>防御</v>
      </c>
      <c r="K21" s="9" t="str">
        <f>各种公式!F12</f>
        <v>闪避值</v>
      </c>
      <c r="L21" s="9" t="str">
        <f>各种公式!G12</f>
        <v>命中值</v>
      </c>
      <c r="M21" s="9" t="str">
        <f>各种公式!H12</f>
        <v>暴击值</v>
      </c>
      <c r="N21" s="9" t="str">
        <f>各种公式!I12</f>
        <v>暴击倍数</v>
      </c>
      <c r="O21" s="9" t="str">
        <f>各种公式!J12</f>
        <v>韧性值</v>
      </c>
      <c r="P21" s="9" t="str">
        <f>各种公式!K12</f>
        <v>伤害减免</v>
      </c>
      <c r="Q21" s="9" t="str">
        <f>各种公式!L12</f>
        <v>伤害加深</v>
      </c>
      <c r="R21" s="9" t="str">
        <f>各种公式!M12</f>
        <v>生命加成</v>
      </c>
      <c r="S21" s="9" t="str">
        <f>各种公式!N12</f>
        <v>攻击加成</v>
      </c>
      <c r="T21" s="9" t="str">
        <f>各种公式!O12</f>
        <v>防御加成</v>
      </c>
    </row>
    <row r="22" spans="1:20" x14ac:dyDescent="0.15">
      <c r="A22" s="17"/>
      <c r="C22" s="5">
        <v>0</v>
      </c>
      <c r="D22" s="5">
        <v>0</v>
      </c>
      <c r="E22" s="5">
        <v>0</v>
      </c>
      <c r="F22" s="20">
        <v>0</v>
      </c>
      <c r="G22" s="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</row>
    <row r="23" spans="1:20" x14ac:dyDescent="0.15">
      <c r="A23" s="17"/>
      <c r="C23" s="5">
        <v>10</v>
      </c>
      <c r="D23" s="5">
        <v>0</v>
      </c>
      <c r="E23" s="5">
        <v>0</v>
      </c>
      <c r="F23" s="20">
        <v>0</v>
      </c>
      <c r="G23" s="5">
        <v>0</v>
      </c>
      <c r="H23" s="165">
        <f t="shared" ref="H23:T32" si="3">VLOOKUP($C23,总属性参考数组,H$20,FALSE)*$G23*VLOOKUP($B$4,属性权重数组,H$20,FALSE)/$B$1</f>
        <v>0</v>
      </c>
      <c r="I23" s="165">
        <f t="shared" si="3"/>
        <v>0</v>
      </c>
      <c r="J23" s="165">
        <f t="shared" si="3"/>
        <v>0</v>
      </c>
      <c r="K23" s="165">
        <f t="shared" si="3"/>
        <v>0</v>
      </c>
      <c r="L23" s="165">
        <f t="shared" si="3"/>
        <v>0</v>
      </c>
      <c r="M23" s="165">
        <f t="shared" si="3"/>
        <v>0</v>
      </c>
      <c r="N23" s="165">
        <f t="shared" si="3"/>
        <v>0</v>
      </c>
      <c r="O23" s="165">
        <f t="shared" si="3"/>
        <v>0</v>
      </c>
      <c r="P23" s="165">
        <f t="shared" si="3"/>
        <v>0</v>
      </c>
      <c r="Q23" s="165">
        <f t="shared" si="3"/>
        <v>0</v>
      </c>
      <c r="R23" s="165">
        <f t="shared" si="3"/>
        <v>0</v>
      </c>
      <c r="S23" s="165">
        <f t="shared" si="3"/>
        <v>0</v>
      </c>
      <c r="T23" s="165">
        <f t="shared" si="3"/>
        <v>0</v>
      </c>
    </row>
    <row r="24" spans="1:20" x14ac:dyDescent="0.15">
      <c r="A24" s="17"/>
      <c r="C24" s="5">
        <v>20</v>
      </c>
      <c r="D24" s="5">
        <v>0</v>
      </c>
      <c r="E24" s="5">
        <v>0</v>
      </c>
      <c r="F24" s="20">
        <v>0</v>
      </c>
      <c r="G24" s="5">
        <v>0</v>
      </c>
      <c r="H24" s="165">
        <f>VLOOKUP($C24,总属性参考数组,H$20,FALSE)*$G24*VLOOKUP($B$4,属性权重数组,H$20,FALSE)/$B$1</f>
        <v>0</v>
      </c>
      <c r="I24" s="165">
        <f t="shared" si="3"/>
        <v>0</v>
      </c>
      <c r="J24" s="165">
        <f t="shared" si="3"/>
        <v>0</v>
      </c>
      <c r="K24" s="165">
        <f t="shared" si="3"/>
        <v>0</v>
      </c>
      <c r="L24" s="165">
        <f t="shared" si="3"/>
        <v>0</v>
      </c>
      <c r="M24" s="165">
        <f t="shared" si="3"/>
        <v>0</v>
      </c>
      <c r="N24" s="165">
        <f t="shared" si="3"/>
        <v>0</v>
      </c>
      <c r="O24" s="165">
        <f t="shared" si="3"/>
        <v>0</v>
      </c>
      <c r="P24" s="165">
        <f t="shared" si="3"/>
        <v>0</v>
      </c>
      <c r="Q24" s="165">
        <f t="shared" si="3"/>
        <v>0</v>
      </c>
      <c r="R24" s="165">
        <f t="shared" si="3"/>
        <v>0</v>
      </c>
      <c r="S24" s="165">
        <f t="shared" si="3"/>
        <v>0</v>
      </c>
      <c r="T24" s="165">
        <f t="shared" si="3"/>
        <v>0</v>
      </c>
    </row>
    <row r="25" spans="1:20" x14ac:dyDescent="0.15">
      <c r="A25" s="17"/>
      <c r="C25" s="5">
        <v>30</v>
      </c>
      <c r="D25" s="5">
        <v>1</v>
      </c>
      <c r="E25" s="5">
        <v>1</v>
      </c>
      <c r="F25" s="20">
        <v>1</v>
      </c>
      <c r="G25" s="5">
        <f>(VLOOKUP(F25,$C$12:$H$17,5,TRUE)+E25*VLOOKUP(F25,$C$12:$H$17,6,TRUE))*D25</f>
        <v>2.3814967230605086E-2</v>
      </c>
      <c r="H25" s="165">
        <f t="shared" si="3"/>
        <v>153.30704049765831</v>
      </c>
      <c r="I25" s="165">
        <f t="shared" si="3"/>
        <v>11.906751336898401</v>
      </c>
      <c r="J25" s="165">
        <f t="shared" si="3"/>
        <v>5.1451473136915089</v>
      </c>
      <c r="K25" s="165">
        <f t="shared" si="3"/>
        <v>20.931123542524002</v>
      </c>
      <c r="L25" s="165">
        <f t="shared" si="3"/>
        <v>20.931123542524002</v>
      </c>
      <c r="M25" s="165">
        <f t="shared" si="3"/>
        <v>31.009071914850374</v>
      </c>
      <c r="N25" s="165">
        <f t="shared" si="3"/>
        <v>27.908164723365335</v>
      </c>
      <c r="O25" s="165">
        <f t="shared" si="3"/>
        <v>31.009071914850374</v>
      </c>
      <c r="P25" s="165">
        <f t="shared" si="3"/>
        <v>11.163265889346134</v>
      </c>
      <c r="Q25" s="165">
        <f t="shared" si="3"/>
        <v>11.163265889346134</v>
      </c>
      <c r="R25" s="165">
        <f t="shared" si="3"/>
        <v>6.2018143829700758</v>
      </c>
      <c r="S25" s="165">
        <f t="shared" si="3"/>
        <v>8.9306127114769094</v>
      </c>
      <c r="T25" s="165">
        <f t="shared" si="3"/>
        <v>13.39591906721536</v>
      </c>
    </row>
    <row r="26" spans="1:20" x14ac:dyDescent="0.15">
      <c r="A26" s="17"/>
      <c r="C26" s="5">
        <v>40</v>
      </c>
      <c r="D26" s="5">
        <v>3</v>
      </c>
      <c r="E26" s="5">
        <v>2</v>
      </c>
      <c r="F26" s="20">
        <v>1.5</v>
      </c>
      <c r="G26" s="5">
        <f t="shared" ref="G26:G31" si="4">(VLOOKUP(F26,$C$12:$H$17,5,TRUE)+E26*VLOOKUP(F26,$C$12:$H$17,6,TRUE))*D26</f>
        <v>0.10716735253772289</v>
      </c>
      <c r="H26" s="165">
        <f t="shared" si="3"/>
        <v>1148.7919879825361</v>
      </c>
      <c r="I26" s="165">
        <f t="shared" si="3"/>
        <v>74.086452762923372</v>
      </c>
      <c r="J26" s="165">
        <f t="shared" si="3"/>
        <v>32.014249951858275</v>
      </c>
      <c r="K26" s="165">
        <f t="shared" si="3"/>
        <v>125.58674125514401</v>
      </c>
      <c r="L26" s="165">
        <f t="shared" si="3"/>
        <v>125.58674125514401</v>
      </c>
      <c r="M26" s="165">
        <f t="shared" si="3"/>
        <v>186.05443148910226</v>
      </c>
      <c r="N26" s="165">
        <f t="shared" si="3"/>
        <v>167.44898834019202</v>
      </c>
      <c r="O26" s="165">
        <f t="shared" si="3"/>
        <v>186.05443148910226</v>
      </c>
      <c r="P26" s="165">
        <f t="shared" si="3"/>
        <v>66.979595336076798</v>
      </c>
      <c r="Q26" s="165">
        <f t="shared" si="3"/>
        <v>66.979595336076798</v>
      </c>
      <c r="R26" s="165">
        <f t="shared" si="3"/>
        <v>37.210886297820444</v>
      </c>
      <c r="S26" s="165">
        <f t="shared" si="3"/>
        <v>53.583676268861439</v>
      </c>
      <c r="T26" s="165">
        <f t="shared" si="3"/>
        <v>80.375514403292158</v>
      </c>
    </row>
    <row r="27" spans="1:20" x14ac:dyDescent="0.15">
      <c r="A27" s="17"/>
      <c r="C27" s="5">
        <v>50</v>
      </c>
      <c r="D27" s="5">
        <v>6</v>
      </c>
      <c r="E27" s="5">
        <v>3.5</v>
      </c>
      <c r="F27" s="20">
        <v>2.2000000000000002</v>
      </c>
      <c r="G27" s="5">
        <f t="shared" si="4"/>
        <v>0.57870370370370361</v>
      </c>
      <c r="H27" s="165">
        <f>VLOOKUP($C27,总属性参考数组,H$20,FALSE)*$G27*VLOOKUP($B$4,属性权重数组,H$20,FALSE)/$B$1</f>
        <v>9794.2375812147511</v>
      </c>
      <c r="I27" s="165">
        <f t="shared" si="3"/>
        <v>546.51988636363649</v>
      </c>
      <c r="J27" s="165">
        <f t="shared" si="3"/>
        <v>236.16226169844023</v>
      </c>
      <c r="K27" s="165">
        <f t="shared" si="3"/>
        <v>847.71050347222206</v>
      </c>
      <c r="L27" s="165">
        <f t="shared" si="3"/>
        <v>847.71050347222206</v>
      </c>
      <c r="M27" s="165">
        <f t="shared" si="3"/>
        <v>1255.8674125514401</v>
      </c>
      <c r="N27" s="165">
        <f t="shared" si="3"/>
        <v>1130.2806712962961</v>
      </c>
      <c r="O27" s="165">
        <f t="shared" si="3"/>
        <v>1255.8674125514401</v>
      </c>
      <c r="P27" s="165">
        <f t="shared" si="3"/>
        <v>452.11226851851842</v>
      </c>
      <c r="Q27" s="165">
        <f t="shared" si="3"/>
        <v>452.11226851851842</v>
      </c>
      <c r="R27" s="165">
        <f t="shared" si="3"/>
        <v>251.17348251028801</v>
      </c>
      <c r="S27" s="165">
        <f t="shared" si="3"/>
        <v>361.68981481481478</v>
      </c>
      <c r="T27" s="165">
        <f t="shared" si="3"/>
        <v>542.53472222222206</v>
      </c>
    </row>
    <row r="28" spans="1:20" x14ac:dyDescent="0.15">
      <c r="A28" s="17"/>
      <c r="C28" s="5">
        <v>60</v>
      </c>
      <c r="D28" s="5">
        <v>8</v>
      </c>
      <c r="E28" s="5">
        <v>4.5</v>
      </c>
      <c r="F28" s="20">
        <v>2.2000000000000002</v>
      </c>
      <c r="G28" s="5">
        <f>(VLOOKUP(F28,$C$12:$H$17,5,TRUE)+E28*VLOOKUP(F28,$C$12:$H$17,6,TRUE))*D28</f>
        <v>0.94307270233196139</v>
      </c>
      <c r="H28" s="165">
        <f t="shared" si="3"/>
        <v>23858.427828956468</v>
      </c>
      <c r="I28" s="165">
        <f t="shared" si="3"/>
        <v>1187.5000000000005</v>
      </c>
      <c r="J28" s="165">
        <f t="shared" si="3"/>
        <v>513.14269208549979</v>
      </c>
      <c r="K28" s="165">
        <f t="shared" si="3"/>
        <v>1657.7449845679012</v>
      </c>
      <c r="L28" s="165">
        <f t="shared" si="3"/>
        <v>1657.7449845679012</v>
      </c>
      <c r="M28" s="165">
        <f t="shared" si="3"/>
        <v>2455.9184956561498</v>
      </c>
      <c r="N28" s="165">
        <f t="shared" si="3"/>
        <v>2210.3266460905347</v>
      </c>
      <c r="O28" s="165">
        <f t="shared" si="3"/>
        <v>2455.9184956561498</v>
      </c>
      <c r="P28" s="165">
        <f t="shared" si="3"/>
        <v>884.13065843621382</v>
      </c>
      <c r="Q28" s="165">
        <f t="shared" si="3"/>
        <v>884.13065843621382</v>
      </c>
      <c r="R28" s="165">
        <f t="shared" si="3"/>
        <v>491.18369913122996</v>
      </c>
      <c r="S28" s="165">
        <f t="shared" si="3"/>
        <v>707.30452674897117</v>
      </c>
      <c r="T28" s="165">
        <f t="shared" si="3"/>
        <v>1060.9567901234566</v>
      </c>
    </row>
    <row r="29" spans="1:20" x14ac:dyDescent="0.15">
      <c r="A29" s="17"/>
      <c r="C29" s="5">
        <v>70</v>
      </c>
      <c r="D29" s="5">
        <v>8</v>
      </c>
      <c r="E29" s="5">
        <v>5.5</v>
      </c>
      <c r="F29" s="20">
        <v>3</v>
      </c>
      <c r="G29" s="5">
        <f t="shared" si="4"/>
        <v>2.0061728395061729</v>
      </c>
      <c r="H29" s="165">
        <f t="shared" si="3"/>
        <v>72181.317466160515</v>
      </c>
      <c r="I29" s="165">
        <f t="shared" si="3"/>
        <v>3281.5006684492009</v>
      </c>
      <c r="J29" s="165">
        <f t="shared" si="3"/>
        <v>1418.0025996533809</v>
      </c>
      <c r="K29" s="165">
        <f t="shared" si="3"/>
        <v>4114.2216435185182</v>
      </c>
      <c r="L29" s="165">
        <f t="shared" si="3"/>
        <v>4114.2216435185182</v>
      </c>
      <c r="M29" s="165">
        <f t="shared" si="3"/>
        <v>6095.1431755829899</v>
      </c>
      <c r="N29" s="165">
        <f t="shared" si="3"/>
        <v>5485.628858024691</v>
      </c>
      <c r="O29" s="165">
        <f t="shared" si="3"/>
        <v>6095.1431755829899</v>
      </c>
      <c r="P29" s="165">
        <f t="shared" si="3"/>
        <v>2194.2515432098771</v>
      </c>
      <c r="Q29" s="165">
        <f t="shared" si="3"/>
        <v>2194.2515432098771</v>
      </c>
      <c r="R29" s="165">
        <f t="shared" si="3"/>
        <v>1219.0286351165983</v>
      </c>
      <c r="S29" s="165">
        <f t="shared" si="3"/>
        <v>1755.4012345679014</v>
      </c>
      <c r="T29" s="165">
        <f t="shared" si="3"/>
        <v>2633.1018518518526</v>
      </c>
    </row>
    <row r="30" spans="1:20" x14ac:dyDescent="0.15">
      <c r="A30" s="17"/>
      <c r="C30" s="5">
        <v>80</v>
      </c>
      <c r="D30" s="5">
        <v>8</v>
      </c>
      <c r="E30" s="5">
        <v>7</v>
      </c>
      <c r="F30" s="20">
        <v>3</v>
      </c>
      <c r="G30" s="5">
        <f t="shared" si="4"/>
        <v>2.4691358024691357</v>
      </c>
      <c r="H30" s="165">
        <f t="shared" si="3"/>
        <v>120981.97475259429</v>
      </c>
      <c r="I30" s="165">
        <f t="shared" si="3"/>
        <v>5120.8556149732631</v>
      </c>
      <c r="J30" s="165">
        <f t="shared" si="3"/>
        <v>2212.8249566724439</v>
      </c>
      <c r="K30" s="165">
        <f t="shared" si="3"/>
        <v>5787.0370370370365</v>
      </c>
      <c r="L30" s="165">
        <f t="shared" si="3"/>
        <v>5787.0370370370365</v>
      </c>
      <c r="M30" s="165">
        <f t="shared" si="3"/>
        <v>8573.388203017832</v>
      </c>
      <c r="N30" s="165">
        <f t="shared" si="3"/>
        <v>7716.049382716049</v>
      </c>
      <c r="O30" s="165">
        <f t="shared" si="3"/>
        <v>8573.388203017832</v>
      </c>
      <c r="P30" s="165">
        <f t="shared" si="3"/>
        <v>3086.4197530864194</v>
      </c>
      <c r="Q30" s="165">
        <f t="shared" si="3"/>
        <v>3086.4197530864194</v>
      </c>
      <c r="R30" s="165">
        <f t="shared" si="3"/>
        <v>1714.6776406035665</v>
      </c>
      <c r="S30" s="165">
        <f t="shared" si="3"/>
        <v>2469.1358024691358</v>
      </c>
      <c r="T30" s="165">
        <f t="shared" si="3"/>
        <v>3703.703703703703</v>
      </c>
    </row>
    <row r="31" spans="1:20" x14ac:dyDescent="0.15">
      <c r="A31" s="17"/>
      <c r="C31" s="5">
        <v>90</v>
      </c>
      <c r="D31" s="5">
        <v>8</v>
      </c>
      <c r="E31" s="5">
        <v>7</v>
      </c>
      <c r="F31" s="20">
        <v>3.2</v>
      </c>
      <c r="G31" s="5">
        <f t="shared" si="4"/>
        <v>2.4691358024691357</v>
      </c>
      <c r="H31" s="165">
        <f t="shared" si="3"/>
        <v>158350.77696256034</v>
      </c>
      <c r="I31" s="165">
        <f t="shared" si="3"/>
        <v>6340.1069518716558</v>
      </c>
      <c r="J31" s="165">
        <f t="shared" si="3"/>
        <v>2739.6880415944529</v>
      </c>
      <c r="K31" s="165">
        <f t="shared" si="3"/>
        <v>6510.4166666666661</v>
      </c>
      <c r="L31" s="165">
        <f t="shared" si="3"/>
        <v>6510.4166666666661</v>
      </c>
      <c r="M31" s="165">
        <f t="shared" si="3"/>
        <v>9645.0617283950614</v>
      </c>
      <c r="N31" s="165">
        <f t="shared" si="3"/>
        <v>8680.5555555555547</v>
      </c>
      <c r="O31" s="165">
        <f t="shared" si="3"/>
        <v>9645.0617283950614</v>
      </c>
      <c r="P31" s="165">
        <f t="shared" si="3"/>
        <v>3472.2222222222222</v>
      </c>
      <c r="Q31" s="165">
        <f t="shared" si="3"/>
        <v>3472.2222222222222</v>
      </c>
      <c r="R31" s="165">
        <f t="shared" si="3"/>
        <v>1929.0123456790125</v>
      </c>
      <c r="S31" s="165">
        <f t="shared" si="3"/>
        <v>2777.7777777777778</v>
      </c>
      <c r="T31" s="165">
        <f t="shared" si="3"/>
        <v>4166.6666666666661</v>
      </c>
    </row>
    <row r="32" spans="1:20" x14ac:dyDescent="0.15">
      <c r="A32" s="17"/>
      <c r="C32" s="5">
        <v>100</v>
      </c>
      <c r="D32" s="5">
        <v>8</v>
      </c>
      <c r="E32" s="5">
        <v>7</v>
      </c>
      <c r="F32" s="20">
        <v>5</v>
      </c>
      <c r="G32" s="5">
        <f>(VLOOKUP(F32,$C$12:$H$17,5,TRUE)+E32*VLOOKUP(F32,$C$12:$H$17,6,TRUE))*D32</f>
        <v>8</v>
      </c>
      <c r="H32" s="165">
        <f>VLOOKUP($C32,总属性参考数组,H$20,FALSE)*$G32*VLOOKUP($B$4,属性权重数组,H$20,FALSE)/$B$1</f>
        <v>638164.24196597305</v>
      </c>
      <c r="I32" s="165">
        <f t="shared" si="3"/>
        <v>24492.320855614958</v>
      </c>
      <c r="J32" s="165">
        <f t="shared" si="3"/>
        <v>10583.625649913338</v>
      </c>
      <c r="K32" s="165">
        <f t="shared" si="3"/>
        <v>23437.5</v>
      </c>
      <c r="L32" s="165">
        <f t="shared" si="3"/>
        <v>23437.5</v>
      </c>
      <c r="M32" s="165">
        <f t="shared" si="3"/>
        <v>34722.222222222226</v>
      </c>
      <c r="N32" s="165">
        <f t="shared" si="3"/>
        <v>31250</v>
      </c>
      <c r="O32" s="165">
        <f t="shared" si="3"/>
        <v>34722.222222222226</v>
      </c>
      <c r="P32" s="165">
        <f t="shared" si="3"/>
        <v>12500</v>
      </c>
      <c r="Q32" s="165">
        <f t="shared" si="3"/>
        <v>12500</v>
      </c>
      <c r="R32" s="165">
        <f t="shared" si="3"/>
        <v>6944.4444444444443</v>
      </c>
      <c r="S32" s="165">
        <f t="shared" si="3"/>
        <v>10000</v>
      </c>
      <c r="T32" s="165">
        <f t="shared" si="3"/>
        <v>15000</v>
      </c>
    </row>
    <row r="33" spans="1:19" x14ac:dyDescent="0.15">
      <c r="A33" s="17"/>
      <c r="C33" s="5"/>
      <c r="D33" s="5"/>
      <c r="E33" s="5"/>
      <c r="F33" s="5"/>
      <c r="G33" s="18"/>
      <c r="I33" s="16"/>
      <c r="J33" s="16"/>
      <c r="R33" s="16"/>
    </row>
    <row r="34" spans="1:19" x14ac:dyDescent="0.15">
      <c r="A34" s="17"/>
      <c r="J34" s="16"/>
      <c r="K34" s="16"/>
      <c r="S34" s="16"/>
    </row>
    <row r="35" spans="1:19" x14ac:dyDescent="0.15">
      <c r="A35" s="17"/>
      <c r="J35" s="16"/>
      <c r="K35" s="16"/>
      <c r="L35" s="16"/>
      <c r="N35" s="16"/>
      <c r="O35" s="16"/>
      <c r="P35" s="16"/>
      <c r="Q35" s="16"/>
      <c r="R35" s="16"/>
      <c r="S35" s="16"/>
    </row>
    <row r="36" spans="1:19" x14ac:dyDescent="0.15">
      <c r="A36" s="17"/>
      <c r="J36" s="16"/>
      <c r="K36" s="16"/>
      <c r="L36" s="16"/>
      <c r="N36" s="16"/>
      <c r="O36" s="16"/>
      <c r="P36" s="16"/>
      <c r="Q36" s="16"/>
      <c r="R36" s="16"/>
      <c r="S36" s="16"/>
    </row>
    <row r="37" spans="1:19" x14ac:dyDescent="0.15">
      <c r="A37" s="17"/>
      <c r="J37" s="16"/>
      <c r="K37" s="16"/>
      <c r="L37" s="16"/>
      <c r="N37" s="16"/>
      <c r="O37" s="16"/>
      <c r="P37" s="16"/>
      <c r="Q37" s="16"/>
      <c r="R37" s="16"/>
      <c r="S37" s="16"/>
    </row>
    <row r="38" spans="1:19" x14ac:dyDescent="0.15">
      <c r="A38" s="17"/>
      <c r="J38" s="16"/>
      <c r="K38" s="16"/>
      <c r="L38" s="16"/>
      <c r="N38" s="16"/>
      <c r="O38" s="16"/>
      <c r="P38" s="16"/>
      <c r="Q38" s="16"/>
      <c r="R38" s="16"/>
      <c r="S38" s="16"/>
    </row>
    <row r="39" spans="1:19" x14ac:dyDescent="0.15">
      <c r="A39" s="17"/>
      <c r="J39" s="16"/>
      <c r="K39" s="16"/>
      <c r="L39" s="16"/>
      <c r="N39" s="16"/>
      <c r="O39" s="16"/>
      <c r="P39" s="16"/>
      <c r="Q39" s="16"/>
      <c r="R39" s="16"/>
      <c r="S39" s="16"/>
    </row>
    <row r="40" spans="1:19" x14ac:dyDescent="0.15">
      <c r="A40" s="17"/>
      <c r="F40" s="16"/>
      <c r="G40" s="16"/>
      <c r="H40" s="16"/>
      <c r="J40" s="16"/>
      <c r="K40" s="16"/>
      <c r="L40" s="16"/>
      <c r="N40" s="16"/>
      <c r="O40" s="16"/>
      <c r="P40" s="16"/>
      <c r="Q40" s="16"/>
      <c r="R40" s="16"/>
      <c r="S40" s="16"/>
    </row>
    <row r="41" spans="1:19" x14ac:dyDescent="0.15">
      <c r="A41" s="17"/>
      <c r="F41" s="16"/>
      <c r="G41" s="16"/>
      <c r="H41" s="16"/>
      <c r="I41" s="16"/>
      <c r="J41" s="16"/>
      <c r="K41" s="16"/>
      <c r="L41" s="16"/>
      <c r="N41" s="16"/>
      <c r="O41" s="16"/>
      <c r="P41" s="16"/>
      <c r="Q41" s="16"/>
      <c r="R41" s="16"/>
      <c r="S41" s="16"/>
    </row>
    <row r="42" spans="1:19" x14ac:dyDescent="0.15">
      <c r="A42" s="17"/>
      <c r="F42" s="16"/>
      <c r="G42" s="16"/>
      <c r="H42" s="16"/>
      <c r="I42" s="16"/>
      <c r="J42" s="16"/>
      <c r="K42" s="16"/>
      <c r="L42" s="16"/>
      <c r="N42" s="16"/>
      <c r="O42" s="16"/>
      <c r="P42" s="16"/>
      <c r="Q42" s="16"/>
      <c r="R42" s="16"/>
      <c r="S42" s="16"/>
    </row>
    <row r="43" spans="1:19" x14ac:dyDescent="0.15">
      <c r="A43" s="17"/>
      <c r="F43" s="16"/>
      <c r="G43" s="16"/>
      <c r="H43" s="16"/>
      <c r="I43" s="16"/>
      <c r="J43" s="16"/>
      <c r="K43" s="16"/>
      <c r="L43" s="16"/>
      <c r="N43" s="16"/>
      <c r="O43" s="16"/>
      <c r="P43" s="16"/>
      <c r="Q43" s="16"/>
      <c r="R43" s="16"/>
      <c r="S43" s="16"/>
    </row>
    <row r="44" spans="1:19" x14ac:dyDescent="0.15">
      <c r="A44" s="17"/>
      <c r="F44" s="16"/>
      <c r="G44" s="16"/>
      <c r="H44" s="16"/>
      <c r="I44" s="16"/>
      <c r="J44" s="16"/>
      <c r="K44" s="16"/>
      <c r="L44" s="16"/>
      <c r="N44" s="16"/>
      <c r="O44" s="16"/>
      <c r="P44" s="16"/>
      <c r="Q44" s="16"/>
      <c r="R44" s="16"/>
      <c r="S44" s="16"/>
    </row>
    <row r="45" spans="1:19" x14ac:dyDescent="0.15">
      <c r="A45" s="17"/>
      <c r="F45" s="16"/>
      <c r="G45" s="16"/>
      <c r="H45" s="16"/>
      <c r="I45" s="16"/>
      <c r="J45" s="16"/>
      <c r="K45" s="16"/>
      <c r="L45" s="16"/>
      <c r="N45" s="16"/>
      <c r="O45" s="16"/>
      <c r="P45" s="16"/>
      <c r="Q45" s="16"/>
      <c r="R45" s="16"/>
      <c r="S45" s="16"/>
    </row>
    <row r="46" spans="1:19" x14ac:dyDescent="0.15">
      <c r="A46" s="17"/>
      <c r="F46" s="16"/>
      <c r="G46" s="16"/>
      <c r="H46" s="16"/>
      <c r="I46" s="16"/>
      <c r="J46" s="16"/>
      <c r="K46" s="16"/>
      <c r="L46" s="16"/>
      <c r="N46" s="16"/>
      <c r="O46" s="16"/>
      <c r="P46" s="16"/>
      <c r="Q46" s="16"/>
      <c r="R46" s="16"/>
      <c r="S46" s="16"/>
    </row>
    <row r="47" spans="1:19" x14ac:dyDescent="0.15">
      <c r="A47" s="17"/>
      <c r="F47" s="16"/>
      <c r="G47" s="16"/>
      <c r="H47" s="16"/>
      <c r="I47" s="16"/>
      <c r="J47" s="16"/>
      <c r="K47" s="16"/>
      <c r="L47" s="16"/>
      <c r="N47" s="16"/>
      <c r="O47" s="16"/>
      <c r="P47" s="16"/>
      <c r="Q47" s="16"/>
      <c r="R47" s="16"/>
      <c r="S47" s="16"/>
    </row>
    <row r="48" spans="1:19" x14ac:dyDescent="0.15">
      <c r="A48" s="17"/>
      <c r="F48" s="16"/>
      <c r="G48" s="16"/>
      <c r="H48" s="16"/>
      <c r="I48" s="16"/>
      <c r="J48" s="16"/>
      <c r="K48" s="16"/>
      <c r="L48" s="16"/>
      <c r="N48" s="16"/>
      <c r="O48" s="16"/>
      <c r="P48" s="16"/>
      <c r="Q48" s="16"/>
      <c r="R48" s="16"/>
      <c r="S48" s="16"/>
    </row>
    <row r="49" spans="1:19" x14ac:dyDescent="0.15">
      <c r="A49" s="17"/>
      <c r="F49" s="16"/>
      <c r="G49" s="16"/>
      <c r="H49" s="16"/>
      <c r="I49" s="16"/>
      <c r="J49" s="16"/>
      <c r="K49" s="16"/>
      <c r="L49" s="16"/>
      <c r="N49" s="16"/>
      <c r="O49" s="16"/>
      <c r="P49" s="16"/>
      <c r="Q49" s="16"/>
      <c r="R49" s="16"/>
      <c r="S49" s="16"/>
    </row>
    <row r="50" spans="1:19" x14ac:dyDescent="0.15">
      <c r="A50" s="17"/>
      <c r="F50" s="16"/>
      <c r="G50" s="16"/>
      <c r="H50" s="16"/>
      <c r="I50" s="16"/>
      <c r="J50" s="16"/>
      <c r="K50" s="16"/>
      <c r="L50" s="16"/>
      <c r="N50" s="16"/>
      <c r="O50" s="16"/>
      <c r="P50" s="16"/>
      <c r="Q50" s="16"/>
      <c r="R50" s="16"/>
      <c r="S50" s="16"/>
    </row>
    <row r="51" spans="1:19" x14ac:dyDescent="0.15">
      <c r="F51" s="16"/>
      <c r="G51" s="16"/>
      <c r="H51" s="16"/>
      <c r="I51" s="16"/>
      <c r="J51" s="16"/>
      <c r="N51" s="16"/>
      <c r="Q51" s="16"/>
      <c r="R51" s="16"/>
      <c r="S51" s="16"/>
    </row>
    <row r="52" spans="1:19" x14ac:dyDescent="0.15">
      <c r="F52" s="16"/>
      <c r="G52" s="16"/>
      <c r="H52" s="16"/>
      <c r="I52" s="16"/>
      <c r="J52" s="16"/>
      <c r="N52" s="16"/>
      <c r="Q52" s="16"/>
      <c r="R52" s="16"/>
      <c r="S52" s="16"/>
    </row>
    <row r="53" spans="1:19" x14ac:dyDescent="0.15">
      <c r="F53" s="16"/>
      <c r="G53" s="16"/>
      <c r="H53" s="16"/>
      <c r="I53" s="16"/>
      <c r="J53" s="16"/>
      <c r="N53" s="16"/>
      <c r="Q53" s="16"/>
      <c r="R53" s="16"/>
      <c r="S53" s="16"/>
    </row>
    <row r="54" spans="1:19" x14ac:dyDescent="0.15">
      <c r="F54" s="16"/>
      <c r="G54" s="16"/>
      <c r="H54" s="16"/>
      <c r="I54" s="16"/>
      <c r="J54" s="16"/>
      <c r="N54" s="16"/>
      <c r="Q54" s="16"/>
      <c r="R54" s="16"/>
      <c r="S54" s="16"/>
    </row>
    <row r="55" spans="1:19" x14ac:dyDescent="0.15">
      <c r="F55" s="16"/>
      <c r="G55" s="16"/>
      <c r="H55" s="16"/>
      <c r="I55" s="16"/>
      <c r="J55" s="16"/>
      <c r="N55" s="16"/>
      <c r="Q55" s="16"/>
      <c r="R55" s="16"/>
      <c r="S55" s="16"/>
    </row>
    <row r="56" spans="1:19" x14ac:dyDescent="0.15">
      <c r="F56" s="16"/>
      <c r="G56" s="16"/>
      <c r="H56" s="16"/>
      <c r="I56" s="16"/>
      <c r="J56" s="16"/>
      <c r="N56" s="16"/>
      <c r="Q56" s="16"/>
      <c r="R56" s="16"/>
      <c r="S56" s="16"/>
    </row>
    <row r="57" spans="1:19" x14ac:dyDescent="0.15">
      <c r="F57" s="16"/>
      <c r="G57" s="16"/>
      <c r="H57" s="16"/>
      <c r="I57" s="16"/>
      <c r="J57" s="16"/>
      <c r="N57" s="16"/>
      <c r="Q57" s="16"/>
      <c r="R57" s="16"/>
      <c r="S57" s="16"/>
    </row>
    <row r="58" spans="1:19" x14ac:dyDescent="0.15">
      <c r="F58" s="16"/>
      <c r="G58" s="16"/>
      <c r="H58" s="16"/>
      <c r="I58" s="16"/>
      <c r="J58" s="16"/>
      <c r="N58" s="16"/>
      <c r="Q58" s="16"/>
      <c r="R58" s="16"/>
      <c r="S58" s="16"/>
    </row>
    <row r="59" spans="1:19" x14ac:dyDescent="0.15">
      <c r="F59" s="16"/>
      <c r="G59" s="16"/>
      <c r="H59" s="16"/>
      <c r="I59" s="16"/>
      <c r="J59" s="16"/>
      <c r="N59" s="16"/>
      <c r="Q59" s="16"/>
      <c r="R59" s="16"/>
      <c r="S59" s="16"/>
    </row>
    <row r="60" spans="1:19" x14ac:dyDescent="0.15">
      <c r="F60" s="16"/>
      <c r="G60" s="16"/>
      <c r="H60" s="16"/>
      <c r="I60" s="16"/>
      <c r="J60" s="16"/>
      <c r="N60" s="16"/>
      <c r="Q60" s="16"/>
      <c r="R60" s="16"/>
      <c r="S60" s="16"/>
    </row>
  </sheetData>
  <phoneticPr fontId="1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T26"/>
  <sheetViews>
    <sheetView workbookViewId="0">
      <selection activeCell="I9" sqref="I9"/>
    </sheetView>
  </sheetViews>
  <sheetFormatPr defaultRowHeight="13.5" x14ac:dyDescent="0.15"/>
  <cols>
    <col min="1" max="1" width="13.875" bestFit="1" customWidth="1"/>
    <col min="18" max="18" width="13.875" bestFit="1" customWidth="1"/>
    <col min="19" max="20" width="11.625" bestFit="1" customWidth="1"/>
  </cols>
  <sheetData>
    <row r="1" spans="1:20" x14ac:dyDescent="0.15">
      <c r="A1" s="1" t="s">
        <v>309</v>
      </c>
      <c r="B1" s="1">
        <f>'2、属性成长'!L3</f>
        <v>0</v>
      </c>
    </row>
    <row r="2" spans="1:20" x14ac:dyDescent="0.15">
      <c r="A2" s="1" t="s">
        <v>310</v>
      </c>
      <c r="B2" s="1">
        <v>5</v>
      </c>
    </row>
    <row r="3" spans="1:20" x14ac:dyDescent="0.15">
      <c r="A3" s="1" t="s">
        <v>198</v>
      </c>
      <c r="B3" s="1" t="s">
        <v>308</v>
      </c>
    </row>
    <row r="5" spans="1:20" x14ac:dyDescent="0.15">
      <c r="C5" s="19" t="s">
        <v>124</v>
      </c>
      <c r="D5" s="9" t="s">
        <v>65</v>
      </c>
      <c r="E5" s="9" t="s">
        <v>63</v>
      </c>
      <c r="F5" s="9"/>
    </row>
    <row r="6" spans="1:20" x14ac:dyDescent="0.15">
      <c r="C6" s="23"/>
      <c r="D6" s="9">
        <v>0</v>
      </c>
      <c r="E6" s="9">
        <v>0</v>
      </c>
      <c r="F6" s="9"/>
    </row>
    <row r="7" spans="1:20" x14ac:dyDescent="0.15">
      <c r="D7" s="1">
        <v>1</v>
      </c>
      <c r="E7" s="1">
        <f>10/D11</f>
        <v>2</v>
      </c>
      <c r="F7" s="1"/>
    </row>
    <row r="8" spans="1:20" x14ac:dyDescent="0.15">
      <c r="D8" s="1">
        <v>2</v>
      </c>
      <c r="E8" s="1">
        <f>$E$7*D8</f>
        <v>4</v>
      </c>
      <c r="F8" s="1"/>
    </row>
    <row r="9" spans="1:20" x14ac:dyDescent="0.15">
      <c r="D9" s="1">
        <v>3</v>
      </c>
      <c r="E9" s="1">
        <f t="shared" ref="E9:E11" si="0">$E$7*D9</f>
        <v>6</v>
      </c>
      <c r="F9" s="1"/>
    </row>
    <row r="10" spans="1:20" x14ac:dyDescent="0.15">
      <c r="D10" s="1">
        <v>4</v>
      </c>
      <c r="E10" s="1">
        <f t="shared" si="0"/>
        <v>8</v>
      </c>
      <c r="F10" s="1"/>
    </row>
    <row r="11" spans="1:20" x14ac:dyDescent="0.15">
      <c r="D11" s="1">
        <v>5</v>
      </c>
      <c r="E11" s="1">
        <f t="shared" si="0"/>
        <v>10</v>
      </c>
      <c r="F11" s="1"/>
    </row>
    <row r="14" spans="1:20" x14ac:dyDescent="0.15">
      <c r="H14" s="59">
        <v>2</v>
      </c>
      <c r="I14" s="59">
        <v>3</v>
      </c>
      <c r="J14" s="59">
        <v>4</v>
      </c>
      <c r="K14" s="59">
        <v>5</v>
      </c>
      <c r="L14" s="59">
        <v>6</v>
      </c>
      <c r="M14" s="59">
        <v>7</v>
      </c>
      <c r="N14" s="59">
        <v>8</v>
      </c>
      <c r="O14" s="59">
        <v>9</v>
      </c>
      <c r="P14" s="59">
        <v>10</v>
      </c>
      <c r="Q14" s="59">
        <v>11</v>
      </c>
      <c r="R14" s="59">
        <v>12</v>
      </c>
      <c r="S14" s="59">
        <v>13</v>
      </c>
      <c r="T14" s="59">
        <v>14</v>
      </c>
    </row>
    <row r="15" spans="1:20" x14ac:dyDescent="0.15">
      <c r="D15" s="9" t="s">
        <v>1</v>
      </c>
      <c r="E15" s="9" t="s">
        <v>65</v>
      </c>
      <c r="F15" s="9" t="s">
        <v>45</v>
      </c>
      <c r="H15" s="9" t="str">
        <f>各种公式!C12</f>
        <v>生命</v>
      </c>
      <c r="I15" s="9" t="str">
        <f>各种公式!D12</f>
        <v>攻击</v>
      </c>
      <c r="J15" s="9" t="str">
        <f>各种公式!E12</f>
        <v>防御</v>
      </c>
      <c r="K15" s="9" t="str">
        <f>各种公式!F12</f>
        <v>闪避值</v>
      </c>
      <c r="L15" s="9" t="str">
        <f>各种公式!G12</f>
        <v>命中值</v>
      </c>
      <c r="M15" s="9" t="str">
        <f>各种公式!H12</f>
        <v>暴击值</v>
      </c>
      <c r="N15" s="9" t="str">
        <f>各种公式!I12</f>
        <v>暴击倍数</v>
      </c>
      <c r="O15" s="9" t="str">
        <f>各种公式!J12</f>
        <v>韧性值</v>
      </c>
      <c r="P15" s="9" t="str">
        <f>各种公式!K12</f>
        <v>伤害减免</v>
      </c>
      <c r="Q15" s="9" t="str">
        <f>各种公式!L12</f>
        <v>伤害加深</v>
      </c>
      <c r="R15" s="9" t="str">
        <f>各种公式!M12</f>
        <v>生命加成</v>
      </c>
      <c r="S15" s="9" t="str">
        <f>各种公式!N12</f>
        <v>攻击加成</v>
      </c>
      <c r="T15" s="9" t="str">
        <f>各种公式!O12</f>
        <v>防御加成</v>
      </c>
    </row>
    <row r="16" spans="1:20" x14ac:dyDescent="0.15">
      <c r="D16" s="5">
        <v>0</v>
      </c>
      <c r="E16" s="1">
        <v>0</v>
      </c>
      <c r="F16" s="1">
        <f t="shared" ref="F16:F25" si="1">VLOOKUP(E16,$D$5:$E$11,2)</f>
        <v>0</v>
      </c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</row>
    <row r="17" spans="4:20" x14ac:dyDescent="0.15">
      <c r="D17" s="5">
        <v>10</v>
      </c>
      <c r="E17" s="1">
        <v>0</v>
      </c>
      <c r="F17" s="1">
        <f t="shared" si="1"/>
        <v>0</v>
      </c>
      <c r="H17" s="1" t="e">
        <f t="shared" ref="H17:T26" si="2">VLOOKUP($D17,总属性参考数组,H$14,FALSE)*VLOOKUP($B$3,属性权重数组,H$14,FALSE)*$F17/$B$1</f>
        <v>#DIV/0!</v>
      </c>
      <c r="I17" s="1" t="e">
        <f t="shared" si="2"/>
        <v>#DIV/0!</v>
      </c>
      <c r="J17" s="1" t="e">
        <f t="shared" si="2"/>
        <v>#DIV/0!</v>
      </c>
      <c r="K17" s="1" t="e">
        <f t="shared" si="2"/>
        <v>#DIV/0!</v>
      </c>
      <c r="L17" s="1" t="e">
        <f t="shared" si="2"/>
        <v>#DIV/0!</v>
      </c>
      <c r="M17" s="1" t="e">
        <f t="shared" si="2"/>
        <v>#DIV/0!</v>
      </c>
      <c r="N17" s="1" t="e">
        <f t="shared" si="2"/>
        <v>#DIV/0!</v>
      </c>
      <c r="O17" s="1" t="e">
        <f t="shared" si="2"/>
        <v>#DIV/0!</v>
      </c>
      <c r="P17" s="1" t="e">
        <f t="shared" si="2"/>
        <v>#DIV/0!</v>
      </c>
      <c r="Q17" s="1" t="e">
        <f t="shared" si="2"/>
        <v>#DIV/0!</v>
      </c>
      <c r="R17" s="1" t="e">
        <f t="shared" si="2"/>
        <v>#DIV/0!</v>
      </c>
      <c r="S17" s="1" t="e">
        <f t="shared" si="2"/>
        <v>#DIV/0!</v>
      </c>
      <c r="T17" s="1" t="e">
        <f t="shared" si="2"/>
        <v>#DIV/0!</v>
      </c>
    </row>
    <row r="18" spans="4:20" x14ac:dyDescent="0.15">
      <c r="D18" s="5">
        <v>20</v>
      </c>
      <c r="E18" s="1">
        <v>1</v>
      </c>
      <c r="F18" s="1">
        <f t="shared" si="1"/>
        <v>2</v>
      </c>
      <c r="H18" s="1" t="e">
        <f t="shared" si="2"/>
        <v>#DIV/0!</v>
      </c>
      <c r="I18" s="1" t="e">
        <f t="shared" si="2"/>
        <v>#DIV/0!</v>
      </c>
      <c r="J18" s="1" t="e">
        <f t="shared" si="2"/>
        <v>#DIV/0!</v>
      </c>
      <c r="K18" s="1" t="e">
        <f t="shared" si="2"/>
        <v>#DIV/0!</v>
      </c>
      <c r="L18" s="1" t="e">
        <f t="shared" si="2"/>
        <v>#DIV/0!</v>
      </c>
      <c r="M18" s="1" t="e">
        <f t="shared" si="2"/>
        <v>#DIV/0!</v>
      </c>
      <c r="N18" s="1" t="e">
        <f t="shared" si="2"/>
        <v>#DIV/0!</v>
      </c>
      <c r="O18" s="1" t="e">
        <f t="shared" si="2"/>
        <v>#DIV/0!</v>
      </c>
      <c r="P18" s="1" t="e">
        <f t="shared" si="2"/>
        <v>#DIV/0!</v>
      </c>
      <c r="Q18" s="1" t="e">
        <f t="shared" si="2"/>
        <v>#DIV/0!</v>
      </c>
      <c r="R18" s="1" t="e">
        <f t="shared" si="2"/>
        <v>#DIV/0!</v>
      </c>
      <c r="S18" s="1" t="e">
        <f t="shared" si="2"/>
        <v>#DIV/0!</v>
      </c>
      <c r="T18" s="1" t="e">
        <f t="shared" si="2"/>
        <v>#DIV/0!</v>
      </c>
    </row>
    <row r="19" spans="4:20" x14ac:dyDescent="0.15">
      <c r="D19" s="5">
        <v>30</v>
      </c>
      <c r="E19" s="1">
        <v>1</v>
      </c>
      <c r="F19" s="1">
        <f t="shared" si="1"/>
        <v>2</v>
      </c>
      <c r="H19" s="1" t="e">
        <f t="shared" si="2"/>
        <v>#DIV/0!</v>
      </c>
      <c r="I19" s="1" t="e">
        <f t="shared" si="2"/>
        <v>#DIV/0!</v>
      </c>
      <c r="J19" s="1" t="e">
        <f t="shared" si="2"/>
        <v>#DIV/0!</v>
      </c>
      <c r="K19" s="1" t="e">
        <f t="shared" si="2"/>
        <v>#DIV/0!</v>
      </c>
      <c r="L19" s="1" t="e">
        <f t="shared" si="2"/>
        <v>#DIV/0!</v>
      </c>
      <c r="M19" s="1" t="e">
        <f t="shared" si="2"/>
        <v>#DIV/0!</v>
      </c>
      <c r="N19" s="1" t="e">
        <f t="shared" si="2"/>
        <v>#DIV/0!</v>
      </c>
      <c r="O19" s="1" t="e">
        <f t="shared" si="2"/>
        <v>#DIV/0!</v>
      </c>
      <c r="P19" s="1" t="e">
        <f t="shared" si="2"/>
        <v>#DIV/0!</v>
      </c>
      <c r="Q19" s="1" t="e">
        <f t="shared" si="2"/>
        <v>#DIV/0!</v>
      </c>
      <c r="R19" s="1" t="e">
        <f t="shared" si="2"/>
        <v>#DIV/0!</v>
      </c>
      <c r="S19" s="1" t="e">
        <f t="shared" si="2"/>
        <v>#DIV/0!</v>
      </c>
      <c r="T19" s="1" t="e">
        <f t="shared" si="2"/>
        <v>#DIV/0!</v>
      </c>
    </row>
    <row r="20" spans="4:20" x14ac:dyDescent="0.15">
      <c r="D20" s="5">
        <v>40</v>
      </c>
      <c r="E20" s="1">
        <v>2</v>
      </c>
      <c r="F20" s="1">
        <f t="shared" si="1"/>
        <v>4</v>
      </c>
      <c r="H20" s="1" t="e">
        <f t="shared" si="2"/>
        <v>#DIV/0!</v>
      </c>
      <c r="I20" s="1" t="e">
        <f t="shared" si="2"/>
        <v>#DIV/0!</v>
      </c>
      <c r="J20" s="1" t="e">
        <f t="shared" si="2"/>
        <v>#DIV/0!</v>
      </c>
      <c r="K20" s="1" t="e">
        <f t="shared" si="2"/>
        <v>#DIV/0!</v>
      </c>
      <c r="L20" s="1" t="e">
        <f t="shared" si="2"/>
        <v>#DIV/0!</v>
      </c>
      <c r="M20" s="1" t="e">
        <f t="shared" si="2"/>
        <v>#DIV/0!</v>
      </c>
      <c r="N20" s="1" t="e">
        <f t="shared" si="2"/>
        <v>#DIV/0!</v>
      </c>
      <c r="O20" s="1" t="e">
        <f t="shared" si="2"/>
        <v>#DIV/0!</v>
      </c>
      <c r="P20" s="1" t="e">
        <f t="shared" si="2"/>
        <v>#DIV/0!</v>
      </c>
      <c r="Q20" s="1" t="e">
        <f t="shared" si="2"/>
        <v>#DIV/0!</v>
      </c>
      <c r="R20" s="1" t="e">
        <f t="shared" si="2"/>
        <v>#DIV/0!</v>
      </c>
      <c r="S20" s="1" t="e">
        <f t="shared" si="2"/>
        <v>#DIV/0!</v>
      </c>
      <c r="T20" s="1" t="e">
        <f t="shared" si="2"/>
        <v>#DIV/0!</v>
      </c>
    </row>
    <row r="21" spans="4:20" x14ac:dyDescent="0.15">
      <c r="D21" s="5">
        <v>50</v>
      </c>
      <c r="E21" s="1">
        <v>2</v>
      </c>
      <c r="F21" s="1">
        <f t="shared" si="1"/>
        <v>4</v>
      </c>
      <c r="H21" s="1" t="e">
        <f t="shared" si="2"/>
        <v>#DIV/0!</v>
      </c>
      <c r="I21" s="1" t="e">
        <f t="shared" si="2"/>
        <v>#DIV/0!</v>
      </c>
      <c r="J21" s="1" t="e">
        <f t="shared" si="2"/>
        <v>#DIV/0!</v>
      </c>
      <c r="K21" s="1" t="e">
        <f t="shared" si="2"/>
        <v>#DIV/0!</v>
      </c>
      <c r="L21" s="1" t="e">
        <f t="shared" si="2"/>
        <v>#DIV/0!</v>
      </c>
      <c r="M21" s="1" t="e">
        <f t="shared" si="2"/>
        <v>#DIV/0!</v>
      </c>
      <c r="N21" s="1" t="e">
        <f t="shared" si="2"/>
        <v>#DIV/0!</v>
      </c>
      <c r="O21" s="1" t="e">
        <f t="shared" si="2"/>
        <v>#DIV/0!</v>
      </c>
      <c r="P21" s="1" t="e">
        <f t="shared" si="2"/>
        <v>#DIV/0!</v>
      </c>
      <c r="Q21" s="1" t="e">
        <f t="shared" si="2"/>
        <v>#DIV/0!</v>
      </c>
      <c r="R21" s="1" t="e">
        <f t="shared" si="2"/>
        <v>#DIV/0!</v>
      </c>
      <c r="S21" s="1" t="e">
        <f t="shared" si="2"/>
        <v>#DIV/0!</v>
      </c>
      <c r="T21" s="1" t="e">
        <f t="shared" si="2"/>
        <v>#DIV/0!</v>
      </c>
    </row>
    <row r="22" spans="4:20" x14ac:dyDescent="0.15">
      <c r="D22" s="5">
        <v>60</v>
      </c>
      <c r="E22" s="1">
        <v>3</v>
      </c>
      <c r="F22" s="1">
        <f t="shared" si="1"/>
        <v>6</v>
      </c>
      <c r="H22" s="1" t="e">
        <f t="shared" si="2"/>
        <v>#DIV/0!</v>
      </c>
      <c r="I22" s="1" t="e">
        <f t="shared" si="2"/>
        <v>#DIV/0!</v>
      </c>
      <c r="J22" s="1" t="e">
        <f t="shared" si="2"/>
        <v>#DIV/0!</v>
      </c>
      <c r="K22" s="1" t="e">
        <f t="shared" si="2"/>
        <v>#DIV/0!</v>
      </c>
      <c r="L22" s="1" t="e">
        <f t="shared" si="2"/>
        <v>#DIV/0!</v>
      </c>
      <c r="M22" s="1" t="e">
        <f t="shared" si="2"/>
        <v>#DIV/0!</v>
      </c>
      <c r="N22" s="1" t="e">
        <f t="shared" si="2"/>
        <v>#DIV/0!</v>
      </c>
      <c r="O22" s="1" t="e">
        <f t="shared" si="2"/>
        <v>#DIV/0!</v>
      </c>
      <c r="P22" s="1" t="e">
        <f t="shared" si="2"/>
        <v>#DIV/0!</v>
      </c>
      <c r="Q22" s="1" t="e">
        <f t="shared" si="2"/>
        <v>#DIV/0!</v>
      </c>
      <c r="R22" s="1" t="e">
        <f t="shared" si="2"/>
        <v>#DIV/0!</v>
      </c>
      <c r="S22" s="1" t="e">
        <f t="shared" si="2"/>
        <v>#DIV/0!</v>
      </c>
      <c r="T22" s="1" t="e">
        <f t="shared" si="2"/>
        <v>#DIV/0!</v>
      </c>
    </row>
    <row r="23" spans="4:20" x14ac:dyDescent="0.15">
      <c r="D23" s="5">
        <v>70</v>
      </c>
      <c r="E23" s="1">
        <v>3</v>
      </c>
      <c r="F23" s="1">
        <f t="shared" si="1"/>
        <v>6</v>
      </c>
      <c r="H23" s="1" t="e">
        <f t="shared" si="2"/>
        <v>#DIV/0!</v>
      </c>
      <c r="I23" s="1" t="e">
        <f t="shared" si="2"/>
        <v>#DIV/0!</v>
      </c>
      <c r="J23" s="1" t="e">
        <f t="shared" si="2"/>
        <v>#DIV/0!</v>
      </c>
      <c r="K23" s="1" t="e">
        <f t="shared" si="2"/>
        <v>#DIV/0!</v>
      </c>
      <c r="L23" s="1" t="e">
        <f t="shared" si="2"/>
        <v>#DIV/0!</v>
      </c>
      <c r="M23" s="1" t="e">
        <f t="shared" si="2"/>
        <v>#DIV/0!</v>
      </c>
      <c r="N23" s="1" t="e">
        <f t="shared" si="2"/>
        <v>#DIV/0!</v>
      </c>
      <c r="O23" s="1" t="e">
        <f t="shared" si="2"/>
        <v>#DIV/0!</v>
      </c>
      <c r="P23" s="1" t="e">
        <f t="shared" si="2"/>
        <v>#DIV/0!</v>
      </c>
      <c r="Q23" s="1" t="e">
        <f t="shared" si="2"/>
        <v>#DIV/0!</v>
      </c>
      <c r="R23" s="1" t="e">
        <f t="shared" si="2"/>
        <v>#DIV/0!</v>
      </c>
      <c r="S23" s="1" t="e">
        <f t="shared" si="2"/>
        <v>#DIV/0!</v>
      </c>
      <c r="T23" s="1" t="e">
        <f t="shared" si="2"/>
        <v>#DIV/0!</v>
      </c>
    </row>
    <row r="24" spans="4:20" x14ac:dyDescent="0.15">
      <c r="D24" s="5">
        <v>80</v>
      </c>
      <c r="E24" s="1">
        <v>4</v>
      </c>
      <c r="F24" s="1">
        <f t="shared" si="1"/>
        <v>8</v>
      </c>
      <c r="H24" s="1" t="e">
        <f t="shared" si="2"/>
        <v>#DIV/0!</v>
      </c>
      <c r="I24" s="1" t="e">
        <f t="shared" si="2"/>
        <v>#DIV/0!</v>
      </c>
      <c r="J24" s="1" t="e">
        <f t="shared" si="2"/>
        <v>#DIV/0!</v>
      </c>
      <c r="K24" s="1" t="e">
        <f t="shared" si="2"/>
        <v>#DIV/0!</v>
      </c>
      <c r="L24" s="1" t="e">
        <f t="shared" si="2"/>
        <v>#DIV/0!</v>
      </c>
      <c r="M24" s="1" t="e">
        <f t="shared" si="2"/>
        <v>#DIV/0!</v>
      </c>
      <c r="N24" s="1" t="e">
        <f t="shared" si="2"/>
        <v>#DIV/0!</v>
      </c>
      <c r="O24" s="1" t="e">
        <f t="shared" si="2"/>
        <v>#DIV/0!</v>
      </c>
      <c r="P24" s="1" t="e">
        <f t="shared" si="2"/>
        <v>#DIV/0!</v>
      </c>
      <c r="Q24" s="1" t="e">
        <f t="shared" si="2"/>
        <v>#DIV/0!</v>
      </c>
      <c r="R24" s="1" t="e">
        <f t="shared" si="2"/>
        <v>#DIV/0!</v>
      </c>
      <c r="S24" s="1" t="e">
        <f t="shared" si="2"/>
        <v>#DIV/0!</v>
      </c>
      <c r="T24" s="1" t="e">
        <f t="shared" si="2"/>
        <v>#DIV/0!</v>
      </c>
    </row>
    <row r="25" spans="4:20" x14ac:dyDescent="0.15">
      <c r="D25" s="5">
        <v>90</v>
      </c>
      <c r="E25" s="1">
        <v>5</v>
      </c>
      <c r="F25" s="1">
        <f t="shared" si="1"/>
        <v>10</v>
      </c>
      <c r="H25" s="1" t="e">
        <f t="shared" si="2"/>
        <v>#DIV/0!</v>
      </c>
      <c r="I25" s="1" t="e">
        <f t="shared" si="2"/>
        <v>#DIV/0!</v>
      </c>
      <c r="J25" s="1" t="e">
        <f t="shared" si="2"/>
        <v>#DIV/0!</v>
      </c>
      <c r="K25" s="1" t="e">
        <f t="shared" si="2"/>
        <v>#DIV/0!</v>
      </c>
      <c r="L25" s="1" t="e">
        <f t="shared" si="2"/>
        <v>#DIV/0!</v>
      </c>
      <c r="M25" s="1" t="e">
        <f t="shared" si="2"/>
        <v>#DIV/0!</v>
      </c>
      <c r="N25" s="1" t="e">
        <f t="shared" si="2"/>
        <v>#DIV/0!</v>
      </c>
      <c r="O25" s="1" t="e">
        <f t="shared" si="2"/>
        <v>#DIV/0!</v>
      </c>
      <c r="P25" s="1" t="e">
        <f t="shared" si="2"/>
        <v>#DIV/0!</v>
      </c>
      <c r="Q25" s="1" t="e">
        <f t="shared" si="2"/>
        <v>#DIV/0!</v>
      </c>
      <c r="R25" s="1" t="e">
        <f t="shared" si="2"/>
        <v>#DIV/0!</v>
      </c>
      <c r="S25" s="1" t="e">
        <f t="shared" si="2"/>
        <v>#DIV/0!</v>
      </c>
      <c r="T25" s="1" t="e">
        <f t="shared" si="2"/>
        <v>#DIV/0!</v>
      </c>
    </row>
    <row r="26" spans="4:20" x14ac:dyDescent="0.15">
      <c r="D26" s="5">
        <v>100</v>
      </c>
      <c r="E26" s="1">
        <v>5</v>
      </c>
      <c r="F26" s="1">
        <f>VLOOKUP(E26,$D$5:$E$11,2)</f>
        <v>10</v>
      </c>
      <c r="H26" s="1" t="e">
        <f t="shared" si="2"/>
        <v>#DIV/0!</v>
      </c>
      <c r="I26" s="1" t="e">
        <f t="shared" si="2"/>
        <v>#DIV/0!</v>
      </c>
      <c r="J26" s="1" t="e">
        <f t="shared" si="2"/>
        <v>#DIV/0!</v>
      </c>
      <c r="K26" s="1" t="e">
        <f t="shared" si="2"/>
        <v>#DIV/0!</v>
      </c>
      <c r="L26" s="1" t="e">
        <f t="shared" si="2"/>
        <v>#DIV/0!</v>
      </c>
      <c r="M26" s="1" t="e">
        <f t="shared" si="2"/>
        <v>#DIV/0!</v>
      </c>
      <c r="N26" s="1" t="e">
        <f t="shared" si="2"/>
        <v>#DIV/0!</v>
      </c>
      <c r="O26" s="1" t="e">
        <f t="shared" si="2"/>
        <v>#DIV/0!</v>
      </c>
      <c r="P26" s="1" t="e">
        <f t="shared" si="2"/>
        <v>#DIV/0!</v>
      </c>
      <c r="Q26" s="1" t="e">
        <f t="shared" si="2"/>
        <v>#DIV/0!</v>
      </c>
      <c r="R26" s="1" t="e">
        <f t="shared" si="2"/>
        <v>#DIV/0!</v>
      </c>
      <c r="S26" s="1" t="e">
        <f t="shared" si="2"/>
        <v>#DIV/0!</v>
      </c>
      <c r="T26" s="1" t="e">
        <f t="shared" si="2"/>
        <v>#DIV/0!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workbookViewId="0">
      <selection activeCell="H12" sqref="H12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命名范围</vt:lpstr>
      </vt:variant>
      <vt:variant>
        <vt:i4>10</vt:i4>
      </vt:variant>
    </vt:vector>
  </HeadingPairs>
  <TitlesOfParts>
    <vt:vector size="28" baseType="lpstr">
      <vt:lpstr>0、规划配置</vt:lpstr>
      <vt:lpstr>各种公式</vt:lpstr>
      <vt:lpstr>1、战斗节奏表</vt:lpstr>
      <vt:lpstr>2、属性成长</vt:lpstr>
      <vt:lpstr>3、总属性战斗节奏拟合</vt:lpstr>
      <vt:lpstr>4、人物躶体&amp;总属性表</vt:lpstr>
      <vt:lpstr>人物总属性查询表</vt:lpstr>
      <vt:lpstr>5、系统属性规划</vt:lpstr>
      <vt:lpstr>属性分配验证</vt:lpstr>
      <vt:lpstr>装备规划</vt:lpstr>
      <vt:lpstr>时装规划</vt:lpstr>
      <vt:lpstr>马仔规划</vt:lpstr>
      <vt:lpstr>称号规划</vt:lpstr>
      <vt:lpstr>翅膀规划</vt:lpstr>
      <vt:lpstr>龙魂规划</vt:lpstr>
      <vt:lpstr>命格规划</vt:lpstr>
      <vt:lpstr>祥云</vt:lpstr>
      <vt:lpstr>属性战斗节奏评估</vt:lpstr>
      <vt:lpstr>龙魂分图属性</vt:lpstr>
      <vt:lpstr>躶体属性参考系</vt:lpstr>
      <vt:lpstr>人物躶体属性</vt:lpstr>
      <vt:lpstr>属性定义</vt:lpstr>
      <vt:lpstr>属性价值比</vt:lpstr>
      <vt:lpstr>属性权重数组</vt:lpstr>
      <vt:lpstr>战斗节奏平砍下数</vt:lpstr>
      <vt:lpstr>战斗节奏数值比</vt:lpstr>
      <vt:lpstr>装备基础属性表</vt:lpstr>
      <vt:lpstr>总属性参考数组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Javy</cp:lastModifiedBy>
  <dcterms:created xsi:type="dcterms:W3CDTF">2006-09-16T00:00:00Z</dcterms:created>
  <dcterms:modified xsi:type="dcterms:W3CDTF">2015-08-01T17:43:43Z</dcterms:modified>
</cp:coreProperties>
</file>