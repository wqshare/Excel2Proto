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F:\VGame\trunk\gamexlm\excel\"/>
    </mc:Choice>
  </mc:AlternateContent>
  <bookViews>
    <workbookView xWindow="0" yWindow="0" windowWidth="27780" windowHeight="13650" tabRatio="902" firstSheet="2" activeTab="11"/>
  </bookViews>
  <sheets>
    <sheet name="D_UI配置表" sheetId="1" r:id="rId1"/>
    <sheet name="D_目标选择" sheetId="2" r:id="rId2"/>
    <sheet name="D_服务器配置" sheetId="3" r:id="rId3"/>
    <sheet name="D_TIP配置" sheetId="4" r:id="rId4"/>
    <sheet name="D_系统帮助" sheetId="5" r:id="rId5"/>
    <sheet name="D_错误代码" sheetId="6" r:id="rId6"/>
    <sheet name="D_文字转化" sheetId="7" r:id="rId7"/>
    <sheet name="D_域名" sheetId="8" r:id="rId8"/>
    <sheet name="D_我要变强" sheetId="9" r:id="rId9"/>
    <sheet name="D_走马灯表" sheetId="10" r:id="rId10"/>
    <sheet name="D_颜色对应" sheetId="11" r:id="rId11"/>
    <sheet name="D_公式常数表" sheetId="12" r:id="rId12"/>
    <sheet name="D_小提示" sheetId="13" r:id="rId13"/>
    <sheet name="D_战力评分" sheetId="14" r:id="rId14"/>
    <sheet name="D_LOADING小提示" sheetId="15" r:id="rId15"/>
    <sheet name="D_走马灯配置" sheetId="16" r:id="rId16"/>
    <sheet name="D_VIP等级红包配置表" sheetId="17" r:id="rId17"/>
    <sheet name="Sheet1" sheetId="18" r:id="rId18"/>
  </sheets>
  <externalReferences>
    <externalReference r:id="rId19"/>
    <externalReference r:id="rId20"/>
    <externalReference r:id="rId21"/>
    <externalReference r:id="rId22"/>
  </externalReferences>
  <definedNames>
    <definedName name="_xlnm._FilterDatabase" localSheetId="0" hidden="1">D_UI配置表!$A$1:$G$38</definedName>
  </definedNames>
  <calcPr calcId="152511"/>
</workbook>
</file>

<file path=xl/calcChain.xml><?xml version="1.0" encoding="utf-8"?>
<calcChain xmlns="http://schemas.openxmlformats.org/spreadsheetml/2006/main">
  <c r="AF64" i="17" l="1"/>
  <c r="AE64" i="17"/>
  <c r="AD64" i="17"/>
  <c r="K64" i="17"/>
  <c r="AF63" i="17"/>
  <c r="AE63" i="17"/>
  <c r="AD63" i="17"/>
  <c r="K63" i="17"/>
  <c r="K62" i="17"/>
  <c r="K61" i="17"/>
  <c r="K60" i="17"/>
  <c r="K59" i="17"/>
  <c r="K58" i="17"/>
  <c r="K57" i="17"/>
  <c r="AF56" i="17"/>
  <c r="AE56" i="17"/>
  <c r="AD56" i="17"/>
  <c r="K56" i="17"/>
  <c r="AF55" i="17"/>
  <c r="AE55" i="17"/>
  <c r="AD55" i="17"/>
  <c r="K55" i="17"/>
  <c r="K54" i="17"/>
  <c r="K53" i="17"/>
  <c r="K52" i="17"/>
  <c r="K51" i="17"/>
  <c r="K50" i="17"/>
  <c r="K49" i="17"/>
  <c r="C48" i="17"/>
  <c r="E48" i="17" s="1"/>
  <c r="K48" i="17" s="1"/>
  <c r="K47" i="17"/>
  <c r="K46" i="17"/>
  <c r="K45" i="17"/>
  <c r="AE44" i="17"/>
  <c r="AC44" i="17"/>
  <c r="AF44" i="17" s="1"/>
  <c r="K44" i="17"/>
  <c r="AC43" i="17"/>
  <c r="AF43" i="17" s="1"/>
  <c r="K43" i="17"/>
  <c r="K42" i="17"/>
  <c r="K41" i="17"/>
  <c r="K40" i="17"/>
  <c r="K39" i="17"/>
  <c r="AC38" i="17"/>
  <c r="AF38" i="17" s="1"/>
  <c r="K38" i="17"/>
  <c r="K37" i="17"/>
  <c r="K36" i="17"/>
  <c r="K35" i="17"/>
  <c r="K34" i="17"/>
  <c r="AE33" i="17"/>
  <c r="AC33" i="17"/>
  <c r="AD33" i="17" s="1"/>
  <c r="K33" i="17"/>
  <c r="K32" i="17"/>
  <c r="K31" i="17"/>
  <c r="AF30" i="17"/>
  <c r="AC45" i="17" s="1"/>
  <c r="AE30" i="17"/>
  <c r="AC40" i="17" s="1"/>
  <c r="AD30" i="17"/>
  <c r="AC35" i="17" s="1"/>
  <c r="K30" i="17"/>
  <c r="AF29" i="17"/>
  <c r="AE29" i="17"/>
  <c r="AC39" i="17" s="1"/>
  <c r="AD29" i="17"/>
  <c r="AC34" i="17" s="1"/>
  <c r="K29" i="17"/>
  <c r="AI28" i="17"/>
  <c r="AF28" i="17"/>
  <c r="AE28" i="17"/>
  <c r="AI32" i="17" s="1"/>
  <c r="AD28" i="17"/>
  <c r="AI29" i="17" s="1"/>
  <c r="K28" i="17"/>
  <c r="K27" i="17"/>
  <c r="K26" i="17"/>
  <c r="K25" i="17"/>
  <c r="K24" i="17"/>
  <c r="K23" i="17"/>
  <c r="K22" i="17"/>
  <c r="K21" i="17"/>
  <c r="K20" i="17"/>
  <c r="K19" i="17"/>
  <c r="C18" i="17"/>
  <c r="E18" i="17" s="1"/>
  <c r="K18" i="17" s="1"/>
  <c r="C17" i="17"/>
  <c r="E17" i="17" s="1"/>
  <c r="K17" i="17" s="1"/>
  <c r="C16" i="17"/>
  <c r="E16" i="17" s="1"/>
  <c r="K16" i="17" s="1"/>
  <c r="C15" i="17"/>
  <c r="E15" i="17" s="1"/>
  <c r="K15" i="17" s="1"/>
  <c r="C14" i="17"/>
  <c r="E14" i="17" s="1"/>
  <c r="K14" i="17" s="1"/>
  <c r="C13" i="17"/>
  <c r="E13" i="17" s="1"/>
  <c r="K13" i="17" s="1"/>
  <c r="C12" i="17"/>
  <c r="E12" i="17" s="1"/>
  <c r="K12" i="17" s="1"/>
  <c r="E11" i="17"/>
  <c r="K11" i="17" s="1"/>
  <c r="E10" i="17"/>
  <c r="K10" i="17" s="1"/>
  <c r="E9" i="17"/>
  <c r="K9" i="17" s="1"/>
  <c r="E8" i="17"/>
  <c r="K8" i="17" s="1"/>
  <c r="E7" i="17"/>
  <c r="K7" i="17" s="1"/>
  <c r="E6" i="17"/>
  <c r="K6" i="17" s="1"/>
  <c r="E5" i="17"/>
  <c r="K5" i="17" s="1"/>
  <c r="E4" i="17"/>
  <c r="K4" i="17" s="1"/>
  <c r="E3" i="17"/>
  <c r="K3" i="17" s="1"/>
  <c r="E2" i="17"/>
  <c r="K2" i="17" s="1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F7" i="12"/>
  <c r="E7" i="12"/>
  <c r="D7" i="12"/>
  <c r="C6" i="12"/>
  <c r="C5" i="12"/>
  <c r="D4" i="12"/>
  <c r="C4" i="12"/>
  <c r="C3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F9" i="9"/>
  <c r="F8" i="9"/>
  <c r="F7" i="9"/>
  <c r="F6" i="9"/>
  <c r="F5" i="9"/>
  <c r="F4" i="9"/>
  <c r="F3" i="9"/>
  <c r="F2" i="9"/>
  <c r="G29" i="1"/>
  <c r="G28" i="1"/>
  <c r="G26" i="1"/>
  <c r="G25" i="1"/>
  <c r="G24" i="1"/>
  <c r="G22" i="1"/>
  <c r="G21" i="1"/>
  <c r="G20" i="1"/>
  <c r="G18" i="1"/>
  <c r="G17" i="1"/>
  <c r="G15" i="1"/>
  <c r="G5" i="1"/>
  <c r="G4" i="1"/>
  <c r="G2" i="1"/>
  <c r="C7" i="12" l="1"/>
  <c r="C2" i="12"/>
  <c r="AF40" i="17"/>
  <c r="AE40" i="17"/>
  <c r="AD40" i="17"/>
  <c r="AE45" i="17"/>
  <c r="AD45" i="17"/>
  <c r="AF45" i="17"/>
  <c r="AF39" i="17"/>
  <c r="AE39" i="17"/>
  <c r="AD39" i="17"/>
  <c r="AF35" i="17"/>
  <c r="AE35" i="17"/>
  <c r="AD35" i="17"/>
  <c r="AF34" i="17"/>
  <c r="AE34" i="17"/>
  <c r="AD34" i="17"/>
  <c r="AI31" i="17"/>
  <c r="AI55" i="17"/>
  <c r="AF33" i="17"/>
  <c r="AD44" i="17"/>
  <c r="AI63" i="17"/>
  <c r="AD38" i="17"/>
  <c r="AE38" i="17"/>
  <c r="AD43" i="17"/>
  <c r="AI30" i="17"/>
  <c r="AE43" i="17"/>
  <c r="AI56" i="17"/>
  <c r="AI64" i="17"/>
  <c r="AJ64" i="17" l="1"/>
  <c r="AJ56" i="17"/>
  <c r="AJ35" i="17"/>
  <c r="AJ30" i="17"/>
  <c r="AJ32" i="17"/>
  <c r="AJ33" i="17"/>
  <c r="AJ31" i="17"/>
  <c r="AJ34" i="17"/>
  <c r="AJ29" i="17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 xml:space="preserve">Windows User:
修改ID，请通知对应的程序和策划
</t>
        </r>
      </text>
    </comment>
  </commentList>
</comments>
</file>

<file path=xl/comments2.xml><?xml version="1.0" encoding="utf-8"?>
<comments xmlns="http://schemas.openxmlformats.org/spreadsheetml/2006/main">
  <authors>
    <author>jinxin</author>
  </authors>
  <commentList>
    <comment ref="I1" authorId="0" shapeId="0">
      <text>
        <r>
          <rPr>
            <sz val="9"/>
            <color indexed="81"/>
            <rFont val="宋体"/>
            <family val="3"/>
            <charset val="134"/>
          </rPr>
          <t>halo:
不超过30个中文字符</t>
        </r>
      </text>
    </comment>
  </commentList>
</comments>
</file>

<file path=xl/comments3.xml><?xml version="1.0" encoding="utf-8"?>
<comments xmlns="http://schemas.openxmlformats.org/spreadsheetml/2006/main">
  <authors>
    <author>bobuchen</author>
  </authors>
  <commentList>
    <comment ref="B2" authorId="0" shapeId="0">
      <text>
        <r>
          <rPr>
            <sz val="9"/>
            <color indexed="81"/>
            <rFont val="宋体"/>
            <family val="3"/>
            <charset val="134"/>
          </rPr>
          <t>bobuchen:
战斗力公式</t>
        </r>
      </text>
    </comment>
    <comment ref="D2" authorId="0" shapeId="0">
      <text>
        <r>
          <rPr>
            <sz val="9"/>
            <color indexed="81"/>
            <rFont val="宋体"/>
            <family val="3"/>
            <charset val="134"/>
          </rPr>
          <t>bobuchen:
生命估值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bobuchen:
攻击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bobuchen:
防御估值</t>
        </r>
      </text>
    </comment>
    <comment ref="G2" authorId="0" shapeId="0">
      <text>
        <r>
          <rPr>
            <sz val="9"/>
            <color indexed="81"/>
            <rFont val="宋体"/>
            <family val="3"/>
            <charset val="134"/>
          </rPr>
          <t>bobuchen:
闪避</t>
        </r>
      </text>
    </comment>
    <comment ref="H2" authorId="0" shapeId="0">
      <text>
        <r>
          <rPr>
            <sz val="9"/>
            <color indexed="81"/>
            <rFont val="宋体"/>
            <family val="3"/>
            <charset val="134"/>
          </rPr>
          <t>bobuchen:
命中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bobuchen:
暴击</t>
        </r>
      </text>
    </comment>
    <comment ref="J2" authorId="0" shapeId="0">
      <text>
        <r>
          <rPr>
            <sz val="9"/>
            <color indexed="81"/>
            <rFont val="宋体"/>
            <family val="3"/>
            <charset val="134"/>
          </rPr>
          <t>bobuchen:
暴击倍数</t>
        </r>
      </text>
    </comment>
    <comment ref="K2" authorId="0" shapeId="0">
      <text>
        <r>
          <rPr>
            <sz val="9"/>
            <color indexed="81"/>
            <rFont val="宋体"/>
            <family val="3"/>
            <charset val="134"/>
          </rPr>
          <t>bobuchen:
韧性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bobuchen:
减伤百分比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bobuchen:
加伤百分比</t>
        </r>
      </text>
    </comment>
    <comment ref="N2" authorId="0" shapeId="0">
      <text>
        <r>
          <rPr>
            <sz val="9"/>
            <color indexed="81"/>
            <rFont val="宋体"/>
            <family val="3"/>
            <charset val="134"/>
          </rPr>
          <t>bobuchen:
生命值百分比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bobuchen:
攻击百分比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bobuchen:
防御百分比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bobuchen:
命中公式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bobuchen:
暴击公式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bobuchen:
强化公式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bobuchen:
初级强化石ID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bobuchen:
中级强化石ID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bobuchen:
高级强化石ID</t>
        </r>
      </text>
    </comment>
    <comment ref="G5" authorId="0" shapeId="0">
      <text>
        <r>
          <rPr>
            <sz val="9"/>
            <color indexed="81"/>
            <rFont val="宋体"/>
            <family val="3"/>
            <charset val="134"/>
          </rPr>
          <t>bobuchen:
初级强化石经验</t>
        </r>
      </text>
    </comment>
    <comment ref="H5" authorId="0" shapeId="0">
      <text>
        <r>
          <rPr>
            <sz val="9"/>
            <color indexed="81"/>
            <rFont val="宋体"/>
            <family val="3"/>
            <charset val="134"/>
          </rPr>
          <t>bobuchen:
中级强化石经验</t>
        </r>
      </text>
    </comment>
    <comment ref="I5" authorId="0" shapeId="0">
      <text>
        <r>
          <rPr>
            <sz val="9"/>
            <color indexed="81"/>
            <rFont val="宋体"/>
            <family val="3"/>
            <charset val="134"/>
          </rPr>
          <t>bobuchen:
高级强化石经验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bobuchen:
升星公式常数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bobuchen:
初级升星石</t>
        </r>
      </text>
    </comment>
    <comment ref="E6" authorId="0" shapeId="0">
      <text>
        <r>
          <rPr>
            <sz val="9"/>
            <color indexed="81"/>
            <rFont val="宋体"/>
            <family val="3"/>
            <charset val="134"/>
          </rPr>
          <t>bobuchen:
中级升星石</t>
        </r>
      </text>
    </comment>
    <comment ref="F6" authorId="0" shapeId="0">
      <text>
        <r>
          <rPr>
            <sz val="9"/>
            <color indexed="81"/>
            <rFont val="宋体"/>
            <family val="3"/>
            <charset val="134"/>
          </rPr>
          <t>bobuchen:
高级升星石</t>
        </r>
      </text>
    </comment>
    <comment ref="B7" authorId="0" shapeId="0">
      <text>
        <r>
          <rPr>
            <sz val="9"/>
            <color indexed="81"/>
            <rFont val="宋体"/>
            <family val="3"/>
            <charset val="134"/>
          </rPr>
          <t>bobuchen:
马仔升星属性计算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bobuchen:
生命系数</t>
        </r>
      </text>
    </comment>
    <comment ref="E7" authorId="0" shapeId="0">
      <text>
        <r>
          <rPr>
            <sz val="9"/>
            <color indexed="81"/>
            <rFont val="宋体"/>
            <family val="3"/>
            <charset val="134"/>
          </rPr>
          <t>bobuchen:
攻击系数</t>
        </r>
      </text>
    </comment>
    <comment ref="F7" authorId="0" shapeId="0">
      <text>
        <r>
          <rPr>
            <sz val="9"/>
            <color indexed="81"/>
            <rFont val="宋体"/>
            <family val="3"/>
            <charset val="134"/>
          </rPr>
          <t>bobuchen:
防御系数</t>
        </r>
      </text>
    </comment>
    <comment ref="D8" authorId="0" shapeId="0">
      <text>
        <r>
          <rPr>
            <sz val="9"/>
            <color indexed="81"/>
            <rFont val="宋体"/>
            <family val="3"/>
            <charset val="134"/>
          </rPr>
          <t>bobuchen:
百分值</t>
        </r>
      </text>
    </comment>
    <comment ref="E8" authorId="0" shapeId="0">
      <text>
        <r>
          <rPr>
            <sz val="9"/>
            <color indexed="81"/>
            <rFont val="宋体"/>
            <family val="3"/>
            <charset val="134"/>
          </rPr>
          <t>bobuchen:
百分比</t>
        </r>
      </text>
    </comment>
    <comment ref="F8" authorId="0" shapeId="0">
      <text>
        <r>
          <rPr>
            <sz val="9"/>
            <color indexed="81"/>
            <rFont val="宋体"/>
            <family val="3"/>
            <charset val="134"/>
          </rPr>
          <t>Ycat008:
暴击倍数：10</t>
        </r>
      </text>
    </comment>
    <comment ref="G8" authorId="0" shapeId="0">
      <text>
        <r>
          <rPr>
            <sz val="9"/>
            <color indexed="81"/>
            <rFont val="宋体"/>
            <family val="3"/>
            <charset val="134"/>
          </rPr>
          <t>Ycat008:
生命加成：21</t>
        </r>
      </text>
    </comment>
    <comment ref="H8" authorId="0" shapeId="0">
      <text>
        <r>
          <rPr>
            <sz val="9"/>
            <color indexed="81"/>
            <rFont val="宋体"/>
            <family val="3"/>
            <charset val="134"/>
          </rPr>
          <t>Ycat008:
攻击加成：22</t>
        </r>
      </text>
    </comment>
    <comment ref="I8" authorId="0" shapeId="0">
      <text>
        <r>
          <rPr>
            <sz val="9"/>
            <color indexed="81"/>
            <rFont val="宋体"/>
            <family val="3"/>
            <charset val="134"/>
          </rPr>
          <t>Ycat008:
防御加成：23</t>
        </r>
      </text>
    </comment>
    <comment ref="J8" authorId="0" shapeId="0">
      <text>
        <r>
          <rPr>
            <sz val="9"/>
            <color indexed="81"/>
            <rFont val="宋体"/>
            <family val="3"/>
            <charset val="134"/>
          </rPr>
          <t>Ycat008:
伤害加深：24</t>
        </r>
      </text>
    </comment>
    <comment ref="K8" authorId="0" shapeId="0">
      <text>
        <r>
          <rPr>
            <sz val="9"/>
            <color indexed="81"/>
            <rFont val="宋体"/>
            <family val="3"/>
            <charset val="134"/>
          </rPr>
          <t>Ycat008:
伤害减免：25</t>
        </r>
      </text>
    </comment>
    <comment ref="D12" authorId="0" shapeId="0">
      <text>
        <r>
          <rPr>
            <sz val="9"/>
            <color indexed="81"/>
            <rFont val="宋体"/>
            <family val="3"/>
            <charset val="134"/>
          </rPr>
          <t xml:space="preserve">halo:
单位秒，每600秒增加1点VIP经验
</t>
        </r>
      </text>
    </comment>
    <comment ref="E12" authorId="0" shapeId="0">
      <text>
        <r>
          <rPr>
            <sz val="9"/>
            <color indexed="81"/>
            <rFont val="宋体"/>
            <family val="3"/>
            <charset val="134"/>
          </rPr>
          <t>halo:
每天增加12点VIP经验</t>
        </r>
      </text>
    </comment>
    <comment ref="D13" authorId="0" shapeId="0">
      <text>
        <r>
          <rPr>
            <sz val="9"/>
            <color indexed="81"/>
            <rFont val="宋体"/>
            <family val="3"/>
            <charset val="134"/>
          </rPr>
          <t>halo:
获得第1点经验时弹出第1个VIP经验提醒</t>
        </r>
      </text>
    </comment>
    <comment ref="E13" authorId="0" shapeId="0">
      <text>
        <r>
          <rPr>
            <sz val="9"/>
            <color indexed="81"/>
            <rFont val="宋体"/>
            <family val="3"/>
            <charset val="134"/>
          </rPr>
          <t>halo:
获得第5点经验时弹出第2个VIP经验提醒</t>
        </r>
      </text>
    </comment>
    <comment ref="D14" authorId="0" shapeId="0">
      <text>
        <r>
          <rPr>
            <sz val="9"/>
            <color indexed="81"/>
            <rFont val="宋体"/>
            <family val="3"/>
            <charset val="134"/>
          </rPr>
          <t>bobuchen:
体力恢复速度(时间单位: 秒)</t>
        </r>
      </text>
    </comment>
    <comment ref="D16" authorId="0" shapeId="0">
      <text>
        <r>
          <rPr>
            <sz val="9"/>
            <color indexed="81"/>
            <rFont val="宋体"/>
            <family val="3"/>
            <charset val="134"/>
          </rPr>
          <t>halo:
每次赠送体力点数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halo:
每天可赠送体力次数</t>
        </r>
      </text>
    </comment>
    <comment ref="F16" authorId="0" shapeId="0">
      <text>
        <r>
          <rPr>
            <sz val="9"/>
            <color indexed="81"/>
            <rFont val="宋体"/>
            <family val="3"/>
            <charset val="134"/>
          </rPr>
          <t>halo:
每天可接受体力次数</t>
        </r>
      </text>
    </comment>
    <comment ref="D19" authorId="0" shapeId="0">
      <text>
        <r>
          <rPr>
            <sz val="9"/>
            <color indexed="81"/>
            <rFont val="宋体"/>
            <family val="3"/>
            <charset val="134"/>
          </rPr>
          <t>halo:
每日发起追债次数</t>
        </r>
      </text>
    </comment>
    <comment ref="E19" authorId="0" shapeId="0">
      <text>
        <r>
          <rPr>
            <sz val="9"/>
            <color indexed="81"/>
            <rFont val="宋体"/>
            <family val="3"/>
            <charset val="134"/>
          </rPr>
          <t>halo:
每日劫掠次数</t>
        </r>
      </text>
    </comment>
    <comment ref="F19" authorId="0" shapeId="0">
      <text>
        <r>
          <rPr>
            <sz val="9"/>
            <color indexed="81"/>
            <rFont val="宋体"/>
            <family val="3"/>
            <charset val="134"/>
          </rPr>
          <t>halo:
拜财神价格（钻石）</t>
        </r>
      </text>
    </comment>
    <comment ref="G19" authorId="0" shapeId="0">
      <text>
        <r>
          <rPr>
            <sz val="9"/>
            <color indexed="81"/>
            <rFont val="宋体"/>
            <family val="3"/>
            <charset val="134"/>
          </rPr>
          <t>halo:
刷新债务价格</t>
        </r>
      </text>
    </comment>
    <comment ref="H19" authorId="0" shapeId="0">
      <text>
        <r>
          <rPr>
            <sz val="9"/>
            <color indexed="81"/>
            <rFont val="宋体"/>
            <family val="3"/>
            <charset val="134"/>
          </rPr>
          <t>halo:
单次劫掠收益:被劫掠者此次收债总奖励的15%</t>
        </r>
      </text>
    </comment>
    <comment ref="I19" authorId="0" shapeId="0">
      <text>
        <r>
          <rPr>
            <sz val="9"/>
            <color indexed="81"/>
            <rFont val="宋体"/>
            <family val="3"/>
            <charset val="134"/>
          </rPr>
          <t>halo:
每人每次收债被劫掠次数上限</t>
        </r>
      </text>
    </comment>
    <comment ref="J19" authorId="0" shapeId="0">
      <text>
        <r>
          <rPr>
            <sz val="9"/>
            <color indexed="81"/>
            <rFont val="宋体"/>
            <family val="3"/>
            <charset val="134"/>
          </rPr>
          <t>halo:
收债任务持续时间（秒）</t>
        </r>
      </text>
    </comment>
    <comment ref="K19" authorId="0" shapeId="0">
      <text>
        <r>
          <rPr>
            <sz val="9"/>
            <color indexed="81"/>
            <rFont val="宋体"/>
            <family val="3"/>
            <charset val="134"/>
          </rPr>
          <t>halo:
追债金币和马仔经验奖励等级系数</t>
        </r>
      </text>
    </comment>
    <comment ref="L19" authorId="0" shapeId="0">
      <text>
        <r>
          <rPr>
            <sz val="9"/>
            <color indexed="81"/>
            <rFont val="宋体"/>
            <family val="3"/>
            <charset val="134"/>
          </rPr>
          <t>halo:
追债金币和马仔经验奖励公会等级系数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halo:
每次劫掠增加的公会贡献</t>
        </r>
      </text>
    </comment>
    <comment ref="N19" authorId="0" shapeId="0">
      <text>
        <r>
          <rPr>
            <sz val="9"/>
            <color indexed="81"/>
            <rFont val="宋体"/>
            <family val="3"/>
            <charset val="134"/>
          </rPr>
          <t>Javy:
劫掠成功获得的物品</t>
        </r>
      </text>
    </comment>
    <comment ref="O19" authorId="0" shapeId="0">
      <text>
        <r>
          <rPr>
            <sz val="9"/>
            <color indexed="81"/>
            <rFont val="宋体"/>
            <family val="3"/>
            <charset val="134"/>
          </rPr>
          <t>Javy:
劫掠成功获得物品的数量</t>
        </r>
      </text>
    </comment>
    <comment ref="D20" authorId="0" shapeId="0">
      <text>
        <r>
          <rPr>
            <sz val="9"/>
            <color indexed="81"/>
            <rFont val="宋体"/>
            <family val="3"/>
            <charset val="134"/>
          </rPr>
          <t>halo:
占领者抽取打副本的玩家n%金币收益</t>
        </r>
      </text>
    </comment>
    <comment ref="D21" authorId="0" shapeId="0">
      <text>
        <r>
          <rPr>
            <sz val="9"/>
            <color indexed="81"/>
            <rFont val="宋体"/>
            <family val="3"/>
            <charset val="134"/>
          </rPr>
          <t>halo:
保护时间内点击屏幕不会关闭合成动画界面，单位“秒”</t>
        </r>
      </text>
    </comment>
    <comment ref="D22" authorId="0" shapeId="0">
      <text>
        <r>
          <rPr>
            <sz val="9"/>
            <color indexed="81"/>
            <rFont val="宋体"/>
            <family val="3"/>
            <charset val="134"/>
          </rPr>
          <t>Javy:
钻石十连抽保底
指定保底的马仔会在连续该次数不掉落之后必定掉落一个</t>
        </r>
      </text>
    </comment>
    <comment ref="E22" authorId="0" shapeId="0">
      <text>
        <r>
          <rPr>
            <sz val="9"/>
            <color indexed="81"/>
            <rFont val="宋体"/>
            <family val="3"/>
            <charset val="134"/>
          </rPr>
          <t>Javy:
钻石单抽保底</t>
        </r>
      </text>
    </comment>
    <comment ref="D23" authorId="0" shapeId="0">
      <text>
        <r>
          <rPr>
            <sz val="9"/>
            <color indexed="81"/>
            <rFont val="宋体"/>
            <family val="3"/>
            <charset val="134"/>
          </rPr>
          <t>Javy:
常数1</t>
        </r>
      </text>
    </comment>
    <comment ref="E23" authorId="0" shapeId="0">
      <text>
        <r>
          <rPr>
            <sz val="9"/>
            <color indexed="81"/>
            <rFont val="宋体"/>
            <family val="3"/>
            <charset val="134"/>
          </rPr>
          <t>Javy:
常数2</t>
        </r>
      </text>
    </comment>
    <comment ref="D24" authorId="0" shapeId="0">
      <text>
        <r>
          <rPr>
            <sz val="9"/>
            <color indexed="81"/>
            <rFont val="宋体"/>
            <family val="3"/>
            <charset val="134"/>
          </rPr>
          <t>Ycat008:
伤害减免：25</t>
        </r>
      </text>
    </comment>
    <comment ref="D25" authorId="0" shapeId="0">
      <text>
        <r>
          <rPr>
            <sz val="9"/>
            <color indexed="81"/>
            <rFont val="宋体"/>
            <family val="3"/>
            <charset val="134"/>
          </rPr>
          <t>halo:
首充就送XXX元大礼包</t>
        </r>
      </text>
    </comment>
    <comment ref="D26" authorId="0" shapeId="0">
      <text>
        <r>
          <rPr>
            <sz val="9"/>
            <color indexed="81"/>
            <rFont val="宋体"/>
            <family val="3"/>
            <charset val="134"/>
          </rPr>
          <t>Javy:
每天次数上限</t>
        </r>
      </text>
    </comment>
    <comment ref="E26" authorId="0" shapeId="0">
      <text>
        <r>
          <rPr>
            <sz val="9"/>
            <color indexed="81"/>
            <rFont val="宋体"/>
            <family val="3"/>
            <charset val="134"/>
          </rPr>
          <t>Javy:
最低出现时间间隔（秒）</t>
        </r>
      </text>
    </comment>
    <comment ref="A27" authorId="0" shapeId="0">
      <text>
        <r>
          <rPr>
            <sz val="9"/>
            <color indexed="81"/>
            <rFont val="宋体"/>
            <family val="3"/>
            <charset val="134"/>
          </rPr>
          <t>halo:
用来保证所有服务器每天的爆款马仔都是同一个
年-月-日</t>
        </r>
      </text>
    </comment>
    <comment ref="D30" authorId="0" shapeId="0">
      <text>
        <r>
          <rPr>
            <sz val="9"/>
            <color indexed="81"/>
            <rFont val="宋体"/>
            <family val="3"/>
            <charset val="134"/>
          </rPr>
          <t>halo:
每日领取钻石数量</t>
        </r>
      </text>
    </comment>
    <comment ref="E30" authorId="0" shapeId="0">
      <text>
        <r>
          <rPr>
            <sz val="9"/>
            <color indexed="81"/>
            <rFont val="宋体"/>
            <family val="3"/>
            <charset val="134"/>
          </rPr>
          <t>halo:
月卡持续时间（天）</t>
        </r>
      </text>
    </comment>
    <comment ref="D31" authorId="0" shapeId="0">
      <text>
        <r>
          <rPr>
            <sz val="9"/>
            <color indexed="81"/>
            <rFont val="宋体"/>
            <family val="3"/>
            <charset val="134"/>
          </rPr>
          <t>halo:
每日领取钻石数量</t>
        </r>
      </text>
    </comment>
    <comment ref="E31" authorId="0" shapeId="0">
      <text>
        <r>
          <rPr>
            <sz val="9"/>
            <color indexed="81"/>
            <rFont val="宋体"/>
            <family val="3"/>
            <charset val="134"/>
          </rPr>
          <t>halo:
终生卡激活价格（元）
某个角色充值XX元后，该角色激活终生卡，激活当天即可领取钻石奖励</t>
        </r>
      </text>
    </comment>
  </commentList>
</comments>
</file>

<file path=xl/comments4.xml><?xml version="1.0" encoding="utf-8"?>
<comments xmlns="http://schemas.openxmlformats.org/spreadsheetml/2006/main">
  <authors>
    <author>jinxin</author>
  </authors>
  <commentList>
    <comment ref="F1" authorId="0" shapeId="0">
      <text>
        <r>
          <rPr>
            <sz val="9"/>
            <color indexed="81"/>
            <rFont val="宋体"/>
            <family val="3"/>
            <charset val="134"/>
          </rPr>
          <t>halo:
1=装备升星
2=马仔培养
3=马仔升星
4=抽奖时获得马仔
5=在装备商城兑换装备
6=有玩家从其他玩家手中夺取关卡
7=系统公告</t>
        </r>
      </text>
    </comment>
    <comment ref="G1" authorId="0" shapeId="0">
      <text>
        <r>
          <rPr>
            <sz val="9"/>
            <color indexed="81"/>
            <rFont val="宋体"/>
            <family val="3"/>
            <charset val="134"/>
          </rPr>
          <t>halo:
条件ID=4时
本列数值=马仔品质
表示抽到&gt;=本品质的马仔时才会提示走马灯
条件ID=5时
本列数值=装备品质
表示抽到&gt;=本品质的装备时才会提示走马灯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B1" authorId="0" shapeId="0">
      <text>
        <r>
          <rPr>
            <sz val="9"/>
            <color indexed="81"/>
            <rFont val="宋体"/>
            <family val="3"/>
            <charset val="134"/>
          </rPr>
          <t>Windows User:
1：VIP等级
2：充值金额
   数值2=充值金额段，根据金额段显示不同的红包文字
3：获得道具
4: 全服等级第一人
5: 马仔升星
6：招募马仔
7：任意十连抽
8：竞技场历史最高第一名，只发放一次
9：创建公会
10：江湖路通关</t>
        </r>
      </text>
    </comment>
    <comment ref="E1" authorId="0" shapeId="0">
      <text>
        <r>
          <rPr>
            <sz val="9"/>
            <color indexed="81"/>
            <rFont val="宋体"/>
            <family val="3"/>
            <charset val="134"/>
          </rPr>
          <t>Javy:
注：总积分应该大于红包总数</t>
        </r>
      </text>
    </comment>
    <comment ref="I1" authorId="0" shapeId="0">
      <text>
        <r>
          <rPr>
            <sz val="9"/>
            <color indexed="81"/>
            <rFont val="宋体"/>
            <family val="3"/>
            <charset val="134"/>
          </rPr>
          <t>Javy:
已失效
表示每人抽到的最低积分为多少。
当保底积分&lt;0，或保底积分*红包数量&gt;=总积分时，表示所有人平分。</t>
        </r>
      </text>
    </comment>
  </commentList>
</comments>
</file>

<file path=xl/sharedStrings.xml><?xml version="1.0" encoding="utf-8"?>
<sst xmlns="http://schemas.openxmlformats.org/spreadsheetml/2006/main" count="935" uniqueCount="848">
  <si>
    <t>ID</t>
  </si>
  <si>
    <t>名称</t>
  </si>
  <si>
    <t>种类</t>
  </si>
  <si>
    <t>类型</t>
  </si>
  <si>
    <t>顺序位置</t>
  </si>
  <si>
    <t>开启等级</t>
  </si>
  <si>
    <t>条件任务ID</t>
  </si>
  <si>
    <t>即将开放</t>
  </si>
  <si>
    <t>背包</t>
  </si>
  <si>
    <t>副本</t>
  </si>
  <si>
    <t>设置</t>
  </si>
  <si>
    <t>任务</t>
  </si>
  <si>
    <t>马仔</t>
  </si>
  <si>
    <t>强化</t>
  </si>
  <si>
    <t>技能</t>
  </si>
  <si>
    <t>堂口</t>
  </si>
  <si>
    <t>纹身</t>
  </si>
  <si>
    <t>猎命</t>
  </si>
  <si>
    <t>好友</t>
  </si>
  <si>
    <t>地下擂台</t>
  </si>
  <si>
    <t>排行</t>
  </si>
  <si>
    <t>充值</t>
  </si>
  <si>
    <t>商城</t>
  </si>
  <si>
    <t>领奖</t>
  </si>
  <si>
    <t>签到</t>
  </si>
  <si>
    <t>寻宝</t>
  </si>
  <si>
    <t>VIP</t>
  </si>
  <si>
    <t>翅膀</t>
  </si>
  <si>
    <t>时装</t>
  </si>
  <si>
    <t>神秘商店</t>
  </si>
  <si>
    <t>登录奖励</t>
  </si>
  <si>
    <t>成就</t>
  </si>
  <si>
    <t>日常任务</t>
  </si>
  <si>
    <t>活动</t>
  </si>
  <si>
    <t>等级礼包</t>
  </si>
  <si>
    <t>VIP经验</t>
  </si>
  <si>
    <t>拼战开启</t>
  </si>
  <si>
    <t>拼战关闭</t>
  </si>
  <si>
    <t>首冲</t>
  </si>
  <si>
    <t>升星</t>
  </si>
  <si>
    <t>升级</t>
  </si>
  <si>
    <t>马仔追债</t>
  </si>
  <si>
    <t>竞技</t>
  </si>
  <si>
    <t>聊天</t>
  </si>
  <si>
    <t>练功房</t>
  </si>
  <si>
    <r>
      <rPr>
        <sz val="11"/>
        <color indexed="8"/>
        <rFont val="宋体"/>
        <family val="3"/>
        <charset val="134"/>
      </rPr>
      <t>实时P</t>
    </r>
    <r>
      <rPr>
        <sz val="11"/>
        <color indexed="8"/>
        <rFont val="宋体"/>
        <family val="3"/>
        <charset val="134"/>
      </rPr>
      <t>K</t>
    </r>
  </si>
  <si>
    <t>PK争霸赛</t>
  </si>
  <si>
    <t>关卡</t>
  </si>
  <si>
    <t>点金手</t>
  </si>
  <si>
    <t>堂口商店</t>
  </si>
  <si>
    <r>
      <rPr>
        <sz val="11"/>
        <color indexed="8"/>
        <rFont val="宋体"/>
        <family val="3"/>
        <charset val="134"/>
      </rPr>
      <t>挑战B</t>
    </r>
    <r>
      <rPr>
        <sz val="11"/>
        <color indexed="8"/>
        <rFont val="宋体"/>
        <family val="3"/>
        <charset val="134"/>
      </rPr>
      <t>OSS</t>
    </r>
  </si>
  <si>
    <t>拜关公（命运石）</t>
  </si>
  <si>
    <t>购买体力</t>
  </si>
  <si>
    <t>距离</t>
  </si>
  <si>
    <t>仇恨值</t>
  </si>
  <si>
    <t>服务器名称</t>
  </si>
  <si>
    <t>区域</t>
  </si>
  <si>
    <t>状态</t>
  </si>
  <si>
    <t>IP地址</t>
  </si>
  <si>
    <t>客户端端口</t>
  </si>
  <si>
    <t>GM服务端口</t>
  </si>
  <si>
    <t>CGI根路径,不显示</t>
  </si>
  <si>
    <t>0区</t>
  </si>
  <si>
    <t>120.24.66.67</t>
  </si>
  <si>
    <t>联调环境(6686)</t>
  </si>
  <si>
    <t>1区</t>
  </si>
  <si>
    <t>192.168.1.250</t>
  </si>
  <si>
    <t>波波的巢穴</t>
  </si>
  <si>
    <t>2区</t>
  </si>
  <si>
    <t>开发环境(10686)</t>
  </si>
  <si>
    <t>3区</t>
  </si>
  <si>
    <t>策划配置自测(2686)</t>
  </si>
  <si>
    <t>4区</t>
  </si>
  <si>
    <t>豆豆的土豆园</t>
  </si>
  <si>
    <t>5区</t>
  </si>
  <si>
    <t>修改时间测试环境</t>
  </si>
  <si>
    <t>7区</t>
  </si>
  <si>
    <r>
      <rPr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92.168.1.253</t>
    </r>
  </si>
  <si>
    <t>cdkey测试环境</t>
  </si>
  <si>
    <t>8区</t>
  </si>
  <si>
    <t>外网</t>
  </si>
  <si>
    <t>9区</t>
  </si>
  <si>
    <t>120.132.61.238</t>
  </si>
  <si>
    <t>TIPID</t>
  </si>
  <si>
    <t>TIPINFO</t>
  </si>
  <si>
    <t>TIP1</t>
  </si>
  <si>
    <t>TIP2</t>
  </si>
  <si>
    <t>生命</t>
  </si>
  <si>
    <t>+</t>
  </si>
  <si>
    <t>攻击</t>
  </si>
  <si>
    <t>防御</t>
  </si>
  <si>
    <t>命中值</t>
  </si>
  <si>
    <t>闪避值</t>
  </si>
  <si>
    <t>暴击值</t>
  </si>
  <si>
    <t>韧性值</t>
  </si>
  <si>
    <t>暴击倍数</t>
  </si>
  <si>
    <t>%</t>
  </si>
  <si>
    <t>生命加成</t>
  </si>
  <si>
    <t>攻击加成</t>
  </si>
  <si>
    <t>防御加成</t>
  </si>
  <si>
    <t>伤害加深</t>
  </si>
  <si>
    <t>伤害减免</t>
  </si>
  <si>
    <t>id</t>
  </si>
  <si>
    <t>系统名字</t>
  </si>
  <si>
    <t>帮助文本</t>
  </si>
  <si>
    <t>纹  身</t>
  </si>
  <si>
    <t>1.纹身可以为角色提供生命、攻击、防御、命中、闪避等属性的加成。
2.点亮纹身图全部主线点有额外属性加成，纹身点需要依次点亮，点亮后自动下个纹身点为启动状态。
3.纹身图所需要的龙魂可以通过精英关卡或商城购买获得。</t>
  </si>
  <si>
    <t>江湖路</t>
  </si>
  <si>
    <t>1.挑战关卡成功，可以领取丰厚的关卡奖励，包括金币、命运币、装备升级石、马仔，马仔经验药水、马仔宝物等。
2.挑战关卡失败，可再次挑战。
3.如果出现战斗超时，则算作失败。
4.江湖路每天有1次免费重置次数，达到VIP8以上后，额外增加1次重置次数。
5.每日凌晨5:00将重置次数恢复到1次，VIP8以上恢复到2次。
6.VIP10以上获取的金币和命运币增加50%。</t>
  </si>
  <si>
    <t>猎  命</t>
  </si>
  <si>
    <t>1.通过猎命能获得各种命格，装备命格可以大幅增加自身能力。
2.每次猎命有一定几率开启下一级猎命师，猎命师等级越高，获得稀有命格的几率越大。
3.命格质量依次为灰色-绿色-蓝色-紫色-橙色-红色，其中灰色命格不能装备，只能出售。
4.命格可以吞噬其他命格来提示等级，命格等级提高会增加命格的能力，最等级高为8级。
5.命格等级提升到8级后，可以继续吞噬其他命格来提升到更高品质，品质提高后命格等级回到1级。
6.猎命所需要的命运币可以通过商城、寻宝、命运副本（活动）、江湖路（活动）获得。</t>
  </si>
  <si>
    <t>马  仔</t>
  </si>
  <si>
    <t>获得马仔
  1.在战斗中可以召唤马仔释放马仔主动技能。
  2.同一场战斗中，最多只能召唤5个马仔，每个马仔只能被召唤1次。
  3.马仔的技能攻击可以清空敌人身上的浮空值，主角可以继续对其进行连击。
  4.在援护设置中，可以设置召唤马仔援护顺序。
  5.马仔培养到+3以后，可解锁觉醒技，觉醒技可以提高玩家角色属性或者给玩家角色提供特殊效果，但是只有设置为援护的马仔被动技能才会生效。
  6.马仔培养等级越高，技能等级越高，技能效果也会越强大。
马仔属性
  1.设置援护的马仔，属性数值会添加到玩家角色身上。
  2.给马仔携带马仔宝物可增加属性，带满6件马仔宝物后，可培养马仔，提升马仔培养等级，增加更多属性，并提高技能等级。
  3.凑齐足够的马仔碎片，可进阶马仔，提升马仔星级并增加马仔属性成长值，不同马仔进阶时附加属性的偏向不同。
  4.对马仔使用经验药水可以提升马仔等级，增加更多属性。
  5.马仔附加属性=马仔基础属性+宝物附加属性+星级属性+等级属性。</t>
  </si>
  <si>
    <r>
      <rPr>
        <sz val="11"/>
        <color indexed="8"/>
        <rFont val="宋体"/>
        <family val="3"/>
        <charset val="134"/>
      </rPr>
      <t xml:space="preserve">技 </t>
    </r>
    <r>
      <rPr>
        <sz val="11"/>
        <color indexed="8"/>
        <rFont val="宋体"/>
        <family val="3"/>
        <charset val="134"/>
      </rPr>
      <t xml:space="preserve"> </t>
    </r>
    <r>
      <rPr>
        <sz val="11"/>
        <color indexed="8"/>
        <rFont val="宋体"/>
        <family val="3"/>
        <charset val="134"/>
      </rPr>
      <t>能</t>
    </r>
  </si>
  <si>
    <t>1.主角的技能类型有两种：单段技能和多段技能。
2.无论是单段技能还是多段技能，都可以对敌人进行连招施放。
3.每一段技能都会给敌人添加一定的浮空值。
4.当敌人的浮空值到达上限时，会出现【MAX HIT】的提示，此时敌人会快速落地，无法对其进行连击。
5.援护马仔的技能攻击可以清空敌人身上的浮空值，主角可以继续对其进行连击。</t>
  </si>
  <si>
    <t>签  到</t>
  </si>
  <si>
    <t>1.每月累计签到天数，领取相应的签到奖励。
2.在特定的日子里，达到对应VIP等级及以上的玩家可以领取双倍奖励！VIP额外奖励可以在当日内升级VIP等级后补领。
3.每日签到奖励在每天02:00计算隔天，当天未领取的奖励隔天不可以补领。</t>
  </si>
  <si>
    <r>
      <rPr>
        <sz val="11"/>
        <color indexed="8"/>
        <rFont val="宋体"/>
        <family val="3"/>
        <charset val="134"/>
      </rPr>
      <t xml:space="preserve">翅 </t>
    </r>
    <r>
      <rPr>
        <sz val="11"/>
        <color indexed="8"/>
        <rFont val="宋体"/>
        <family val="3"/>
        <charset val="134"/>
      </rPr>
      <t xml:space="preserve"> </t>
    </r>
    <r>
      <rPr>
        <sz val="11"/>
        <color indexed="8"/>
        <rFont val="宋体"/>
        <family val="3"/>
        <charset val="134"/>
      </rPr>
      <t>膀</t>
    </r>
  </si>
  <si>
    <t>1.装备翅膀可以大幅增加自身能力，在主城还可以提供更高的移动速度。
2.翅膀可以通过VIP礼包获得。
3.消耗翅膀碎片可以提升翅膀等级，提高所有翅膀提供的属性加成。</t>
  </si>
  <si>
    <t>称  号</t>
  </si>
  <si>
    <t>1.通过完成特定目标和成就可以获得称号，装备称号可以大幅提升战斗力。
2.只有装备上的称号才会提升属性，不同称号提升的属性不同，更换称号后提升的属性变更。
3.部分称号有时间限制，超过期限后从已获得称号中移除该称号。</t>
  </si>
  <si>
    <t>强  化</t>
  </si>
  <si>
    <t>1.强化可以提高装备的基础属性，升星可以提高装备的附加属性。
2.勾选【自动购买材料】后升星装备，系统会根据升星所需要的材料，扣除对应的钻石。
3.装备的强化等级上限为该装备的穿戴等级。
4.无用的装备可分解，装备分解后可获得装备材料和少量金币。
5.新装备可继承旧装备的强化和升星属性。
6.升星石、升级石可以通过合成功能兑换成更高级的材料。</t>
  </si>
  <si>
    <t>关卡占领</t>
  </si>
  <si>
    <t>1.根据玩家在副本中造成的总伤害进行排名，排名第一的玩家可以占领该关卡。
2.一个玩家只能占领一个关卡。
3.当玩家在另一个副本伤害也是第一时，可以选择是否放弃已占领关卡转而占领新的关卡。
4.占领关卡后每隔一段时间都可以领取一些金币，在占领期间，每个通关这个关卡的玩家，都会被占领者抽取一部分通关奖励。
5.占领关卡30分钟以后才能领取奖励。</t>
  </si>
  <si>
    <t>马仔追债
  1.马仔追债次数每天早上5:00重置。
  2.马仔追债可以获得金币，大量马仔经验，珍贵的技能冷却石和随机宝箱。
  3.开启宝箱可以获得大量马仔经验药水物。
  4.每次追债前可以刷新债务，随机更换债务品质，品质越高获得的奖励越多，宝箱的品质也会更高。
  5.堂口等级可以额外增加金币和马仔经验，玩家等级越高，获得的奖励也会越多。
  6.每个马仔每天只能进行一次追债或者劫掠。
劫掠
  1.对非同一堂口的玩家进行劫掠，每天有劫掠次数限制。
  2.劫掠成功可以获得金币，马仔经验，技能冷却石以及堂口贡献。
  3.被劫掠的玩家也会失去相应的金币、马仔经验和技能冷却石。
  4.玩家每次追债只能被同一个玩家劫掠1次，最多只能被劫掠3次。
  5.出发追债时可以选择拜财神，拜财神以后，此次追债被劫掠后自己不会损失任何奖励。</t>
  </si>
  <si>
    <t>1.每隔24小时有1次免费钻石寻宝机会。
2.进行钻石十连抽可以提高幸运值，幸运值越高，十连抽获得高级马仔的几率也越高，幸运值满的时候，下次十连抽必定获得橙色马仔。
3.幸运值保留一天，第二天5：00幸运值清空，抽得橙色马仔后，幸运值也清空。
4.首次钻石十连抽必定获得橙色马仔。</t>
  </si>
  <si>
    <t>错误代码</t>
  </si>
  <si>
    <t>错误提示</t>
  </si>
  <si>
    <t>角色数已到达上限</t>
  </si>
  <si>
    <t>重复名字</t>
  </si>
  <si>
    <t>内容编号</t>
  </si>
  <si>
    <t>内容</t>
  </si>
  <si>
    <t>战斗力:</t>
  </si>
  <si>
    <t>等级:</t>
  </si>
  <si>
    <t>类型:</t>
  </si>
  <si>
    <t>基础属性</t>
  </si>
  <si>
    <t>附加属性</t>
  </si>
  <si>
    <t>售价:</t>
  </si>
  <si>
    <t>确认要升级该技能</t>
  </si>
  <si>
    <t>属性:</t>
  </si>
  <si>
    <t>描述:</t>
  </si>
  <si>
    <t>经验值:</t>
  </si>
  <si>
    <t>万</t>
  </si>
  <si>
    <t>【</t>
  </si>
  <si>
    <t>】</t>
  </si>
  <si>
    <t>开启</t>
  </si>
  <si>
    <t>推荐</t>
  </si>
  <si>
    <t>拥挤</t>
  </si>
  <si>
    <t>火爆</t>
  </si>
  <si>
    <t>金币不足，是否使用拜财神？</t>
  </si>
  <si>
    <t>钻石不足，是否充值？</t>
  </si>
  <si>
    <t>马仔数量为空</t>
  </si>
  <si>
    <t>猎命背包已满</t>
  </si>
  <si>
    <t>金钱不足以一键猎命</t>
  </si>
  <si>
    <t>命格背包已满</t>
  </si>
  <si>
    <t>你已装备有该类型的命格</t>
  </si>
  <si>
    <t>你确定要吞噬该命格吗</t>
  </si>
  <si>
    <t>VIP等级不足</t>
  </si>
  <si>
    <t>等级不足</t>
  </si>
  <si>
    <t>您的体力不足，无法进入副本，是否补充体力？</t>
  </si>
  <si>
    <t>请先创建角色才能游戏</t>
  </si>
  <si>
    <t>用户名已经存在</t>
  </si>
  <si>
    <t>该礼包已领取</t>
  </si>
  <si>
    <t>经验</t>
  </si>
  <si>
    <t>获得</t>
  </si>
  <si>
    <t>礼包领取成功</t>
  </si>
  <si>
    <t>材料不足</t>
  </si>
  <si>
    <t>级</t>
  </si>
  <si>
    <t>技能等级已经是最高级</t>
  </si>
  <si>
    <t>最多只能创建5个角色</t>
  </si>
  <si>
    <t>只有获得3星才能扫荡</t>
  </si>
  <si>
    <t>确认要充值？</t>
  </si>
  <si>
    <t>确认要重置？</t>
  </si>
  <si>
    <t>剩余购买次数：</t>
  </si>
  <si>
    <t>本次花费钻石：</t>
  </si>
  <si>
    <t>已是最高等级VIP</t>
  </si>
  <si>
    <t>邮件列表为空</t>
  </si>
  <si>
    <t>绿色品质装备无法升星</t>
  </si>
  <si>
    <t>显示一批新的商品</t>
  </si>
  <si>
    <t>请输入昵称</t>
  </si>
  <si>
    <t>职业不符</t>
  </si>
  <si>
    <t>冷却时间还没结束</t>
  </si>
  <si>
    <t>奖励:</t>
  </si>
  <si>
    <t>【世界】</t>
  </si>
  <si>
    <t>【私聊】</t>
  </si>
  <si>
    <t>【堂口】</t>
  </si>
  <si>
    <t>你对</t>
  </si>
  <si>
    <t>说</t>
  </si>
  <si>
    <t>对你说</t>
  </si>
  <si>
    <t>【系统】</t>
  </si>
  <si>
    <t>擂台币不足</t>
  </si>
  <si>
    <t>今日奖励已领取</t>
  </si>
  <si>
    <t>你的装备已升级到最高上限</t>
  </si>
  <si>
    <t>是否继承旧装备的强化属性？</t>
  </si>
  <si>
    <t>龙魂不足</t>
  </si>
  <si>
    <t>你的网络状态不稳定，为避免您的损失，我们已为您暂停游戏</t>
  </si>
  <si>
    <t>双倍</t>
  </si>
  <si>
    <t>强化成功</t>
  </si>
  <si>
    <t>升星成功</t>
  </si>
  <si>
    <t>武器</t>
  </si>
  <si>
    <t>衣服</t>
  </si>
  <si>
    <t>裤子</t>
  </si>
  <si>
    <t>项链</t>
  </si>
  <si>
    <t>腰带</t>
  </si>
  <si>
    <t>鞋子</t>
  </si>
  <si>
    <t>物品</t>
  </si>
  <si>
    <t>功能暂未开放，敬请期待</t>
  </si>
  <si>
    <t>是否确定分解这件装备？</t>
  </si>
  <si>
    <t>免费</t>
  </si>
  <si>
    <t>背包空间不足，请查收邮件</t>
  </si>
  <si>
    <t>每次可恢复%d点体力值</t>
  </si>
  <si>
    <t>维护</t>
  </si>
  <si>
    <t>金币</t>
  </si>
  <si>
    <t>钻石</t>
  </si>
  <si>
    <t>您本日的活动次数已用完</t>
  </si>
  <si>
    <t>扫荡</t>
  </si>
  <si>
    <t>次</t>
  </si>
  <si>
    <t>该功能尚未开启</t>
  </si>
  <si>
    <t>扫荡卷不足，是否购买？</t>
  </si>
  <si>
    <t>解锁</t>
  </si>
  <si>
    <t>无法扫荡</t>
  </si>
  <si>
    <t>第一章</t>
  </si>
  <si>
    <t>第二章</t>
  </si>
  <si>
    <t>第三章</t>
  </si>
  <si>
    <t>第四章</t>
  </si>
  <si>
    <t>第五章</t>
  </si>
  <si>
    <t>第六章</t>
  </si>
  <si>
    <t>第七章</t>
  </si>
  <si>
    <t>第八章</t>
  </si>
  <si>
    <t>材料</t>
  </si>
  <si>
    <t>马仔药水</t>
  </si>
  <si>
    <t>道具</t>
  </si>
  <si>
    <t>礼包</t>
  </si>
  <si>
    <t>临时卡</t>
  </si>
  <si>
    <t>钻石卡</t>
  </si>
  <si>
    <t>马仔碎片</t>
  </si>
  <si>
    <t>图纸</t>
  </si>
  <si>
    <t>你已成功合成该装备</t>
  </si>
  <si>
    <t>你已成功合成该马仔</t>
  </si>
  <si>
    <t>你已拥有该马仔</t>
  </si>
  <si>
    <t>副本开启时间未到</t>
  </si>
  <si>
    <t>今日次数已用完</t>
  </si>
  <si>
    <t>使用</t>
  </si>
  <si>
    <t>神秘奖励</t>
  </si>
  <si>
    <t>您确定要重置江湖路的进度吗？</t>
  </si>
  <si>
    <t>今日重置次数已达上限</t>
  </si>
  <si>
    <t>角色</t>
  </si>
  <si>
    <t>无命格可吞噬</t>
  </si>
  <si>
    <t>召唤</t>
  </si>
  <si>
    <t>猎命师</t>
  </si>
  <si>
    <t>背包空间不足</t>
  </si>
  <si>
    <t>该纹点未被启动</t>
  </si>
  <si>
    <t>你已成功合成该材料</t>
  </si>
  <si>
    <t>未上榜</t>
  </si>
  <si>
    <t>今日购买次数已达上限</t>
  </si>
  <si>
    <t>金币是古惑仔世界里通用的货币</t>
  </si>
  <si>
    <t>钻石是古惑仔世界里通用的货币</t>
  </si>
  <si>
    <t>已装备</t>
  </si>
  <si>
    <t>可启动</t>
  </si>
  <si>
    <t>到期</t>
  </si>
  <si>
    <r>
      <rPr>
        <sz val="11"/>
        <color indexed="8"/>
        <rFont val="宋体"/>
        <family val="3"/>
        <charset val="134"/>
      </rPr>
      <t>是否使用5</t>
    </r>
    <r>
      <rPr>
        <sz val="11"/>
        <color indexed="8"/>
        <rFont val="宋体"/>
        <family val="3"/>
        <charset val="134"/>
      </rPr>
      <t>0</t>
    </r>
    <r>
      <rPr>
        <sz val="11"/>
        <color indexed="8"/>
        <rFont val="宋体"/>
        <family val="3"/>
        <charset val="134"/>
      </rPr>
      <t>钻石重置战斗冷却时间？</t>
    </r>
  </si>
  <si>
    <t>是否一键吞噬背包内所有命格？</t>
  </si>
  <si>
    <t>本月第%d次签到可领取此奖励</t>
  </si>
  <si>
    <t>剩余挑战次数不足，可购买次数挑战更高排名</t>
  </si>
  <si>
    <t>是否购买5次挑战次数？</t>
  </si>
  <si>
    <t>是否一键删除所有邮件？</t>
  </si>
  <si>
    <t>你有未领取的物品，是否删除该邮件？</t>
  </si>
  <si>
    <t>恭喜你获得新技能</t>
  </si>
  <si>
    <t>恭喜你开启%s功能</t>
  </si>
  <si>
    <t>是否花费%d竞技币刷新商店物品？</t>
  </si>
  <si>
    <t>游戏已暂停，不要离开太久喔～</t>
  </si>
  <si>
    <t>可携带</t>
  </si>
  <si>
    <t>可合成</t>
  </si>
  <si>
    <t>马仔碎片数量不足</t>
  </si>
  <si>
    <t>马仔穿齐6件宝物才能培养，培养后马仔属性会大幅提升</t>
  </si>
  <si>
    <t>生命+%d</t>
  </si>
  <si>
    <t>攻击+%d</t>
  </si>
  <si>
    <t>防御+%d</t>
  </si>
  <si>
    <t>是否立即招募马仔？</t>
  </si>
  <si>
    <t>马仔等级不能超过主角，请提升主角等级</t>
  </si>
  <si>
    <t>马仔经验药水数量不足</t>
  </si>
  <si>
    <t>请选择一个纹点</t>
  </si>
  <si>
    <t>陈浩南</t>
  </si>
  <si>
    <t>山鸡</t>
  </si>
  <si>
    <t>细细粒</t>
  </si>
  <si>
    <t>神父</t>
  </si>
  <si>
    <t>自动刷新时间：每日12点、21点</t>
  </si>
  <si>
    <t>自动刷新时间：每日21点</t>
  </si>
  <si>
    <t>恭喜你获得一个新的称号</t>
  </si>
  <si>
    <t>恭喜你获得一个新的装备</t>
  </si>
  <si>
    <t>马仔宝物</t>
  </si>
  <si>
    <t>马仔宝物碎片</t>
  </si>
  <si>
    <t>拥有 %d 件</t>
  </si>
  <si>
    <t>主动技</t>
  </si>
  <si>
    <t>觉醒技</t>
  </si>
  <si>
    <t>分解该装备将返还金币或装备材料，是否分解？</t>
  </si>
  <si>
    <t>分解该物品将返还金币，是否分解？</t>
  </si>
  <si>
    <t>未达到解锁此副本的条件</t>
  </si>
  <si>
    <t>升级到第%d级需要:</t>
  </si>
  <si>
    <t>无</t>
  </si>
  <si>
    <t>%d件</t>
  </si>
  <si>
    <t>精英</t>
  </si>
  <si>
    <t>普通</t>
  </si>
  <si>
    <t>马仔已升阶至顶级</t>
  </si>
  <si>
    <t>等级不足，无法领取任务</t>
  </si>
  <si>
    <t>命运石不足,是否使用拜关公？</t>
  </si>
  <si>
    <t>命运石不足以一键猎命</t>
  </si>
  <si>
    <t>钻石不足</t>
  </si>
  <si>
    <t>需要VIP达到7级方可使用</t>
  </si>
  <si>
    <t>连接失败，点击确定重新连接</t>
  </si>
  <si>
    <t>该命格已到达最大等级</t>
  </si>
  <si>
    <t>是否立即启动该称号？</t>
  </si>
  <si>
    <t>恭喜你获得了一个新马仔</t>
  </si>
  <si>
    <t>恭喜你获得了一个新翅膀</t>
  </si>
  <si>
    <t>恭喜你获得了一个新时装</t>
  </si>
  <si>
    <t>通关普通模式后开启</t>
  </si>
  <si>
    <t>需要接受任务：</t>
  </si>
  <si>
    <t>发现新版本，点击确定进行更新</t>
  </si>
  <si>
    <t>剩余</t>
  </si>
  <si>
    <t>天</t>
  </si>
  <si>
    <t>小时</t>
  </si>
  <si>
    <t>以下马仔尚未招募</t>
  </si>
  <si>
    <t>未开放</t>
  </si>
  <si>
    <t>该道具不在关卡中掉落</t>
  </si>
  <si>
    <t>第%d战</t>
  </si>
  <si>
    <t>是否花费%d钻石复活？</t>
  </si>
  <si>
    <t>好友申请已发送</t>
  </si>
  <si>
    <t>挑战BOSS</t>
  </si>
  <si>
    <t>（马仔培养至+%d获得）</t>
  </si>
  <si>
    <t>通关%s后开启</t>
  </si>
  <si>
    <t>%d级获得</t>
  </si>
  <si>
    <t>仅差%d级</t>
  </si>
  <si>
    <t>可领取</t>
  </si>
  <si>
    <t>所有人都可以加入</t>
  </si>
  <si>
    <t>需要验证才可以加入</t>
  </si>
  <si>
    <t>不能加入</t>
  </si>
  <si>
    <t>明  细</t>
  </si>
  <si>
    <t>领取双倍奖励</t>
  </si>
  <si>
    <t>恭喜您升级到%d级</t>
  </si>
  <si>
    <t>未配置援护马仔</t>
  </si>
  <si>
    <t>您还可以购买其他VIP超值礼包，是否立即购买？</t>
  </si>
  <si>
    <t>VIP等级不足，提高VIP等级即可购买该超值礼包，是否立即充值？</t>
  </si>
  <si>
    <t>暂时没有堂口</t>
  </si>
  <si>
    <t>堂口名称长度为2-6个字</t>
  </si>
  <si>
    <t>已提交申请</t>
  </si>
  <si>
    <t>确定要创建堂口？</t>
  </si>
  <si>
    <t>已解散堂口</t>
  </si>
  <si>
    <t>确定要踢出该玩家？</t>
  </si>
  <si>
    <t>确定要解散堂口？</t>
  </si>
  <si>
    <t>您是否确定购买该礼包？</t>
  </si>
  <si>
    <t>VIP%d特权奖励</t>
  </si>
  <si>
    <t>VIP%d超值礼包</t>
  </si>
  <si>
    <t>升为堂主</t>
  </si>
  <si>
    <t>升为副堂主</t>
  </si>
  <si>
    <t>撤销副堂主</t>
  </si>
  <si>
    <t>任免成功</t>
  </si>
  <si>
    <t>副堂主人数已满</t>
  </si>
  <si>
    <t>堂口不存在</t>
  </si>
  <si>
    <t>每天只能捐献一次，确定要捐献吗？</t>
  </si>
  <si>
    <t>金币或钻石不够！</t>
  </si>
  <si>
    <t>ID不可用</t>
  </si>
  <si>
    <t>捐献成功，好人一生平安！</t>
  </si>
  <si>
    <t>贡献值不足！</t>
  </si>
  <si>
    <t>堂口升级成功！</t>
  </si>
  <si>
    <t>请先选择一个技能</t>
  </si>
  <si>
    <t>确定要升级吗？</t>
  </si>
  <si>
    <t>技能升级成功!</t>
  </si>
  <si>
    <t>建筑升级成功！</t>
  </si>
  <si>
    <t>个人贡献值不足！</t>
  </si>
  <si>
    <t>堂口贡献值不足！</t>
  </si>
  <si>
    <t>申请的当前堂口最低等级限制为%u级，您的等级过低，暂时无法体验</t>
  </si>
  <si>
    <t>该堂口无法加入</t>
  </si>
  <si>
    <t>不能添加自己为好友！</t>
  </si>
  <si>
    <t>%d级解锁</t>
  </si>
  <si>
    <t>1级解锁</t>
  </si>
  <si>
    <t>在线</t>
  </si>
  <si>
    <t>离线</t>
  </si>
  <si>
    <t>赠送好友体力达到上限</t>
  </si>
  <si>
    <t>接受好友体力达到上限</t>
  </si>
  <si>
    <t>好友达到上限</t>
  </si>
  <si>
    <t>好友已存在</t>
  </si>
  <si>
    <t>确定要退出吗？</t>
  </si>
  <si>
    <t>技能已达到满级，无法再升级</t>
  </si>
  <si>
    <t>工坊已达到满级，无法再升级</t>
  </si>
  <si>
    <t>捐献次数已用完！</t>
  </si>
  <si>
    <t>您搜索的好友不存在!</t>
  </si>
  <si>
    <t>您已与%s解除好友关系</t>
  </si>
  <si>
    <t>当前无体力可领取！</t>
  </si>
  <si>
    <t>解锁： %s</t>
  </si>
  <si>
    <t>堂口关系变更，24小时内无法使用</t>
  </si>
  <si>
    <t>领取</t>
  </si>
  <si>
    <t>已领取</t>
  </si>
  <si>
    <t>恭喜您开启%s</t>
  </si>
  <si>
    <t>是否花费%d金币复活？</t>
  </si>
  <si>
    <t>金币不足</t>
  </si>
  <si>
    <t>第%d-%d名</t>
  </si>
  <si>
    <t>元</t>
  </si>
  <si>
    <t>VIP经验提升</t>
  </si>
  <si>
    <t>VIP等级提升</t>
  </si>
  <si>
    <t>只要累积在线时间，就能免费提升VIP等级！</t>
  </si>
  <si>
    <t>您已累积在线10分钟，获得了1点VIP经验。只要持续在线，就能获得更多经验！</t>
  </si>
  <si>
    <t>您已累积5点VIP经验，只要在继续累积1点经验，即可升级到VIP1，享受尊贵特权！</t>
  </si>
  <si>
    <t>恭喜您成长到VIP%d，请领取VIP%d专属特权奖励！</t>
  </si>
  <si>
    <t>您已被驱逐出堂口</t>
  </si>
  <si>
    <t>更新包大小：%.2fMB，确认下载？</t>
  </si>
  <si>
    <r>
      <rPr>
        <sz val="11"/>
        <color indexed="8"/>
        <rFont val="宋体"/>
        <family val="3"/>
        <charset val="134"/>
      </rPr>
      <t>更新包大小：%.</t>
    </r>
    <r>
      <rPr>
        <sz val="11"/>
        <color indexed="8"/>
        <rFont val="宋体"/>
        <family val="3"/>
        <charset val="134"/>
      </rPr>
      <t>2</t>
    </r>
    <r>
      <rPr>
        <sz val="11"/>
        <color indexed="8"/>
        <rFont val="宋体"/>
        <family val="3"/>
        <charset val="134"/>
      </rPr>
      <t>fMB，确认下载？</t>
    </r>
  </si>
  <si>
    <t>立即领取</t>
  </si>
  <si>
    <t>查看特权</t>
  </si>
  <si>
    <t>35级开启多次扫荡功能</t>
  </si>
  <si>
    <t>VIP等级不足，是否前往充值，享受更多VIP特权？</t>
  </si>
  <si>
    <t>拜财神剩余次数不足10次，是否前往充值，享受更多VIP特权？</t>
  </si>
  <si>
    <t>命运石</t>
  </si>
  <si>
    <t>您还有未领取的VIP特权礼包，是否立即领取？</t>
  </si>
  <si>
    <t>该堂口已存在！</t>
  </si>
  <si>
    <t>您已经加入了一个堂口！</t>
  </si>
  <si>
    <t>不能和自己私聊!</t>
  </si>
  <si>
    <t>技能石数量不足，可在堂口商店中购买！</t>
  </si>
  <si>
    <t>寻宝券数量不足，可从日常任务奖励中获得！</t>
  </si>
  <si>
    <t>钻石召唤%d级猎命师</t>
  </si>
  <si>
    <t>需要VIP%d</t>
  </si>
  <si>
    <t>您的VIP等级不足，是否立即提升？</t>
  </si>
  <si>
    <t>土豪</t>
  </si>
  <si>
    <t>仗义疏财发积分红包啦，大家快去抢红包</t>
  </si>
  <si>
    <t>红包积分不足</t>
  </si>
  <si>
    <t>援护马仔为主角增加：</t>
  </si>
  <si>
    <t>是否花费%d钻石刷新商店？</t>
  </si>
  <si>
    <t>单人挑战Boss极为凶险，点击确定挑战？</t>
  </si>
  <si>
    <t>你选择的装备无法升级</t>
  </si>
  <si>
    <t>购买该物品需要VIP%d</t>
  </si>
  <si>
    <t>升级成功</t>
  </si>
  <si>
    <t>比拼第%d名可获得以上奖励</t>
  </si>
  <si>
    <t>背包空间不足时,奖励会以邮件形式发送</t>
  </si>
  <si>
    <t>选择该好友援助，消耗钻石x%d</t>
  </si>
  <si>
    <t>您已向所有好友赠送过了体力</t>
  </si>
  <si>
    <t>您的赠送体力次数已用完</t>
  </si>
  <si>
    <t>您的领取体力次数已用完</t>
  </si>
  <si>
    <t>达到VIP%d可双倍领取本日签到奖励，是否前往充值提升VIP等级？</t>
  </si>
  <si>
    <t>分钟</t>
  </si>
  <si>
    <t>继承成功</t>
  </si>
  <si>
    <t>开始追债！</t>
  </si>
  <si>
    <t>天前</t>
  </si>
  <si>
    <t>今天</t>
  </si>
  <si>
    <t>请至少选择一个马仔</t>
  </si>
  <si>
    <t>您的任务已经达到最高等级</t>
  </si>
  <si>
    <t>确定要购买一次劫掠次数？</t>
  </si>
  <si>
    <t>您已经劫掠过该玩家</t>
  </si>
  <si>
    <t>该玩家已无法再被劫掠</t>
  </si>
  <si>
    <t>目标还没有派出追债马仔</t>
  </si>
  <si>
    <t>您的可用追债次数不足</t>
  </si>
  <si>
    <t>您的劫掠次数已用完，可购买次数劫掠更多收益</t>
  </si>
  <si>
    <t>拜财神成功！</t>
  </si>
  <si>
    <t>劫掠次数已满</t>
  </si>
  <si>
    <t>%s，%s，%s等人领取了您的红包，并祝福你。</t>
  </si>
  <si>
    <t>%s，%s等人领取了您的红包，并祝福你。</t>
  </si>
  <si>
    <t>%s等人领取了您的红包，并祝福你。</t>
  </si>
  <si>
    <t>已达到今日体力药剂使用上限！（每日最多5次）</t>
  </si>
  <si>
    <t>占领关卡30分钟后才能领取奖励</t>
  </si>
  <si>
    <t>没有任何奖励可以领取</t>
  </si>
  <si>
    <t>冲了%s元随便玩玩，仗义疏财发积分红包啦</t>
  </si>
  <si>
    <t>达到VIP%s壕气冲天，仗义疏财发积分红包啦</t>
  </si>
  <si>
    <t>RP爆发获得%s，仗义疏财发积分红包啦</t>
  </si>
  <si>
    <t>马仔升到%s星，仗义疏财发积分红包啦</t>
  </si>
  <si>
    <t>好运连连获得%s色马仔，仗义疏财发积分红包啦</t>
  </si>
  <si>
    <t>进行寻宝钻石十连抽，仗义疏财发积分红包啦</t>
  </si>
  <si>
    <t>地下擂台勇摘桂冠，仗义疏财发积分红包啦</t>
  </si>
  <si>
    <t>创建了%s堂口，仗义疏财发积分红包啦</t>
  </si>
  <si>
    <t>技术过硬通关了江湖路，仗义疏财发积分红包啦</t>
  </si>
  <si>
    <t>体力药水数量不足</t>
  </si>
  <si>
    <t>点击确认退出当前新手引导</t>
  </si>
  <si>
    <t>您暂时未加入堂口</t>
  </si>
  <si>
    <t>您已成功领取附件，请到对应背包查看</t>
  </si>
  <si>
    <t>复活次数已用完</t>
  </si>
  <si>
    <t>您的好友列表已满，无法添加更多好友</t>
  </si>
  <si>
    <t>您的好友列表已满，无法发送更多好友请求</t>
  </si>
  <si>
    <t>提升到VIP%d可获得更多次数</t>
  </si>
  <si>
    <t>VIP等级达到%d级解锁该功能</t>
  </si>
  <si>
    <t>【累计充值%d元礼物】</t>
  </si>
  <si>
    <t>%s</t>
  </si>
  <si>
    <t>元超值礼包</t>
  </si>
  <si>
    <t>点亮失败</t>
  </si>
  <si>
    <t>服务器正在维护，请稍后登陆</t>
  </si>
  <si>
    <t>成功领取3点体力</t>
  </si>
  <si>
    <t>成功领取体力</t>
  </si>
  <si>
    <t>你已和%s成为好友</t>
  </si>
  <si>
    <t>成功添加好友</t>
  </si>
  <si>
    <r>
      <rPr>
        <sz val="11"/>
        <color indexed="8"/>
        <rFont val="宋体"/>
        <family val="3"/>
        <charset val="134"/>
      </rPr>
      <t>%</t>
    </r>
    <r>
      <rPr>
        <sz val="11"/>
        <color indexed="8"/>
        <rFont val="宋体"/>
        <family val="3"/>
        <charset val="134"/>
      </rPr>
      <t>d分钟前</t>
    </r>
  </si>
  <si>
    <t>超过1年</t>
  </si>
  <si>
    <t>%d天前</t>
  </si>
  <si>
    <t>%d小时前</t>
  </si>
  <si>
    <t>当前月卡剩余%d天，小于5天时才可购买</t>
  </si>
  <si>
    <t>您的排名提高到%d名，达到您的历史最高排名，请记得到邮箱领取奖励</t>
  </si>
  <si>
    <t>月卡生效中，剩余%d天</t>
  </si>
  <si>
    <t>连续30天每天赠送120钻</t>
  </si>
  <si>
    <t>材料不足，可通过掉落或合成得到</t>
  </si>
  <si>
    <t>当前没有命格，请先猎命</t>
  </si>
  <si>
    <t>当前没有好友申请</t>
  </si>
  <si>
    <t>请输入玩家名字</t>
  </si>
  <si>
    <t>奖励领取成功</t>
  </si>
  <si>
    <t>您的账号在别处登录，点击确定重新连接</t>
  </si>
  <si>
    <t>体力值已达上限，无法再增加体力</t>
  </si>
  <si>
    <t>请提升角色等级至%d级</t>
  </si>
  <si>
    <t>该装备已强化至上限</t>
  </si>
  <si>
    <t>该装备已升星至上限</t>
  </si>
  <si>
    <t>%d级后接受任务&lt;%s&gt;解锁该功能</t>
  </si>
  <si>
    <t>%d级解锁该功能</t>
  </si>
  <si>
    <r>
      <rPr>
        <sz val="11"/>
        <color indexed="8"/>
        <rFont val="宋体"/>
        <family val="3"/>
        <charset val="134"/>
      </rPr>
      <t>%</t>
    </r>
    <r>
      <rPr>
        <sz val="11"/>
        <color indexed="8"/>
        <rFont val="宋体"/>
        <family val="3"/>
        <charset val="134"/>
      </rPr>
      <t>d年%d月%d日</t>
    </r>
  </si>
  <si>
    <t>%d月前</t>
  </si>
  <si>
    <t>冲了一点小钱随便玩玩，仗义疏财发积分红包啦</t>
  </si>
  <si>
    <t>壕气冲天的消费，仗义疏财发积分红包啦</t>
  </si>
  <si>
    <t>壕气万丈的消费了一笔巨款，仗义疏财发积分红包啦</t>
  </si>
  <si>
    <t>无效的礼包兑换码</t>
  </si>
  <si>
    <t>请输入兑换码</t>
  </si>
  <si>
    <t>存储空间不足，资源解压失败，请重启游戏或检查手机空间</t>
  </si>
  <si>
    <t>龙魂</t>
  </si>
  <si>
    <t>双倍经验卡生效</t>
  </si>
  <si>
    <t>VIP经验增加</t>
  </si>
  <si>
    <t>体力</t>
  </si>
  <si>
    <t>充值功能暂未开放，敬请期待</t>
  </si>
  <si>
    <t>对方已是您好友</t>
  </si>
  <si>
    <t>堂主</t>
  </si>
  <si>
    <t>副堂主</t>
  </si>
  <si>
    <t>是否确定删除该好友？</t>
  </si>
  <si>
    <t>限制%d级</t>
  </si>
  <si>
    <t>不会删除带附件的邮件!</t>
  </si>
  <si>
    <t>名称中含有非法字符！</t>
  </si>
  <si>
    <t>消耗%d贡献值，确定吗？</t>
  </si>
  <si>
    <t>兑换成功，请前往邮箱查收！</t>
  </si>
  <si>
    <t>请输入2-6个汉字或4-12个英文字母、数字</t>
  </si>
  <si>
    <t>激活码已使用</t>
  </si>
  <si>
    <t>激活码不存在</t>
  </si>
  <si>
    <t>激活码不存在，游戏不对应</t>
  </si>
  <si>
    <t>激活码不存在，机房不对应</t>
  </si>
  <si>
    <t>激活码不存在，渠道不对应</t>
  </si>
  <si>
    <t>玩家等级不足</t>
  </si>
  <si>
    <t>当前批次激活码已使用过</t>
  </si>
  <si>
    <t>激活码不在有效使用时间内</t>
  </si>
  <si>
    <t>激活码不存在，游戏大区不对应</t>
  </si>
  <si>
    <t>未找到对应的玩家角色信息</t>
  </si>
  <si>
    <t>未找到对应游戏服务器不存在</t>
  </si>
  <si>
    <t>非法请求，验证失败</t>
  </si>
  <si>
    <t>系统本身处理失败，激活码可以继续使用</t>
  </si>
  <si>
    <t>快速劫掠</t>
  </si>
  <si>
    <t>连接超时</t>
  </si>
  <si>
    <t>可从材料副本获得</t>
  </si>
  <si>
    <t>可从江湖路关卡获得</t>
  </si>
  <si>
    <t>可从BOSS副本和寻宝获得</t>
  </si>
  <si>
    <t>可从寻宝和擂台商城获得</t>
  </si>
  <si>
    <t>可从寻宝和堂口商店获得</t>
  </si>
  <si>
    <t>可从堂口商城获得</t>
  </si>
  <si>
    <t>可从马仔追债和马仔劫掠获得</t>
  </si>
  <si>
    <t>可从日常任务获得</t>
  </si>
  <si>
    <t>可从商城获得</t>
  </si>
  <si>
    <t>可从活动获得</t>
  </si>
  <si>
    <t>可从寻宝获得</t>
  </si>
  <si>
    <t>确定</t>
  </si>
  <si>
    <t>请选择服务器</t>
  </si>
  <si>
    <t>SDK初始化中</t>
  </si>
  <si>
    <t>信息已提交，请稍候</t>
  </si>
  <si>
    <t>购买成功</t>
  </si>
  <si>
    <t>您已向所有玩家发送过好友申请</t>
  </si>
  <si>
    <t>您的语速太快了，请稍后再说</t>
  </si>
  <si>
    <t>区</t>
  </si>
  <si>
    <t>尚有马仔可援护，是否前往配置？</t>
  </si>
  <si>
    <t>赠%d金豆</t>
  </si>
  <si>
    <t>您的金豆不足</t>
  </si>
  <si>
    <t>使用以上物品解锁该功能</t>
  </si>
  <si>
    <t>使用&lt;扫荡特权&gt;解锁该功能</t>
  </si>
  <si>
    <t>获得物品</t>
  </si>
  <si>
    <t>使用物品</t>
  </si>
  <si>
    <t>幸运值满时，下次十连抽免费，必得橙色马仔</t>
  </si>
  <si>
    <t>下次十连抽必出橙色马仔!</t>
  </si>
  <si>
    <t>仅需%d钻石</t>
  </si>
  <si>
    <t>财神显灵将您献上的%d钻石变成了%d钻石</t>
  </si>
  <si>
    <t>获得%d</t>
  </si>
  <si>
    <t>该堂口人数已满！</t>
  </si>
  <si>
    <t>迎财神次数已用完</t>
  </si>
  <si>
    <t>单段技能</t>
  </si>
  <si>
    <t>多段技能</t>
  </si>
  <si>
    <t>使用成功</t>
  </si>
  <si>
    <t>请先通关前面的关卡</t>
  </si>
  <si>
    <t>服务器人数已满</t>
  </si>
  <si>
    <t>冷却石数量不足，可在马仔追债和马仔劫掠中获得</t>
  </si>
  <si>
    <t>很高</t>
  </si>
  <si>
    <t>高</t>
  </si>
  <si>
    <t>一般</t>
  </si>
  <si>
    <t>低</t>
  </si>
  <si>
    <t>很低</t>
  </si>
  <si>
    <t>命格格子已满</t>
  </si>
  <si>
    <t>获得一个新的道具</t>
  </si>
  <si>
    <t>对方好友列表已满，无法继续添加好友</t>
  </si>
  <si>
    <t>（可清空MaxHit，衔接技能，打出更高连击）</t>
  </si>
  <si>
    <t>该堂口已达到最高等级</t>
  </si>
  <si>
    <t>当前好友不在线，不可援护</t>
  </si>
  <si>
    <t>%s剩余挑战次数：</t>
  </si>
  <si>
    <t>该BOSS副本剩余挑战次数不足</t>
  </si>
  <si>
    <t>拥有&lt;%s&gt;马仔后，可解锁该BOSS</t>
  </si>
  <si>
    <t>%s的马仔劫了%s的追债马仔，获得大量奖励</t>
  </si>
  <si>
    <t>神秘商店每日仅限开启1次，快去挑战关卡吧</t>
  </si>
  <si>
    <r>
      <rPr>
        <sz val="11"/>
        <color indexed="8"/>
        <rFont val="宋体"/>
        <family val="3"/>
        <charset val="134"/>
      </rPr>
      <t>%</t>
    </r>
    <r>
      <rPr>
        <sz val="11"/>
        <color indexed="8"/>
        <rFont val="宋体"/>
        <family val="3"/>
        <charset val="134"/>
      </rPr>
      <t>d被劫掠</t>
    </r>
  </si>
  <si>
    <t>拥有&lt;%s&gt;马仔或角色达到%d级后，可解锁该BOSS</t>
  </si>
  <si>
    <t>%d星</t>
  </si>
  <si>
    <t>%d次</t>
  </si>
  <si>
    <t>马仔星级不足，无法继续升级，请提高马仔星级</t>
  </si>
  <si>
    <t>%s 将献上的%d钻石变成了</t>
  </si>
  <si>
    <t>劫掠，财神保佑劫掠无损失！</t>
  </si>
  <si>
    <t>当前无可劫掠马仔</t>
  </si>
  <si>
    <t>绿色装备不能强化</t>
  </si>
  <si>
    <t>领取任务&lt;%s&gt;</t>
  </si>
  <si>
    <t>等级达到%d级</t>
  </si>
  <si>
    <t>该关卡未开放</t>
  </si>
  <si>
    <t>尚未拥有升星日马仔，前往寻宝获取，立即获得福利特权！</t>
  </si>
  <si>
    <t>请先登录账号</t>
  </si>
  <si>
    <t>请勿刷屏</t>
  </si>
  <si>
    <t>您发送的字数过多</t>
  </si>
  <si>
    <t>请勿发送空白信息</t>
  </si>
  <si>
    <t>您的意见已提交，感谢您对古惑仔的支持！</t>
  </si>
  <si>
    <t>由于您在游戏中违反了“古惑仔游戏协议”的行为，该账号已被暂时封号</t>
  </si>
  <si>
    <t>你今天的反馈次数已经用完，请明天再反馈。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</si>
  <si>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</si>
  <si>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域名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</si>
  <si>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P地址</t>
    </r>
  </si>
  <si>
    <t>ghzlist.ycatgame.com</t>
  </si>
  <si>
    <t>120.132.61.210</t>
  </si>
  <si>
    <t>ghz.ycatgame.com</t>
  </si>
  <si>
    <t>是否显示进度条</t>
  </si>
  <si>
    <t>ICON</t>
  </si>
  <si>
    <t>UI表ID</t>
  </si>
  <si>
    <t>条目</t>
  </si>
  <si>
    <t>条目1UIID</t>
  </si>
  <si>
    <t>条目1标题</t>
  </si>
  <si>
    <t>条目1说明</t>
  </si>
  <si>
    <t>条目2UIID</t>
  </si>
  <si>
    <t>条目2标题</t>
  </si>
  <si>
    <t>条目2说明</t>
  </si>
  <si>
    <t>条目3UIID</t>
  </si>
  <si>
    <t>条目3标题</t>
  </si>
  <si>
    <t>条目3说明</t>
  </si>
  <si>
    <t>条目4UIID</t>
  </si>
  <si>
    <t>条目4标题</t>
  </si>
  <si>
    <t>条目4说明</t>
  </si>
  <si>
    <t>条目5UIID</t>
  </si>
  <si>
    <t>条目5标题</t>
  </si>
  <si>
    <t>条目5说明</t>
  </si>
  <si>
    <t>VIP特权</t>
  </si>
  <si>
    <t>VIPButton.png</t>
  </si>
  <si>
    <t>成为VIP就能获得大量专享优惠和特权</t>
  </si>
  <si>
    <t>月卡</t>
  </si>
  <si>
    <t>拥有月卡，每日可领取大量钻石</t>
  </si>
  <si>
    <t>钻石双倍</t>
  </si>
  <si>
    <t>充值指定金额，可获双倍钻石奖励</t>
  </si>
  <si>
    <t>我要升级</t>
  </si>
  <si>
    <r>
      <rPr>
        <sz val="11"/>
        <color indexed="8"/>
        <rFont val="宋体"/>
        <family val="3"/>
        <charset val="134"/>
      </rPr>
      <t>S</t>
    </r>
    <r>
      <rPr>
        <sz val="11"/>
        <color indexed="8"/>
        <rFont val="宋体"/>
        <family val="3"/>
        <charset val="134"/>
      </rPr>
      <t>hengjiIcon</t>
    </r>
    <r>
      <rPr>
        <sz val="11"/>
        <color indexed="8"/>
        <rFont val="宋体"/>
        <family val="3"/>
        <charset val="134"/>
      </rPr>
      <t>.png</t>
    </r>
  </si>
  <si>
    <t>每天完成日常任务获得大量经验</t>
  </si>
  <si>
    <t>主线剧情</t>
  </si>
  <si>
    <t>跟随主线任务助您前期快速升级</t>
  </si>
  <si>
    <t>副本关卡</t>
  </si>
  <si>
    <t>扫荡关卡可以获得海量经验</t>
  </si>
  <si>
    <t>我要体力</t>
  </si>
  <si>
    <t>phyIcon.png</t>
  </si>
  <si>
    <t>消耗少量钻石获得大量体力</t>
  </si>
  <si>
    <t>好友赠送</t>
  </si>
  <si>
    <t>可在好友界面领取好友赠送的体力</t>
  </si>
  <si>
    <t>车仔面</t>
  </si>
  <si>
    <t>每日12：00至14：00可领取80点体力</t>
  </si>
  <si>
    <t>吃龙虾</t>
  </si>
  <si>
    <t>每日18：00至20：00可领取80点体力</t>
  </si>
  <si>
    <t>云吞面</t>
  </si>
  <si>
    <t>每日21：00至24：00可领取60点体力</t>
  </si>
  <si>
    <t>Skill.png</t>
  </si>
  <si>
    <t>技能升级</t>
  </si>
  <si>
    <t>提高技能等级可增加技能伤害，降低冷却</t>
  </si>
  <si>
    <t>升级石</t>
  </si>
  <si>
    <t>升级石可在堂口商店获得</t>
  </si>
  <si>
    <t>冷却石</t>
  </si>
  <si>
    <t>冷却石可在马仔追债和劫掠中获得</t>
  </si>
  <si>
    <t>装备</t>
  </si>
  <si>
    <t>StrengthenIcon.png</t>
  </si>
  <si>
    <t>强化装备可以提高装备的基础属性</t>
  </si>
  <si>
    <t>装备升星可以提高装备的附加属性</t>
  </si>
  <si>
    <t>装备升级可将装备升为同品质更高级的装备</t>
  </si>
  <si>
    <t>拜财神</t>
  </si>
  <si>
    <t>消耗少量钻石兑换大量金币</t>
  </si>
  <si>
    <t>Mercenary.png</t>
  </si>
  <si>
    <t>马仔升级可以提高马仔基础属性</t>
  </si>
  <si>
    <t>升阶</t>
  </si>
  <si>
    <t>马仔升阶可以提高马仔属性成长度</t>
  </si>
  <si>
    <t>培养</t>
  </si>
  <si>
    <t>马仔培养可以提高属性并增加马仔技能等级</t>
  </si>
  <si>
    <t>挑战BOSS可获得指定马仔碎片</t>
  </si>
  <si>
    <t>寻宝可获得橙色/紫色马仔</t>
  </si>
  <si>
    <t>命格</t>
  </si>
  <si>
    <t>HuntingIcon.png</t>
  </si>
  <si>
    <t>装备命格可以大幅提高自身属性</t>
  </si>
  <si>
    <t>拜关公</t>
  </si>
  <si>
    <t>消耗少量钻石获得大量命运石</t>
  </si>
  <si>
    <t>纹身图</t>
  </si>
  <si>
    <t>Dragon.png</t>
  </si>
  <si>
    <t>点亮纹身可以大幅提高自身属性</t>
  </si>
  <si>
    <t>颜色数量</t>
  </si>
  <si>
    <t>颜色1</t>
  </si>
  <si>
    <t>颜色2</t>
  </si>
  <si>
    <t>颜色3</t>
  </si>
  <si>
    <t>颜色4</t>
  </si>
  <si>
    <t>颜色5</t>
  </si>
  <si>
    <t>颜色6</t>
  </si>
  <si>
    <t>颜色7</t>
  </si>
  <si>
    <t>颜色8</t>
  </si>
  <si>
    <t>恭喜%s%s，将[</t>
  </si>
  <si>
    <t>]升至10星</t>
  </si>
  <si>
    <t>]培养至+10</t>
  </si>
  <si>
    <t>]升阶至5星</t>
  </si>
  <si>
    <t>]升阶至10星</t>
  </si>
  <si>
    <t>恭喜%s%s，在寻宝时鸿运当头，获得马仔[</t>
  </si>
  <si>
    <t>]</t>
  </si>
  <si>
    <t>经过长期积累，%s%s在装备商城中兑换获得强力装备[</t>
  </si>
  <si>
    <r>
      <rPr>
        <sz val="11"/>
        <color indexed="8"/>
        <rFont val="宋体"/>
        <family val="3"/>
        <charset val="134"/>
      </rPr>
      <t>恭喜%s%s从</t>
    </r>
    <r>
      <rPr>
        <sz val="11"/>
        <color indexed="8"/>
        <rFont val="宋体"/>
        <family val="3"/>
        <charset val="134"/>
      </rPr>
      <t>%s</t>
    </r>
    <r>
      <rPr>
        <sz val="11"/>
        <color indexed="8"/>
        <rFont val="宋体"/>
        <family val="3"/>
        <charset val="134"/>
      </rPr>
      <t>%s手中夺取关卡[%s]，成为本关占领者！</t>
    </r>
  </si>
  <si>
    <r>
      <rPr>
        <sz val="11"/>
        <color indexed="8"/>
        <rFont val="宋体"/>
        <family val="3"/>
        <charset val="134"/>
      </rPr>
      <t>颜色I</t>
    </r>
    <r>
      <rPr>
        <sz val="11"/>
        <color indexed="8"/>
        <rFont val="宋体"/>
        <family val="3"/>
        <charset val="134"/>
      </rPr>
      <t>D</t>
    </r>
  </si>
  <si>
    <t>颜色描述</t>
  </si>
  <si>
    <t>r</t>
  </si>
  <si>
    <t>g</t>
  </si>
  <si>
    <t>b</t>
  </si>
  <si>
    <t>VIP土豪金</t>
  </si>
  <si>
    <t>名字橙</t>
  </si>
  <si>
    <t>副本绿</t>
  </si>
  <si>
    <t>公式ID</t>
  </si>
  <si>
    <t>常数个数</t>
  </si>
  <si>
    <t>常数1值</t>
  </si>
  <si>
    <t>常数2值</t>
  </si>
  <si>
    <t>常数3值</t>
  </si>
  <si>
    <t>常数4值</t>
  </si>
  <si>
    <t>常数5值</t>
  </si>
  <si>
    <t>常数6值</t>
  </si>
  <si>
    <t>常数7值</t>
  </si>
  <si>
    <t>常数8值</t>
  </si>
  <si>
    <t>常数9值</t>
  </si>
  <si>
    <t>常数10值</t>
  </si>
  <si>
    <t>常数11值</t>
  </si>
  <si>
    <t>常数12值</t>
  </si>
  <si>
    <t>常数13值</t>
  </si>
  <si>
    <t>战斗力</t>
  </si>
  <si>
    <t>生命*常数1+攻击*常数2+防御*常数3+闪避值*常数4+命中值*常数5+暴击值*常数6+暴击倍数百分比*常数7+韧性值*常数8+减伤百分比*常数9+加伤百分比*常数10+生命值百分比*常数11+攻击百分比*常数12+防御百分比*常数13</t>
  </si>
  <si>
    <t>闪避公式</t>
  </si>
  <si>
    <t>(防御者闪避值-攻击者命中值)/((防御者闪避值-攻击者命中值)+常数1）=闪避率</t>
  </si>
  <si>
    <t>暴击公式</t>
  </si>
  <si>
    <t>（攻击者暴击值-防御者韧性值）/常数1=暴击率</t>
  </si>
  <si>
    <t>强化公式</t>
  </si>
  <si>
    <t>强化每级经验*将要升级的装备等级=需要经验，需要经验/高级&gt;0，则使用高级强化石</t>
  </si>
  <si>
    <t>升星公式</t>
  </si>
  <si>
    <t>升星每级经验*将要升级的装备等级=需要经验，需要经验/高级&gt;0，则使用高级升星石</t>
  </si>
  <si>
    <t>马仔升星属性</t>
  </si>
  <si>
    <t>马仔当前星级增加的生命=生命成长*当前星级*生命系数*当前等级</t>
  </si>
  <si>
    <t>百分比公式</t>
  </si>
  <si>
    <t>百分比的属性值/各属性常数 就是百分比，取值取到0.1%</t>
  </si>
  <si>
    <t>分解返还比例</t>
  </si>
  <si>
    <t>命格灰色物品价格</t>
  </si>
  <si>
    <t>在线VIP经验</t>
  </si>
  <si>
    <t>战斗公式</t>
  </si>
  <si>
    <t>伤害=攻击^2/(攻击+防御*2)</t>
  </si>
  <si>
    <t>VIP提醒</t>
  </si>
  <si>
    <t>伤害=攻击-防御</t>
  </si>
  <si>
    <t>当攻击*0.5&lt;防御</t>
  </si>
  <si>
    <t>体力恢复速度</t>
  </si>
  <si>
    <t>马仔技能cd</t>
  </si>
  <si>
    <t>发生暴击，参考暴击公式</t>
  </si>
  <si>
    <t>好友赠送体力相关</t>
  </si>
  <si>
    <t>暴击伤害=伤害*（1.5+暴击倍数）</t>
  </si>
  <si>
    <r>
      <rPr>
        <sz val="11"/>
        <color indexed="8"/>
        <rFont val="宋体"/>
        <family val="3"/>
        <charset val="134"/>
      </rPr>
      <t>技能升级所需道具I</t>
    </r>
    <r>
      <rPr>
        <sz val="11"/>
        <color indexed="8"/>
        <rFont val="宋体"/>
        <family val="3"/>
        <charset val="134"/>
      </rPr>
      <t>D</t>
    </r>
  </si>
  <si>
    <t>金券寻宝所需道具ID</t>
  </si>
  <si>
    <t>最终伤害=伤害*(1+攻击者加伤百分比-敌人减伤百分比)</t>
  </si>
  <si>
    <r>
      <rPr>
        <sz val="11"/>
        <color indexed="8"/>
        <rFont val="宋体"/>
        <family val="3"/>
        <charset val="134"/>
      </rPr>
      <t>马仔追债收益=基础收益</t>
    </r>
    <r>
      <rPr>
        <sz val="11"/>
        <color indexed="25"/>
        <rFont val="宋体"/>
        <family val="3"/>
        <charset val="134"/>
      </rPr>
      <t>（</t>
    </r>
    <r>
      <rPr>
        <sz val="11"/>
        <color indexed="25"/>
        <rFont val="宋体"/>
        <family val="3"/>
        <charset val="134"/>
      </rPr>
      <t>读表，不同品质不同）</t>
    </r>
    <r>
      <rPr>
        <sz val="11"/>
        <color indexed="8"/>
        <rFont val="宋体"/>
        <family val="3"/>
        <charset val="134"/>
      </rPr>
      <t>*（1+等级系数</t>
    </r>
    <r>
      <rPr>
        <sz val="11"/>
        <color indexed="25"/>
        <rFont val="宋体"/>
        <family val="3"/>
        <charset val="134"/>
      </rPr>
      <t>(百分比)</t>
    </r>
    <r>
      <rPr>
        <sz val="11"/>
        <color indexed="8"/>
        <rFont val="宋体"/>
        <family val="3"/>
        <charset val="134"/>
      </rPr>
      <t>*（等级-1））*（1+公会等级系数</t>
    </r>
    <r>
      <rPr>
        <sz val="11"/>
        <color indexed="25"/>
        <rFont val="宋体"/>
        <family val="3"/>
        <charset val="134"/>
      </rPr>
      <t>(百分比)</t>
    </r>
    <r>
      <rPr>
        <sz val="11"/>
        <color indexed="8"/>
        <rFont val="宋体"/>
        <family val="3"/>
        <charset val="134"/>
      </rPr>
      <t>*（公会等级-1））</t>
    </r>
  </si>
  <si>
    <t>关卡占领金币抽成</t>
  </si>
  <si>
    <t>马仔合成动画保护时间</t>
  </si>
  <si>
    <t>钻石十连抽马仔保底</t>
  </si>
  <si>
    <t>装备继承消耗金币</t>
  </si>
  <si>
    <t>继承消耗的金币=(新装备初始强化金币+新装备初始升星金币）*常数1*(常数2^新装备品质)</t>
  </si>
  <si>
    <t>加减伤公式</t>
  </si>
  <si>
    <t>首充礼包显示价格</t>
  </si>
  <si>
    <t>神秘商店出现次数</t>
  </si>
  <si>
    <t>抽奖今日爆款起始时间</t>
  </si>
  <si>
    <t>开服后显示开服活动图标天数</t>
  </si>
  <si>
    <t>开服后活动持续天数</t>
  </si>
  <si>
    <t>终生卡</t>
  </si>
  <si>
    <t>每天参加并完成日常任务，可以获得大量金钱。</t>
  </si>
  <si>
    <t>副本内的怪物比普通地图的怪更强，但是奖励也更丰厚哟！</t>
  </si>
  <si>
    <t>要查询当前地图任务，只要点击小秘书即可。</t>
  </si>
  <si>
    <t>30级可以创建自己的堂口，20级就可以加入别人的堂口。</t>
  </si>
  <si>
    <t>与其他玩家组队打怪时会得到额外的经验和物品。</t>
  </si>
  <si>
    <t>等级ID</t>
  </si>
  <si>
    <t>取值上限</t>
  </si>
  <si>
    <t>取值下限</t>
  </si>
  <si>
    <t>等级</t>
  </si>
  <si>
    <t>D</t>
  </si>
  <si>
    <t>C</t>
  </si>
  <si>
    <t>B</t>
  </si>
  <si>
    <t>A</t>
  </si>
  <si>
    <t>S</t>
  </si>
  <si>
    <t>显示几率权重</t>
  </si>
  <si>
    <t>小贴士描述</t>
  </si>
  <si>
    <t>提升战斗力才是提升实力的关键</t>
  </si>
  <si>
    <t>古惑仔有丰富的游戏活动,点击活动按钮参与活动就可以获得丰富的奖励啦</t>
  </si>
  <si>
    <t>技能升级不仅能提高伤害,还能降低技能冷却时间</t>
  </si>
  <si>
    <t>月卡是返还钻石最丰厚的地方</t>
  </si>
  <si>
    <t>有些技能分为多个段位,连续点击技能图示可以全部释放</t>
  </si>
  <si>
    <t>设置援护的马仔属性会添加到玩家角色身上</t>
  </si>
  <si>
    <t>物品含有多种颜色,代表不同质量,从低到高分别为:白色,绿色,蓝色,紫色,橙色和红色</t>
  </si>
  <si>
    <t>不知道下一步要做什么？点击屏幕右上角的任务秘书头像可以获得指引</t>
  </si>
  <si>
    <r>
      <rPr>
        <sz val="11"/>
        <color indexed="8"/>
        <rFont val="宋体"/>
        <family val="3"/>
        <charset val="134"/>
      </rPr>
      <t>想获得更多的战利品吗？1</t>
    </r>
    <r>
      <rPr>
        <sz val="11"/>
        <color indexed="8"/>
        <rFont val="宋体"/>
        <family val="3"/>
        <charset val="134"/>
      </rPr>
      <t>8</t>
    </r>
    <r>
      <rPr>
        <sz val="11"/>
        <color indexed="8"/>
        <rFont val="宋体"/>
        <family val="3"/>
        <charset val="134"/>
      </rPr>
      <t>级后参加地下擂台,可获得大量竞技奖励</t>
    </r>
  </si>
  <si>
    <t>战斗中至少获得一星就能通关,但是三星通关就可以开启扫荡功能了</t>
  </si>
  <si>
    <r>
      <rPr>
        <sz val="11"/>
        <color indexed="8"/>
        <rFont val="宋体"/>
        <family val="3"/>
        <charset val="134"/>
      </rPr>
      <t>合理利用马仔的援助技能可以清空M</t>
    </r>
    <r>
      <rPr>
        <sz val="11"/>
        <color indexed="8"/>
        <rFont val="宋体"/>
        <family val="3"/>
        <charset val="134"/>
      </rPr>
      <t>axHit，衔接技能，打出更高连击</t>
    </r>
  </si>
  <si>
    <t>每3分钟会自动回复1点体力,花费钻石可以购买体力,购买VIP可以增加购买次数</t>
  </si>
  <si>
    <t>当体力到达上限时将停止自动回复，购买和赠送的体力不受体力上限的影响</t>
  </si>
  <si>
    <t>游戏很卡？续航不足？手机发热？请打开省电模式</t>
  </si>
  <si>
    <t>装备升星和升级材料除了掉落，还能通过合成获取</t>
  </si>
  <si>
    <t>描述1</t>
  </si>
  <si>
    <t>描述2</t>
  </si>
  <si>
    <t>描述3</t>
  </si>
  <si>
    <t>描述4</t>
  </si>
  <si>
    <t>触发条件ID</t>
  </si>
  <si>
    <t>条件数值1</t>
  </si>
  <si>
    <t>条件数值2</t>
  </si>
  <si>
    <t>条件数值3</t>
  </si>
  <si>
    <r>
      <rPr>
        <sz val="11"/>
        <color indexed="8"/>
        <rFont val="宋体"/>
        <family val="3"/>
        <charset val="134"/>
      </rPr>
      <t>红包I</t>
    </r>
    <r>
      <rPr>
        <sz val="11"/>
        <color indexed="8"/>
        <rFont val="宋体"/>
        <family val="3"/>
        <charset val="134"/>
      </rPr>
      <t>D</t>
    </r>
  </si>
  <si>
    <t>数值1</t>
  </si>
  <si>
    <t>数值2</t>
  </si>
  <si>
    <t>积分</t>
  </si>
  <si>
    <t>世界红包</t>
  </si>
  <si>
    <t>好友红包</t>
  </si>
  <si>
    <t>公会红包</t>
  </si>
  <si>
    <t>保底积分</t>
  </si>
  <si>
    <t>平均值</t>
  </si>
  <si>
    <t>红包积分生成：</t>
  </si>
  <si>
    <t>1、判断，当保底积分&lt;0，或保底积分*红包数量&gt;=总积分时，直接分配每人积分为：总积分/红包数量，最低值为1</t>
  </si>
  <si>
    <t>判断，当保底积分&lt;0，或保底积分*红包数量&gt;=总积分时，直接分配每人积分为：总积分/红包数量，最低值为1</t>
  </si>
  <si>
    <t>2、剩余积分=总积分-保底积分*红包数量，并需要保存剩余积分。</t>
  </si>
  <si>
    <t>令随机总积分=总积分-保底积分*红包数量</t>
  </si>
  <si>
    <t>3、第一个红包为：round(0,剩余积分*2/未领取红包数)+保底积分</t>
  </si>
  <si>
    <t>按随机算法生成前（红包数量-1）个红包的随机积分数组</t>
  </si>
  <si>
    <t>4、更新剩余积分</t>
  </si>
  <si>
    <t>把每个红包的随机积分加上保底积分作为最终积分数组，或放入栈中</t>
  </si>
  <si>
    <t>5、重复3、4步生成其他红包积分</t>
  </si>
  <si>
    <t>红包按顺序领取即可</t>
  </si>
  <si>
    <t>6、最后一个红包为最后剩余的全部积分</t>
  </si>
  <si>
    <t>随机积分算法：</t>
  </si>
  <si>
    <t>生成两个随机数组，a[n],b[n],n的取值为红包数量，随机数至少取2位有效位</t>
  </si>
  <si>
    <t>生成新数组：c[n]，令c[i]=a[i]+b[i]</t>
  </si>
  <si>
    <t>把数组c[n]中的各个值作为每个红包的权重，随机总积分为总量，求出前n-1个红包的随机积分（取值方式为向下取整）</t>
  </si>
  <si>
    <t>最后一个红包的随机积分=随机总积分 - 前n-1个红包的随机积分  （因为前n-1个红包为向下取整，所以会有多余的积分）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</si>
</sst>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indexed="8"/>
      <name val="宋体"/>
      <charset val="134"/>
    </font>
    <font>
      <sz val="11"/>
      <color indexed="22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55"/>
      <name val="宋体"/>
      <family val="3"/>
      <charset val="134"/>
    </font>
    <font>
      <sz val="10"/>
      <color indexed="63"/>
      <name val="微软雅黑"/>
      <family val="2"/>
      <charset val="134"/>
    </font>
    <font>
      <sz val="11"/>
      <name val="宋体"/>
      <family val="3"/>
      <charset val="134"/>
    </font>
    <font>
      <b/>
      <sz val="12"/>
      <color indexed="22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25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 applyAlignment="1"/>
    <xf numFmtId="0" fontId="1" fillId="0" borderId="0" xfId="0" applyFont="1" applyAlignment="1"/>
    <xf numFmtId="0" fontId="0" fillId="0" borderId="0" xfId="0" applyBorder="1" applyAlignment="1"/>
    <xf numFmtId="0" fontId="0" fillId="0" borderId="0" xfId="0" applyFont="1" applyAlignment="1"/>
    <xf numFmtId="0" fontId="0" fillId="0" borderId="0" xfId="0" applyFont="1" applyBorder="1" applyAlignment="1"/>
    <xf numFmtId="0" fontId="2" fillId="0" borderId="0" xfId="0" applyFont="1" applyBorder="1" applyAlignment="1"/>
    <xf numFmtId="0" fontId="3" fillId="0" borderId="0" xfId="0" applyFont="1" applyAlignment="1"/>
    <xf numFmtId="0" fontId="4" fillId="0" borderId="0" xfId="0" applyFont="1" applyAlignment="1"/>
    <xf numFmtId="0" fontId="0" fillId="0" borderId="1" xfId="0" applyBorder="1" applyAlignment="1"/>
    <xf numFmtId="0" fontId="0" fillId="2" borderId="1" xfId="0" applyFill="1" applyBorder="1" applyAlignment="1"/>
    <xf numFmtId="0" fontId="0" fillId="3" borderId="1" xfId="0" applyFill="1" applyBorder="1" applyAlignment="1"/>
    <xf numFmtId="0" fontId="0" fillId="4" borderId="1" xfId="0" applyFill="1" applyBorder="1" applyAlignment="1"/>
    <xf numFmtId="0" fontId="0" fillId="5" borderId="1" xfId="0" applyFill="1" applyBorder="1" applyAlignment="1"/>
    <xf numFmtId="0" fontId="0" fillId="6" borderId="1" xfId="0" applyFill="1" applyBorder="1" applyAlignment="1"/>
    <xf numFmtId="0" fontId="0" fillId="7" borderId="1" xfId="0" applyFill="1" applyBorder="1" applyAlignment="1"/>
    <xf numFmtId="0" fontId="0" fillId="8" borderId="1" xfId="0" applyFill="1" applyBorder="1" applyAlignment="1"/>
    <xf numFmtId="0" fontId="0" fillId="9" borderId="1" xfId="0" applyFill="1" applyBorder="1" applyAlignment="1"/>
    <xf numFmtId="0" fontId="0" fillId="10" borderId="0" xfId="0" applyFill="1" applyAlignment="1"/>
    <xf numFmtId="0" fontId="0" fillId="10" borderId="1" xfId="0" applyFont="1" applyFill="1" applyBorder="1" applyAlignment="1"/>
    <xf numFmtId="0" fontId="0" fillId="10" borderId="1" xfId="0" applyFill="1" applyBorder="1" applyAlignment="1"/>
    <xf numFmtId="0" fontId="0" fillId="0" borderId="1" xfId="0" applyFill="1" applyBorder="1" applyAlignment="1"/>
    <xf numFmtId="0" fontId="0" fillId="0" borderId="1" xfId="0" applyFont="1" applyBorder="1" applyAlignment="1"/>
    <xf numFmtId="0" fontId="0" fillId="0" borderId="2" xfId="0" applyFont="1" applyFill="1" applyBorder="1" applyAlignment="1"/>
    <xf numFmtId="0" fontId="0" fillId="0" borderId="2" xfId="0" applyFill="1" applyBorder="1" applyAlignment="1"/>
    <xf numFmtId="0" fontId="0" fillId="0" borderId="0" xfId="0" applyFont="1" applyFill="1" applyBorder="1" applyAlignment="1"/>
    <xf numFmtId="0" fontId="5" fillId="3" borderId="1" xfId="0" applyFont="1" applyFill="1" applyBorder="1" applyAlignment="1"/>
    <xf numFmtId="0" fontId="0" fillId="5" borderId="1" xfId="0" applyFill="1" applyBorder="1" applyAlignment="1">
      <alignment vertical="top"/>
    </xf>
    <xf numFmtId="0" fontId="0" fillId="7" borderId="1" xfId="0" applyFont="1" applyFill="1" applyBorder="1" applyAlignment="1"/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0" fillId="10" borderId="0" xfId="0" applyFont="1" applyFill="1" applyAlignment="1"/>
    <xf numFmtId="0" fontId="9" fillId="0" borderId="0" xfId="0" applyFont="1" applyAlignment="1"/>
    <xf numFmtId="0" fontId="0" fillId="0" borderId="0" xfId="0" applyFont="1" applyAlignment="1">
      <alignment wrapText="1"/>
    </xf>
    <xf numFmtId="0" fontId="10" fillId="0" borderId="0" xfId="0" applyFont="1" applyAlignment="1"/>
    <xf numFmtId="0" fontId="0" fillId="0" borderId="0" xfId="0" applyAlignment="1">
      <alignment wrapText="1"/>
    </xf>
    <xf numFmtId="0" fontId="0" fillId="12" borderId="0" xfId="0" applyFill="1" applyAlignment="1"/>
    <xf numFmtId="0" fontId="0" fillId="12" borderId="0" xfId="0" applyFont="1" applyFill="1" applyAlignment="1"/>
  </cellXfs>
  <cellStyles count="1">
    <cellStyle name="常规" xfId="0" builtinId="0"/>
  </cellStyles>
  <dxfs count="8">
    <dxf>
      <fill>
        <patternFill>
          <fgColor indexed="10"/>
          <bgColor indexed="10"/>
        </patternFill>
      </fill>
    </dxf>
    <dxf>
      <fill>
        <patternFill>
          <fgColor indexed="10"/>
          <bgColor indexed="17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17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17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8216;&#25103;&#25968;&#20540;&#27169;&#25311;&#39564;&#35777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9532;&#2018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027;&#352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定参考"/>
      <sheetName val="经验验证"/>
      <sheetName val="主角设定"/>
      <sheetName val="装备属性"/>
      <sheetName val="主角数据分析-超R"/>
      <sheetName val="主角分析-非R"/>
      <sheetName val="攻防血属性数据分析"/>
      <sheetName val="命格设定"/>
      <sheetName val="命格属性-非R"/>
      <sheetName val="命格属性-超R"/>
      <sheetName val="技能"/>
      <sheetName val="属性汇总"/>
      <sheetName val="装备全级属性-非R"/>
      <sheetName val="装备全级属性-大R"/>
      <sheetName val="马仔属性"/>
      <sheetName val="马仔-非R"/>
      <sheetName val="马仔-大R"/>
      <sheetName val="马仔-判定标准"/>
      <sheetName val="马仔-数据观察"/>
      <sheetName val="龙魂设定"/>
      <sheetName val="龙魂等级属性"/>
      <sheetName val="技能-大R"/>
      <sheetName val="技能-非R"/>
    </sheetNames>
    <sheetDataSet>
      <sheetData sheetId="0"/>
      <sheetData sheetId="1">
        <row r="7">
          <cell r="G7">
            <v>1001</v>
          </cell>
          <cell r="Q7">
            <v>2</v>
          </cell>
        </row>
        <row r="8">
          <cell r="G8">
            <v>1004</v>
          </cell>
          <cell r="Q8">
            <v>2</v>
          </cell>
        </row>
        <row r="9">
          <cell r="G9">
            <v>3001</v>
          </cell>
          <cell r="Q9">
            <v>3</v>
          </cell>
        </row>
        <row r="10">
          <cell r="G10">
            <v>1002</v>
          </cell>
          <cell r="Q10">
            <v>4</v>
          </cell>
        </row>
        <row r="11">
          <cell r="G11">
            <v>1003</v>
          </cell>
          <cell r="Q11">
            <v>5</v>
          </cell>
        </row>
        <row r="12">
          <cell r="G12">
            <v>1006</v>
          </cell>
          <cell r="Q12">
            <v>6</v>
          </cell>
        </row>
        <row r="13">
          <cell r="G13">
            <v>1005</v>
          </cell>
          <cell r="Q13">
            <v>7</v>
          </cell>
        </row>
        <row r="14">
          <cell r="G14">
            <v>1008</v>
          </cell>
          <cell r="Q14">
            <v>8</v>
          </cell>
        </row>
        <row r="15">
          <cell r="G15">
            <v>1010</v>
          </cell>
          <cell r="Q15">
            <v>9</v>
          </cell>
        </row>
        <row r="16">
          <cell r="G16">
            <v>1011</v>
          </cell>
          <cell r="Q16">
            <v>10</v>
          </cell>
        </row>
        <row r="17">
          <cell r="G17">
            <v>1012</v>
          </cell>
          <cell r="Q17">
            <v>10</v>
          </cell>
        </row>
        <row r="18">
          <cell r="G18">
            <v>1013</v>
          </cell>
          <cell r="Q18">
            <v>11</v>
          </cell>
        </row>
        <row r="19">
          <cell r="G19">
            <v>1014</v>
          </cell>
          <cell r="Q19">
            <v>12</v>
          </cell>
        </row>
        <row r="20">
          <cell r="G20">
            <v>1015</v>
          </cell>
          <cell r="Q20">
            <v>13</v>
          </cell>
        </row>
        <row r="21">
          <cell r="G21">
            <v>1016</v>
          </cell>
          <cell r="Q21">
            <v>14</v>
          </cell>
        </row>
        <row r="22">
          <cell r="G22">
            <v>3004</v>
          </cell>
          <cell r="Q22">
            <v>15</v>
          </cell>
        </row>
        <row r="23">
          <cell r="G23">
            <v>1017</v>
          </cell>
          <cell r="Q23">
            <v>15</v>
          </cell>
        </row>
        <row r="24">
          <cell r="G24">
            <v>1018</v>
          </cell>
          <cell r="Q24">
            <v>16</v>
          </cell>
        </row>
        <row r="25">
          <cell r="G25">
            <v>1019</v>
          </cell>
          <cell r="Q25">
            <v>17</v>
          </cell>
        </row>
        <row r="26">
          <cell r="G26">
            <v>2201</v>
          </cell>
          <cell r="Q26">
            <v>18</v>
          </cell>
        </row>
        <row r="27">
          <cell r="G27">
            <v>1020</v>
          </cell>
          <cell r="Q27">
            <v>18</v>
          </cell>
        </row>
        <row r="28">
          <cell r="G28">
            <v>1021</v>
          </cell>
          <cell r="Q28">
            <v>19</v>
          </cell>
        </row>
        <row r="29">
          <cell r="G29">
            <v>1022</v>
          </cell>
          <cell r="Q29">
            <v>19</v>
          </cell>
        </row>
        <row r="30">
          <cell r="G30">
            <v>1023</v>
          </cell>
          <cell r="Q30">
            <v>20</v>
          </cell>
        </row>
        <row r="31">
          <cell r="G31">
            <v>1024</v>
          </cell>
          <cell r="Q31">
            <v>20</v>
          </cell>
        </row>
        <row r="32">
          <cell r="G32">
            <v>1025</v>
          </cell>
          <cell r="Q32">
            <v>21</v>
          </cell>
        </row>
        <row r="33">
          <cell r="G33">
            <v>1026</v>
          </cell>
          <cell r="Q33">
            <v>21</v>
          </cell>
        </row>
        <row r="34">
          <cell r="G34">
            <v>1027</v>
          </cell>
          <cell r="Q34">
            <v>22</v>
          </cell>
        </row>
        <row r="35">
          <cell r="G35">
            <v>1028</v>
          </cell>
          <cell r="Q35">
            <v>22</v>
          </cell>
        </row>
        <row r="36">
          <cell r="G36">
            <v>3003</v>
          </cell>
          <cell r="Q36">
            <v>22</v>
          </cell>
        </row>
        <row r="37">
          <cell r="G37">
            <v>1029</v>
          </cell>
          <cell r="Q37">
            <v>23</v>
          </cell>
        </row>
        <row r="38">
          <cell r="G38">
            <v>1030</v>
          </cell>
          <cell r="Q38">
            <v>23</v>
          </cell>
        </row>
        <row r="39">
          <cell r="G39">
            <v>1031</v>
          </cell>
          <cell r="Q39">
            <v>23</v>
          </cell>
        </row>
        <row r="40">
          <cell r="G40">
            <v>1032</v>
          </cell>
          <cell r="Q40">
            <v>23</v>
          </cell>
        </row>
        <row r="41">
          <cell r="G41">
            <v>1033</v>
          </cell>
          <cell r="Q41">
            <v>24</v>
          </cell>
        </row>
        <row r="42">
          <cell r="G42">
            <v>1034</v>
          </cell>
          <cell r="Q42">
            <v>24</v>
          </cell>
        </row>
        <row r="43">
          <cell r="G43">
            <v>1035</v>
          </cell>
          <cell r="Q43">
            <v>24</v>
          </cell>
        </row>
        <row r="44">
          <cell r="G44">
            <v>1036</v>
          </cell>
          <cell r="Q44">
            <v>24</v>
          </cell>
        </row>
        <row r="45">
          <cell r="G45">
            <v>1037</v>
          </cell>
          <cell r="Q45">
            <v>25</v>
          </cell>
        </row>
        <row r="46">
          <cell r="G46">
            <v>1038</v>
          </cell>
          <cell r="Q46">
            <v>25</v>
          </cell>
        </row>
        <row r="47">
          <cell r="G47">
            <v>1039</v>
          </cell>
          <cell r="Q47">
            <v>25</v>
          </cell>
        </row>
        <row r="48">
          <cell r="G48">
            <v>1040</v>
          </cell>
          <cell r="Q48">
            <v>25</v>
          </cell>
        </row>
        <row r="49">
          <cell r="G49">
            <v>1041</v>
          </cell>
          <cell r="Q49">
            <v>26</v>
          </cell>
        </row>
        <row r="50">
          <cell r="G50">
            <v>1042</v>
          </cell>
          <cell r="Q50">
            <v>26</v>
          </cell>
        </row>
        <row r="51">
          <cell r="G51">
            <v>1043</v>
          </cell>
          <cell r="Q51">
            <v>26</v>
          </cell>
        </row>
        <row r="52">
          <cell r="G52">
            <v>1044</v>
          </cell>
          <cell r="Q52">
            <v>26</v>
          </cell>
        </row>
        <row r="53">
          <cell r="G53">
            <v>1045</v>
          </cell>
          <cell r="Q53">
            <v>27</v>
          </cell>
        </row>
        <row r="54">
          <cell r="G54">
            <v>1046</v>
          </cell>
          <cell r="Q54">
            <v>27</v>
          </cell>
        </row>
        <row r="55">
          <cell r="G55">
            <v>1047</v>
          </cell>
          <cell r="Q55">
            <v>27</v>
          </cell>
        </row>
        <row r="56">
          <cell r="G56">
            <v>1048</v>
          </cell>
          <cell r="Q56">
            <v>27</v>
          </cell>
        </row>
        <row r="57">
          <cell r="G57">
            <v>1049</v>
          </cell>
          <cell r="Q57">
            <v>28</v>
          </cell>
        </row>
        <row r="58">
          <cell r="G58">
            <v>1050</v>
          </cell>
          <cell r="Q58">
            <v>28</v>
          </cell>
        </row>
        <row r="59">
          <cell r="G59">
            <v>1051</v>
          </cell>
          <cell r="Q59">
            <v>28</v>
          </cell>
        </row>
        <row r="60">
          <cell r="G60">
            <v>1052</v>
          </cell>
          <cell r="Q60">
            <v>28</v>
          </cell>
        </row>
        <row r="61">
          <cell r="G61">
            <v>1053</v>
          </cell>
          <cell r="Q61">
            <v>29</v>
          </cell>
        </row>
        <row r="62">
          <cell r="G62">
            <v>1054</v>
          </cell>
          <cell r="Q62">
            <v>29</v>
          </cell>
        </row>
        <row r="63">
          <cell r="G63">
            <v>1055</v>
          </cell>
          <cell r="Q63">
            <v>29</v>
          </cell>
        </row>
        <row r="64">
          <cell r="G64">
            <v>1056</v>
          </cell>
          <cell r="Q64">
            <v>29</v>
          </cell>
        </row>
        <row r="65">
          <cell r="G65">
            <v>1057</v>
          </cell>
          <cell r="Q65">
            <v>30</v>
          </cell>
        </row>
        <row r="66">
          <cell r="G66">
            <v>1058</v>
          </cell>
          <cell r="Q66">
            <v>30</v>
          </cell>
        </row>
        <row r="67">
          <cell r="G67">
            <v>1059</v>
          </cell>
          <cell r="Q67">
            <v>30</v>
          </cell>
        </row>
        <row r="68">
          <cell r="G68">
            <v>1060</v>
          </cell>
          <cell r="Q68">
            <v>31</v>
          </cell>
        </row>
        <row r="69">
          <cell r="G69">
            <v>1061</v>
          </cell>
          <cell r="Q69">
            <v>31</v>
          </cell>
        </row>
        <row r="70">
          <cell r="G70">
            <v>1062</v>
          </cell>
          <cell r="Q70">
            <v>31</v>
          </cell>
        </row>
        <row r="71">
          <cell r="G71">
            <v>1063</v>
          </cell>
          <cell r="Q71">
            <v>32</v>
          </cell>
        </row>
        <row r="72">
          <cell r="G72">
            <v>1064</v>
          </cell>
          <cell r="Q72">
            <v>32</v>
          </cell>
        </row>
        <row r="73">
          <cell r="G73">
            <v>3005</v>
          </cell>
          <cell r="Q73">
            <v>32</v>
          </cell>
        </row>
        <row r="74">
          <cell r="G74">
            <v>3006</v>
          </cell>
          <cell r="Q74">
            <v>33</v>
          </cell>
        </row>
        <row r="75">
          <cell r="G75">
            <v>3007</v>
          </cell>
          <cell r="Q75">
            <v>33</v>
          </cell>
        </row>
        <row r="76">
          <cell r="G76">
            <v>1065</v>
          </cell>
          <cell r="Q76">
            <v>33</v>
          </cell>
        </row>
        <row r="77">
          <cell r="G77">
            <v>1066</v>
          </cell>
          <cell r="Q77">
            <v>34</v>
          </cell>
        </row>
        <row r="78">
          <cell r="G78">
            <v>1067</v>
          </cell>
          <cell r="Q78">
            <v>34</v>
          </cell>
        </row>
        <row r="79">
          <cell r="G79">
            <v>1068</v>
          </cell>
          <cell r="Q79">
            <v>34</v>
          </cell>
        </row>
        <row r="80">
          <cell r="G80">
            <v>1069</v>
          </cell>
          <cell r="Q80">
            <v>35</v>
          </cell>
        </row>
        <row r="81">
          <cell r="G81">
            <v>1070</v>
          </cell>
          <cell r="Q81">
            <v>35</v>
          </cell>
        </row>
        <row r="82">
          <cell r="G82">
            <v>1071</v>
          </cell>
          <cell r="Q82">
            <v>36</v>
          </cell>
        </row>
        <row r="83">
          <cell r="G83">
            <v>1072</v>
          </cell>
          <cell r="Q83">
            <v>36</v>
          </cell>
        </row>
        <row r="84">
          <cell r="G84">
            <v>1073</v>
          </cell>
          <cell r="Q84">
            <v>36</v>
          </cell>
        </row>
        <row r="85">
          <cell r="G85">
            <v>3008</v>
          </cell>
          <cell r="Q85">
            <v>37</v>
          </cell>
        </row>
        <row r="86">
          <cell r="G86">
            <v>3009</v>
          </cell>
          <cell r="Q86">
            <v>37</v>
          </cell>
        </row>
        <row r="87">
          <cell r="G87">
            <v>3010</v>
          </cell>
          <cell r="Q87">
            <v>38</v>
          </cell>
        </row>
        <row r="88">
          <cell r="G88">
            <v>1074</v>
          </cell>
          <cell r="Q88">
            <v>38</v>
          </cell>
        </row>
        <row r="89">
          <cell r="G89">
            <v>1075</v>
          </cell>
          <cell r="Q89">
            <v>38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  <sheetName val="数值框架推算"/>
    </sheetNames>
    <sheetDataSet>
      <sheetData sheetId="0"/>
      <sheetData sheetId="1">
        <row r="5">
          <cell r="J5">
            <v>50000</v>
          </cell>
        </row>
        <row r="13">
          <cell r="C13">
            <v>0.04</v>
          </cell>
          <cell r="D13">
            <v>1</v>
          </cell>
          <cell r="E13">
            <v>1</v>
          </cell>
          <cell r="F13">
            <v>0.34</v>
          </cell>
          <cell r="G13">
            <v>0.34</v>
          </cell>
          <cell r="H13">
            <v>0.18</v>
          </cell>
          <cell r="I13">
            <v>0.12</v>
          </cell>
          <cell r="J13">
            <v>0.18</v>
          </cell>
          <cell r="K13">
            <v>0.3</v>
          </cell>
          <cell r="L13">
            <v>0.3</v>
          </cell>
          <cell r="M13">
            <v>0.4</v>
          </cell>
          <cell r="N13">
            <v>0.36</v>
          </cell>
          <cell r="O13">
            <v>0.24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马仔表"/>
      <sheetName val="D_马仔经验"/>
      <sheetName val="马仔辅助经验表"/>
      <sheetName val="马仔等级性价比"/>
      <sheetName val="D_马仔升级属性"/>
      <sheetName val="D_马仔升星灵魂石"/>
      <sheetName val="D_马仔升星属性"/>
      <sheetName val="D_马仔培养进阶属性"/>
      <sheetName val="D_马仔培养宝物"/>
      <sheetName val="D_马仔宝物"/>
      <sheetName val="价值评估"/>
      <sheetName val="D_马仔技能"/>
      <sheetName val="技能辅助表"/>
      <sheetName val="D_马仔BUF表"/>
      <sheetName val="D__马仔援护位开放"/>
      <sheetName val="D_马仔追债任务表"/>
      <sheetName val="马仔追债辅助表"/>
      <sheetName val="D_追债劫掠购买表"/>
      <sheetName val="马仔辅助表"/>
      <sheetName val="马仔培养辅助表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J5">
            <v>150</v>
          </cell>
          <cell r="K5">
            <v>5</v>
          </cell>
          <cell r="L5">
            <v>2.5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经验表"/>
      <sheetName val="D_角色属性"/>
      <sheetName val="D_VIP对应表"/>
      <sheetName val="D_VIP描述表"/>
      <sheetName val="D_VIP重置表"/>
      <sheetName val="D_VIP充值表"/>
      <sheetName val="D_BUFF表"/>
      <sheetName val="D_我要变强"/>
      <sheetName val="D_改名消耗"/>
      <sheetName val="角色辅助表"/>
      <sheetName val="VIP辅助表"/>
      <sheetName val="VIP描述辅助表"/>
      <sheetName val="VIP礼包奖辅助表"/>
    </sheetNames>
    <sheetDataSet>
      <sheetData sheetId="0"/>
      <sheetData sheetId="1"/>
      <sheetData sheetId="2">
        <row r="3">
          <cell r="B3">
            <v>6</v>
          </cell>
        </row>
        <row r="4">
          <cell r="B4">
            <v>30</v>
          </cell>
        </row>
        <row r="5">
          <cell r="B5">
            <v>100</v>
          </cell>
        </row>
        <row r="6">
          <cell r="B6">
            <v>300</v>
          </cell>
        </row>
        <row r="7">
          <cell r="B7">
            <v>500</v>
          </cell>
        </row>
        <row r="8">
          <cell r="B8">
            <v>700</v>
          </cell>
        </row>
        <row r="9">
          <cell r="B9">
            <v>1000</v>
          </cell>
        </row>
        <row r="10">
          <cell r="B10">
            <v>1500</v>
          </cell>
        </row>
        <row r="11">
          <cell r="B11">
            <v>2000</v>
          </cell>
        </row>
        <row r="12">
          <cell r="B12">
            <v>3000</v>
          </cell>
        </row>
      </sheetData>
      <sheetData sheetId="3"/>
      <sheetData sheetId="4"/>
      <sheetData sheetId="5">
        <row r="10">
          <cell r="E10">
            <v>30</v>
          </cell>
        </row>
        <row r="11">
          <cell r="E11">
            <v>6</v>
          </cell>
        </row>
        <row r="12">
          <cell r="E12">
            <v>30</v>
          </cell>
        </row>
        <row r="13">
          <cell r="E13">
            <v>98</v>
          </cell>
        </row>
        <row r="14">
          <cell r="E14">
            <v>198</v>
          </cell>
        </row>
        <row r="15">
          <cell r="E15">
            <v>328</v>
          </cell>
        </row>
        <row r="16">
          <cell r="E16">
            <v>648</v>
          </cell>
        </row>
        <row r="17">
          <cell r="E17">
            <v>60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46"/>
  <sheetViews>
    <sheetView workbookViewId="0">
      <pane xSplit="2" ySplit="1" topLeftCell="C2" activePane="bottomRight" state="frozenSplit"/>
      <selection pane="topRight"/>
      <selection pane="bottomLeft"/>
      <selection pane="bottomRight" activeCell="G8" sqref="G8"/>
    </sheetView>
  </sheetViews>
  <sheetFormatPr defaultColWidth="9" defaultRowHeight="13.5"/>
  <cols>
    <col min="2" max="2" width="17.25" customWidth="1"/>
    <col min="3" max="3" width="5.25" customWidth="1"/>
    <col min="7" max="7" width="10.5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3" t="s">
        <v>6</v>
      </c>
      <c r="H1" t="s">
        <v>7</v>
      </c>
    </row>
    <row r="2" spans="1:14">
      <c r="A2">
        <v>1</v>
      </c>
      <c r="B2" t="s">
        <v>8</v>
      </c>
      <c r="C2">
        <v>1</v>
      </c>
      <c r="D2">
        <v>1</v>
      </c>
      <c r="E2">
        <v>1</v>
      </c>
      <c r="F2">
        <v>1</v>
      </c>
      <c r="G2">
        <f>IFERROR(VLOOKUP(F2,CHOOSE({1,2},[1]经验验证!$Q$7:$Q$89,[1]经验验证!$G$7:$G$89),2,TRUE),0)</f>
        <v>0</v>
      </c>
    </row>
    <row r="3" spans="1:14">
      <c r="A3" s="45">
        <v>2</v>
      </c>
      <c r="B3" s="45" t="s">
        <v>9</v>
      </c>
      <c r="C3" s="45">
        <v>2</v>
      </c>
      <c r="D3" s="45">
        <v>2</v>
      </c>
      <c r="E3" s="45">
        <v>3</v>
      </c>
      <c r="F3" s="45">
        <v>11</v>
      </c>
      <c r="G3" s="45">
        <v>1013</v>
      </c>
      <c r="H3" s="45"/>
    </row>
    <row r="4" spans="1:14">
      <c r="A4">
        <v>3</v>
      </c>
      <c r="B4" t="s">
        <v>10</v>
      </c>
      <c r="C4">
        <v>1</v>
      </c>
      <c r="D4">
        <v>1</v>
      </c>
      <c r="E4">
        <v>2</v>
      </c>
      <c r="F4">
        <v>1</v>
      </c>
      <c r="G4">
        <f>IFERROR(VLOOKUP(F4,CHOOSE({1,2},[1]经验验证!$Q$7:$Q$89,[1]经验验证!$G$7:$G$89),2,TRUE),0)</f>
        <v>0</v>
      </c>
    </row>
    <row r="5" spans="1:14">
      <c r="A5">
        <v>4</v>
      </c>
      <c r="B5" t="s">
        <v>11</v>
      </c>
      <c r="C5">
        <v>2</v>
      </c>
      <c r="D5">
        <v>2</v>
      </c>
      <c r="E5">
        <v>2</v>
      </c>
      <c r="F5">
        <v>1</v>
      </c>
      <c r="G5">
        <f>IFERROR(VLOOKUP(F5,CHOOSE({1,2},[1]经验验证!$Q$7:$Q$89,[1]经验验证!$G$7:$G$89),2,TRUE),0)</f>
        <v>0</v>
      </c>
    </row>
    <row r="6" spans="1:14">
      <c r="A6">
        <v>6</v>
      </c>
      <c r="B6" t="s">
        <v>12</v>
      </c>
      <c r="C6">
        <v>1</v>
      </c>
      <c r="D6">
        <v>2</v>
      </c>
      <c r="E6">
        <v>2</v>
      </c>
      <c r="F6">
        <v>9</v>
      </c>
      <c r="G6">
        <v>1011</v>
      </c>
      <c r="H6">
        <v>3</v>
      </c>
    </row>
    <row r="7" spans="1:14">
      <c r="A7">
        <v>7</v>
      </c>
      <c r="B7" t="s">
        <v>13</v>
      </c>
      <c r="C7">
        <v>1</v>
      </c>
      <c r="D7">
        <v>2</v>
      </c>
      <c r="E7">
        <v>3</v>
      </c>
      <c r="F7">
        <v>15</v>
      </c>
      <c r="G7">
        <v>1017</v>
      </c>
      <c r="H7">
        <v>6</v>
      </c>
    </row>
    <row r="8" spans="1:14">
      <c r="A8">
        <v>8</v>
      </c>
      <c r="B8" t="s">
        <v>14</v>
      </c>
      <c r="C8">
        <v>1</v>
      </c>
      <c r="D8">
        <v>2</v>
      </c>
      <c r="E8">
        <v>1</v>
      </c>
      <c r="F8">
        <v>2</v>
      </c>
      <c r="G8">
        <v>0</v>
      </c>
      <c r="H8">
        <v>1</v>
      </c>
    </row>
    <row r="9" spans="1:14">
      <c r="A9">
        <v>9</v>
      </c>
      <c r="B9" s="3" t="s">
        <v>15</v>
      </c>
      <c r="C9">
        <v>2</v>
      </c>
      <c r="D9">
        <v>1</v>
      </c>
      <c r="E9">
        <v>2</v>
      </c>
      <c r="F9">
        <v>20</v>
      </c>
      <c r="G9">
        <v>1023</v>
      </c>
      <c r="H9">
        <v>9</v>
      </c>
    </row>
    <row r="10" spans="1:14">
      <c r="A10">
        <v>10</v>
      </c>
      <c r="B10" s="3" t="s">
        <v>16</v>
      </c>
      <c r="C10">
        <v>1</v>
      </c>
      <c r="D10">
        <v>2</v>
      </c>
      <c r="E10">
        <v>5</v>
      </c>
      <c r="F10">
        <v>29</v>
      </c>
      <c r="G10">
        <v>1037</v>
      </c>
      <c r="H10">
        <v>11</v>
      </c>
      <c r="N10" s="3"/>
    </row>
    <row r="11" spans="1:14">
      <c r="A11">
        <v>11</v>
      </c>
      <c r="B11" t="s">
        <v>17</v>
      </c>
      <c r="C11">
        <v>1</v>
      </c>
      <c r="D11">
        <v>2</v>
      </c>
      <c r="E11">
        <v>4</v>
      </c>
      <c r="F11">
        <v>23</v>
      </c>
      <c r="G11">
        <v>1030</v>
      </c>
      <c r="H11">
        <v>10</v>
      </c>
    </row>
    <row r="12" spans="1:14">
      <c r="A12">
        <v>12</v>
      </c>
      <c r="B12" t="s">
        <v>18</v>
      </c>
      <c r="C12">
        <v>2</v>
      </c>
      <c r="D12">
        <v>1</v>
      </c>
      <c r="E12">
        <v>3</v>
      </c>
      <c r="F12">
        <v>7</v>
      </c>
      <c r="G12">
        <v>1005</v>
      </c>
      <c r="H12">
        <v>2</v>
      </c>
    </row>
    <row r="13" spans="1:14">
      <c r="A13">
        <v>13</v>
      </c>
      <c r="B13" s="3" t="s">
        <v>19</v>
      </c>
      <c r="C13">
        <v>3</v>
      </c>
      <c r="D13">
        <v>0</v>
      </c>
      <c r="E13">
        <v>2</v>
      </c>
      <c r="F13">
        <v>18</v>
      </c>
      <c r="G13">
        <v>1020</v>
      </c>
      <c r="H13">
        <v>7</v>
      </c>
    </row>
    <row r="14" spans="1:14">
      <c r="A14">
        <v>14</v>
      </c>
      <c r="B14" t="s">
        <v>20</v>
      </c>
      <c r="C14">
        <v>2</v>
      </c>
      <c r="D14">
        <v>1</v>
      </c>
      <c r="E14">
        <v>1</v>
      </c>
      <c r="F14">
        <v>18</v>
      </c>
      <c r="G14">
        <v>1020</v>
      </c>
      <c r="N14" s="3"/>
    </row>
    <row r="15" spans="1:14">
      <c r="A15">
        <v>15</v>
      </c>
      <c r="B15" t="s">
        <v>21</v>
      </c>
      <c r="C15">
        <v>0</v>
      </c>
      <c r="D15">
        <v>2</v>
      </c>
      <c r="E15">
        <v>1</v>
      </c>
      <c r="F15">
        <v>1</v>
      </c>
      <c r="G15">
        <f>IFERROR(VLOOKUP(F15,CHOOSE({1,2},[1]经验验证!$Q$7:$Q$89,[1]经验验证!$G$7:$G$89),2,TRUE),0)</f>
        <v>0</v>
      </c>
    </row>
    <row r="16" spans="1:14">
      <c r="A16">
        <v>16</v>
      </c>
      <c r="B16" t="s">
        <v>22</v>
      </c>
      <c r="C16">
        <v>0</v>
      </c>
      <c r="D16">
        <v>2</v>
      </c>
      <c r="E16">
        <v>2</v>
      </c>
      <c r="F16">
        <v>13</v>
      </c>
      <c r="G16">
        <v>0</v>
      </c>
      <c r="H16">
        <v>5</v>
      </c>
    </row>
    <row r="17" spans="1:14">
      <c r="A17" s="45">
        <v>17</v>
      </c>
      <c r="B17" s="45" t="s">
        <v>23</v>
      </c>
      <c r="C17" s="45">
        <v>0</v>
      </c>
      <c r="D17" s="45">
        <v>2</v>
      </c>
      <c r="E17" s="45">
        <v>4</v>
      </c>
      <c r="F17" s="45">
        <v>1</v>
      </c>
      <c r="G17" s="45">
        <f>IFERROR(VLOOKUP(F17,CHOOSE({1,2},[1]经验验证!$Q$7:$Q$89,[1]经验验证!$G$7:$G$89),2,TRUE),0)</f>
        <v>0</v>
      </c>
      <c r="H17" s="45"/>
    </row>
    <row r="18" spans="1:14">
      <c r="A18">
        <v>18</v>
      </c>
      <c r="B18" t="s">
        <v>24</v>
      </c>
      <c r="C18">
        <v>0</v>
      </c>
      <c r="D18">
        <v>0</v>
      </c>
      <c r="E18">
        <v>5</v>
      </c>
      <c r="F18">
        <v>1</v>
      </c>
      <c r="G18">
        <f>IFERROR(VLOOKUP(F18,CHOOSE({1,2},[1]经验验证!$Q$7:$Q$89,[1]经验验证!$G$7:$G$89),2,TRUE),0)</f>
        <v>0</v>
      </c>
    </row>
    <row r="19" spans="1:14">
      <c r="A19" s="45">
        <v>19</v>
      </c>
      <c r="B19" s="45" t="s">
        <v>25</v>
      </c>
      <c r="C19" s="45">
        <v>0</v>
      </c>
      <c r="D19" s="45">
        <v>2</v>
      </c>
      <c r="E19" s="45">
        <v>3</v>
      </c>
      <c r="F19" s="45">
        <v>12</v>
      </c>
      <c r="G19" s="45">
        <v>1014</v>
      </c>
      <c r="H19" s="45">
        <v>4</v>
      </c>
    </row>
    <row r="20" spans="1:14">
      <c r="A20">
        <v>20</v>
      </c>
      <c r="B20" t="s">
        <v>26</v>
      </c>
      <c r="C20">
        <v>0</v>
      </c>
      <c r="D20">
        <v>0</v>
      </c>
      <c r="E20">
        <v>1</v>
      </c>
      <c r="F20">
        <v>1</v>
      </c>
      <c r="G20">
        <f>IFERROR(VLOOKUP(F20,CHOOSE({1,2},[1]经验验证!$Q$7:$Q$89,[1]经验验证!$G$7:$G$89),2,TRUE),0)</f>
        <v>0</v>
      </c>
    </row>
    <row r="21" spans="1:14">
      <c r="A21">
        <v>21</v>
      </c>
      <c r="B21" t="s">
        <v>27</v>
      </c>
      <c r="C21">
        <v>0</v>
      </c>
      <c r="D21">
        <v>0</v>
      </c>
      <c r="E21">
        <v>2</v>
      </c>
      <c r="F21">
        <v>101</v>
      </c>
      <c r="G21">
        <f>IFERROR(VLOOKUP(F21,CHOOSE({1,2},[1]经验验证!$Q$7:$Q$89,[1]经验验证!$G$7:$G$89),2,TRUE),0)</f>
        <v>1075</v>
      </c>
    </row>
    <row r="22" spans="1:14">
      <c r="A22">
        <v>22</v>
      </c>
      <c r="B22" t="s">
        <v>28</v>
      </c>
      <c r="C22">
        <v>0</v>
      </c>
      <c r="D22">
        <v>0</v>
      </c>
      <c r="E22">
        <v>3</v>
      </c>
      <c r="F22">
        <v>1</v>
      </c>
      <c r="G22">
        <f>IFERROR(VLOOKUP(F22,CHOOSE({1,2},[1]经验验证!$Q$7:$Q$89,[1]经验验证!$G$7:$G$89),2,TRUE),0)</f>
        <v>0</v>
      </c>
    </row>
    <row r="23" spans="1:14">
      <c r="A23">
        <v>23</v>
      </c>
      <c r="B23" t="s">
        <v>29</v>
      </c>
      <c r="C23">
        <v>0</v>
      </c>
      <c r="D23">
        <v>0</v>
      </c>
      <c r="E23">
        <v>4</v>
      </c>
      <c r="F23">
        <v>20</v>
      </c>
      <c r="G23">
        <v>0</v>
      </c>
    </row>
    <row r="24" spans="1:14">
      <c r="A24">
        <v>24</v>
      </c>
      <c r="B24" t="s">
        <v>30</v>
      </c>
      <c r="C24">
        <v>0</v>
      </c>
      <c r="D24">
        <v>0</v>
      </c>
      <c r="E24">
        <v>2</v>
      </c>
      <c r="F24">
        <v>1</v>
      </c>
      <c r="G24">
        <f>IFERROR(VLOOKUP(F24,CHOOSE({1,2},[1]经验验证!$Q$7:$Q$89,[1]经验验证!$G$7:$G$89),2,TRUE),0)</f>
        <v>0</v>
      </c>
    </row>
    <row r="25" spans="1:14">
      <c r="A25">
        <v>25</v>
      </c>
      <c r="B25" t="s">
        <v>31</v>
      </c>
      <c r="C25">
        <v>0</v>
      </c>
      <c r="D25">
        <v>0</v>
      </c>
      <c r="E25">
        <v>4</v>
      </c>
      <c r="F25">
        <v>1</v>
      </c>
      <c r="G25">
        <f>IFERROR(VLOOKUP(F25,CHOOSE({1,2},[1]经验验证!$Q$7:$Q$89,[1]经验验证!$G$7:$G$89),2,TRUE),0)</f>
        <v>0</v>
      </c>
    </row>
    <row r="26" spans="1:14">
      <c r="A26">
        <v>26</v>
      </c>
      <c r="B26" t="s">
        <v>32</v>
      </c>
      <c r="C26">
        <v>0</v>
      </c>
      <c r="D26">
        <v>0</v>
      </c>
      <c r="E26">
        <v>1</v>
      </c>
      <c r="F26">
        <v>1</v>
      </c>
      <c r="G26">
        <f>IFERROR(VLOOKUP(F26,CHOOSE({1,2},[1]经验验证!$Q$7:$Q$89,[1]经验验证!$G$7:$G$89),2,TRUE),0)</f>
        <v>0</v>
      </c>
    </row>
    <row r="27" spans="1:14">
      <c r="A27">
        <v>27</v>
      </c>
      <c r="B27" s="3" t="s">
        <v>33</v>
      </c>
      <c r="C27">
        <v>0</v>
      </c>
      <c r="D27">
        <v>2</v>
      </c>
      <c r="E27">
        <v>5</v>
      </c>
      <c r="F27">
        <v>1</v>
      </c>
      <c r="G27">
        <v>0</v>
      </c>
    </row>
    <row r="28" spans="1:14">
      <c r="A28">
        <v>28</v>
      </c>
      <c r="B28" t="s">
        <v>34</v>
      </c>
      <c r="C28">
        <v>0</v>
      </c>
      <c r="D28">
        <v>0</v>
      </c>
      <c r="E28">
        <v>5</v>
      </c>
      <c r="F28">
        <v>1</v>
      </c>
      <c r="G28">
        <f>IFERROR(VLOOKUP(F28,CHOOSE({1,2},[1]经验验证!$Q$7:$Q$89,[1]经验验证!$G$7:$G$89),2,TRUE),0)</f>
        <v>0</v>
      </c>
      <c r="N28" s="3"/>
    </row>
    <row r="29" spans="1:14">
      <c r="A29">
        <v>29</v>
      </c>
      <c r="B29" t="s">
        <v>35</v>
      </c>
      <c r="C29">
        <v>0</v>
      </c>
      <c r="D29">
        <v>0</v>
      </c>
      <c r="E29">
        <v>0</v>
      </c>
      <c r="F29">
        <v>1</v>
      </c>
      <c r="G29">
        <f>IFERROR(VLOOKUP(F29,CHOOSE({1,2},[1]经验验证!$Q$7:$Q$89,[1]经验验证!$G$7:$G$89),2,TRUE),0)</f>
        <v>0</v>
      </c>
    </row>
    <row r="30" spans="1:14">
      <c r="A30">
        <v>30</v>
      </c>
      <c r="B30" s="3" t="s">
        <v>36</v>
      </c>
      <c r="C30">
        <v>0</v>
      </c>
      <c r="D30">
        <v>0</v>
      </c>
      <c r="E30">
        <v>0</v>
      </c>
      <c r="F30">
        <v>20</v>
      </c>
      <c r="G30">
        <v>0</v>
      </c>
    </row>
    <row r="31" spans="1:14">
      <c r="A31">
        <v>31</v>
      </c>
      <c r="B31" s="3" t="s">
        <v>37</v>
      </c>
      <c r="C31">
        <v>0</v>
      </c>
      <c r="D31">
        <v>0</v>
      </c>
      <c r="E31">
        <v>0</v>
      </c>
      <c r="F31">
        <v>50</v>
      </c>
      <c r="G31">
        <v>0</v>
      </c>
      <c r="N31" s="3"/>
    </row>
    <row r="32" spans="1:14">
      <c r="A32" s="45">
        <v>32</v>
      </c>
      <c r="B32" s="46" t="s">
        <v>38</v>
      </c>
      <c r="C32" s="45">
        <v>0</v>
      </c>
      <c r="D32" s="45">
        <v>2</v>
      </c>
      <c r="E32" s="45">
        <v>6</v>
      </c>
      <c r="F32" s="45">
        <v>1</v>
      </c>
      <c r="G32" s="45">
        <v>0</v>
      </c>
      <c r="H32" s="45"/>
      <c r="N32" s="3"/>
    </row>
    <row r="33" spans="1:8">
      <c r="A33">
        <v>33</v>
      </c>
      <c r="B33" s="3" t="s">
        <v>39</v>
      </c>
      <c r="C33">
        <v>0</v>
      </c>
      <c r="D33">
        <v>0</v>
      </c>
      <c r="E33">
        <v>0</v>
      </c>
      <c r="F33">
        <v>35</v>
      </c>
      <c r="G33">
        <v>1043</v>
      </c>
    </row>
    <row r="34" spans="1:8">
      <c r="A34">
        <v>34</v>
      </c>
      <c r="B34" s="3" t="s">
        <v>40</v>
      </c>
      <c r="C34">
        <v>0</v>
      </c>
      <c r="D34">
        <v>0</v>
      </c>
      <c r="E34">
        <v>0</v>
      </c>
      <c r="F34">
        <v>30</v>
      </c>
      <c r="G34">
        <v>1038</v>
      </c>
    </row>
    <row r="35" spans="1:8">
      <c r="A35">
        <v>35</v>
      </c>
      <c r="B35" s="3" t="s">
        <v>41</v>
      </c>
      <c r="C35">
        <v>3</v>
      </c>
      <c r="D35">
        <v>0</v>
      </c>
      <c r="E35">
        <v>3</v>
      </c>
      <c r="F35">
        <v>20</v>
      </c>
      <c r="G35">
        <v>1023</v>
      </c>
    </row>
    <row r="36" spans="1:8">
      <c r="A36">
        <v>36</v>
      </c>
      <c r="B36" s="3" t="s">
        <v>42</v>
      </c>
      <c r="C36">
        <v>2</v>
      </c>
      <c r="D36">
        <v>2</v>
      </c>
      <c r="E36">
        <v>1</v>
      </c>
      <c r="F36">
        <v>18</v>
      </c>
      <c r="G36">
        <v>1020</v>
      </c>
    </row>
    <row r="37" spans="1:8">
      <c r="A37">
        <v>37</v>
      </c>
      <c r="B37" s="3" t="s">
        <v>43</v>
      </c>
      <c r="C37">
        <v>0</v>
      </c>
      <c r="D37">
        <v>0</v>
      </c>
      <c r="E37">
        <v>0</v>
      </c>
      <c r="F37">
        <v>7</v>
      </c>
      <c r="G37">
        <v>1005</v>
      </c>
    </row>
    <row r="38" spans="1:8">
      <c r="A38">
        <v>38</v>
      </c>
      <c r="B38" s="3" t="s">
        <v>44</v>
      </c>
      <c r="C38">
        <v>3</v>
      </c>
      <c r="D38">
        <v>0</v>
      </c>
      <c r="E38">
        <v>1</v>
      </c>
      <c r="F38">
        <v>19</v>
      </c>
      <c r="G38">
        <v>1021</v>
      </c>
      <c r="H38">
        <v>8</v>
      </c>
    </row>
    <row r="39" spans="1:8">
      <c r="A39">
        <v>39</v>
      </c>
      <c r="B39" s="3" t="s">
        <v>45</v>
      </c>
      <c r="C39">
        <v>3</v>
      </c>
      <c r="D39">
        <v>0</v>
      </c>
      <c r="E39">
        <v>4</v>
      </c>
      <c r="F39">
        <v>1</v>
      </c>
      <c r="G39">
        <v>0</v>
      </c>
    </row>
    <row r="40" spans="1:8">
      <c r="A40">
        <v>40</v>
      </c>
      <c r="B40" s="3" t="s">
        <v>46</v>
      </c>
      <c r="C40">
        <v>3</v>
      </c>
      <c r="D40">
        <v>0</v>
      </c>
      <c r="E40">
        <v>5</v>
      </c>
      <c r="F40">
        <v>1</v>
      </c>
      <c r="G40">
        <v>0</v>
      </c>
    </row>
    <row r="41" spans="1:8">
      <c r="A41">
        <v>41</v>
      </c>
      <c r="B41" s="3" t="s">
        <v>47</v>
      </c>
      <c r="C41">
        <v>0</v>
      </c>
      <c r="D41">
        <v>0</v>
      </c>
      <c r="E41">
        <v>0</v>
      </c>
      <c r="F41">
        <v>1</v>
      </c>
      <c r="G41">
        <v>0</v>
      </c>
    </row>
    <row r="42" spans="1:8">
      <c r="A42">
        <v>42</v>
      </c>
      <c r="B42" s="3" t="s">
        <v>48</v>
      </c>
      <c r="C42">
        <v>0</v>
      </c>
      <c r="D42">
        <v>0</v>
      </c>
      <c r="E42">
        <v>0</v>
      </c>
      <c r="F42">
        <v>1</v>
      </c>
      <c r="G42">
        <v>0</v>
      </c>
    </row>
    <row r="43" spans="1:8">
      <c r="A43">
        <v>43</v>
      </c>
      <c r="B43" s="3" t="s">
        <v>49</v>
      </c>
      <c r="C43">
        <v>0</v>
      </c>
      <c r="D43">
        <v>0</v>
      </c>
      <c r="E43">
        <v>0</v>
      </c>
      <c r="F43">
        <v>20</v>
      </c>
      <c r="G43">
        <v>1023</v>
      </c>
    </row>
    <row r="44" spans="1:8">
      <c r="A44">
        <v>44</v>
      </c>
      <c r="B44" s="3" t="s">
        <v>50</v>
      </c>
      <c r="C44">
        <v>0</v>
      </c>
      <c r="D44">
        <v>0</v>
      </c>
      <c r="E44">
        <v>0</v>
      </c>
      <c r="F44" s="45">
        <v>13</v>
      </c>
      <c r="G44">
        <v>0</v>
      </c>
    </row>
    <row r="45" spans="1:8">
      <c r="A45">
        <v>45</v>
      </c>
      <c r="B45" s="3" t="s">
        <v>51</v>
      </c>
      <c r="C45">
        <v>0</v>
      </c>
      <c r="D45">
        <v>0</v>
      </c>
      <c r="E45">
        <v>0</v>
      </c>
      <c r="F45">
        <v>23</v>
      </c>
      <c r="G45">
        <v>1030</v>
      </c>
    </row>
    <row r="46" spans="1:8">
      <c r="A46">
        <v>46</v>
      </c>
      <c r="B46" s="3" t="s">
        <v>52</v>
      </c>
      <c r="C46">
        <v>0</v>
      </c>
      <c r="D46">
        <v>0</v>
      </c>
      <c r="E46">
        <v>0</v>
      </c>
      <c r="F46">
        <v>1</v>
      </c>
      <c r="G46">
        <v>0</v>
      </c>
    </row>
  </sheetData>
  <sortState ref="A2:H46">
    <sortCondition ref="A2:A46"/>
  </sortState>
  <phoneticPr fontId="13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A21" sqref="A21"/>
    </sheetView>
  </sheetViews>
  <sheetFormatPr defaultColWidth="9" defaultRowHeight="13.5"/>
  <sheetData>
    <row r="1" spans="1:2">
      <c r="A1" t="s">
        <v>53</v>
      </c>
      <c r="B1" t="s">
        <v>54</v>
      </c>
    </row>
    <row r="2" spans="1:2">
      <c r="A2">
        <v>300</v>
      </c>
      <c r="B2">
        <v>1000</v>
      </c>
    </row>
    <row r="3" spans="1:2">
      <c r="A3">
        <v>600</v>
      </c>
      <c r="B3">
        <v>500</v>
      </c>
    </row>
    <row r="4" spans="1:2">
      <c r="A4">
        <v>1000</v>
      </c>
      <c r="B4">
        <v>100</v>
      </c>
    </row>
    <row r="5" spans="1:2">
      <c r="A5">
        <v>99999</v>
      </c>
      <c r="B5">
        <v>0</v>
      </c>
    </row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G10" sqref="G10"/>
    </sheetView>
  </sheetViews>
  <sheetFormatPr defaultColWidth="9" defaultRowHeight="13.5"/>
  <cols>
    <col min="2" max="2" width="19.75" customWidth="1"/>
    <col min="3" max="3" width="5.25" customWidth="1"/>
    <col min="5" max="5" width="16.125" customWidth="1"/>
    <col min="6" max="6" width="11" customWidth="1"/>
    <col min="7" max="7" width="15.125" customWidth="1"/>
  </cols>
  <sheetData>
    <row r="1" spans="1:7">
      <c r="A1" t="s">
        <v>0</v>
      </c>
      <c r="B1" t="s">
        <v>55</v>
      </c>
      <c r="C1" t="s">
        <v>56</v>
      </c>
      <c r="D1" t="s">
        <v>57</v>
      </c>
      <c r="E1" t="s">
        <v>58</v>
      </c>
      <c r="F1" s="3" t="s">
        <v>59</v>
      </c>
      <c r="G1" s="3" t="s">
        <v>60</v>
      </c>
    </row>
    <row r="2" spans="1:7">
      <c r="A2">
        <v>0</v>
      </c>
      <c r="B2" t="s">
        <v>61</v>
      </c>
      <c r="C2" t="s">
        <v>62</v>
      </c>
      <c r="D2">
        <v>5</v>
      </c>
      <c r="E2" t="s">
        <v>63</v>
      </c>
      <c r="F2">
        <v>8000</v>
      </c>
      <c r="G2">
        <v>10693</v>
      </c>
    </row>
    <row r="3" spans="1:7">
      <c r="A3">
        <v>2</v>
      </c>
      <c r="B3" t="s">
        <v>64</v>
      </c>
      <c r="C3" t="s">
        <v>65</v>
      </c>
      <c r="D3">
        <v>4</v>
      </c>
      <c r="E3" t="s">
        <v>66</v>
      </c>
      <c r="F3">
        <v>6686</v>
      </c>
      <c r="G3">
        <v>10693</v>
      </c>
    </row>
    <row r="4" spans="1:7">
      <c r="A4">
        <v>3</v>
      </c>
      <c r="B4" t="s">
        <v>67</v>
      </c>
      <c r="C4" t="s">
        <v>68</v>
      </c>
      <c r="D4">
        <v>4</v>
      </c>
      <c r="E4" t="s">
        <v>66</v>
      </c>
      <c r="F4">
        <v>8686</v>
      </c>
      <c r="G4">
        <v>10693</v>
      </c>
    </row>
    <row r="5" spans="1:7">
      <c r="A5">
        <v>4</v>
      </c>
      <c r="B5" t="s">
        <v>69</v>
      </c>
      <c r="C5" t="s">
        <v>70</v>
      </c>
      <c r="D5">
        <v>4</v>
      </c>
      <c r="E5" t="s">
        <v>66</v>
      </c>
      <c r="F5">
        <v>10686</v>
      </c>
      <c r="G5">
        <v>10693</v>
      </c>
    </row>
    <row r="6" spans="1:7">
      <c r="A6">
        <v>5</v>
      </c>
      <c r="B6" t="s">
        <v>71</v>
      </c>
      <c r="C6" t="s">
        <v>72</v>
      </c>
      <c r="D6">
        <v>4</v>
      </c>
      <c r="E6" t="s">
        <v>66</v>
      </c>
      <c r="F6">
        <v>2686</v>
      </c>
      <c r="G6">
        <v>10693</v>
      </c>
    </row>
    <row r="7" spans="1:7">
      <c r="A7">
        <v>6</v>
      </c>
      <c r="B7" t="s">
        <v>73</v>
      </c>
      <c r="C7" t="s">
        <v>74</v>
      </c>
      <c r="D7">
        <v>4</v>
      </c>
      <c r="E7" t="s">
        <v>66</v>
      </c>
      <c r="F7">
        <v>3586</v>
      </c>
      <c r="G7">
        <v>10693</v>
      </c>
    </row>
    <row r="8" spans="1:7">
      <c r="A8">
        <v>7</v>
      </c>
      <c r="B8" s="3" t="s">
        <v>75</v>
      </c>
      <c r="C8" s="3" t="s">
        <v>76</v>
      </c>
      <c r="D8">
        <v>4</v>
      </c>
      <c r="E8" s="3" t="s">
        <v>77</v>
      </c>
      <c r="F8">
        <v>10686</v>
      </c>
      <c r="G8">
        <v>10693</v>
      </c>
    </row>
    <row r="9" spans="1:7">
      <c r="A9">
        <v>8</v>
      </c>
      <c r="B9" s="3" t="s">
        <v>78</v>
      </c>
      <c r="C9" s="3" t="s">
        <v>79</v>
      </c>
      <c r="D9">
        <v>4</v>
      </c>
      <c r="E9" t="s">
        <v>66</v>
      </c>
      <c r="F9">
        <v>10686</v>
      </c>
      <c r="G9">
        <v>10693</v>
      </c>
    </row>
    <row r="10" spans="1:7">
      <c r="A10">
        <v>9</v>
      </c>
      <c r="B10" t="s">
        <v>80</v>
      </c>
      <c r="C10" t="s">
        <v>81</v>
      </c>
      <c r="D10">
        <v>4</v>
      </c>
      <c r="E10" t="s">
        <v>82</v>
      </c>
      <c r="F10">
        <v>10686</v>
      </c>
      <c r="G10">
        <v>10686</v>
      </c>
    </row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>
      <selection activeCell="K25" sqref="K25"/>
    </sheetView>
  </sheetViews>
  <sheetFormatPr defaultColWidth="9" defaultRowHeight="13.5"/>
  <cols>
    <col min="2" max="2" width="15.25" customWidth="1"/>
  </cols>
  <sheetData>
    <row r="1" spans="1:4">
      <c r="A1" t="s">
        <v>83</v>
      </c>
      <c r="B1" t="s">
        <v>84</v>
      </c>
      <c r="C1" t="s">
        <v>85</v>
      </c>
      <c r="D1" t="s">
        <v>86</v>
      </c>
    </row>
    <row r="2" spans="1:4">
      <c r="A2">
        <v>1</v>
      </c>
      <c r="B2" s="34" t="s">
        <v>87</v>
      </c>
      <c r="C2" t="s">
        <v>88</v>
      </c>
    </row>
    <row r="3" spans="1:4">
      <c r="A3">
        <v>2</v>
      </c>
      <c r="B3" s="34" t="s">
        <v>89</v>
      </c>
      <c r="C3" t="s">
        <v>88</v>
      </c>
    </row>
    <row r="4" spans="1:4">
      <c r="A4">
        <v>3</v>
      </c>
      <c r="B4" s="34" t="s">
        <v>90</v>
      </c>
      <c r="C4" t="s">
        <v>88</v>
      </c>
    </row>
    <row r="5" spans="1:4">
      <c r="A5">
        <v>6</v>
      </c>
      <c r="B5" s="34" t="s">
        <v>91</v>
      </c>
      <c r="C5" t="s">
        <v>88</v>
      </c>
    </row>
    <row r="6" spans="1:4">
      <c r="A6">
        <v>7</v>
      </c>
      <c r="B6" s="34" t="s">
        <v>92</v>
      </c>
      <c r="C6" t="s">
        <v>88</v>
      </c>
    </row>
    <row r="7" spans="1:4">
      <c r="A7">
        <v>8</v>
      </c>
      <c r="B7" s="34" t="s">
        <v>93</v>
      </c>
      <c r="C7" t="s">
        <v>88</v>
      </c>
    </row>
    <row r="8" spans="1:4">
      <c r="A8">
        <v>9</v>
      </c>
      <c r="B8" s="34" t="s">
        <v>94</v>
      </c>
      <c r="C8" t="s">
        <v>88</v>
      </c>
    </row>
    <row r="9" spans="1:4">
      <c r="A9">
        <v>10</v>
      </c>
      <c r="B9" s="34" t="s">
        <v>95</v>
      </c>
      <c r="C9" t="s">
        <v>88</v>
      </c>
      <c r="D9" t="s">
        <v>96</v>
      </c>
    </row>
    <row r="10" spans="1:4">
      <c r="A10">
        <v>21</v>
      </c>
      <c r="B10" s="34" t="s">
        <v>97</v>
      </c>
      <c r="C10" t="s">
        <v>88</v>
      </c>
      <c r="D10" t="s">
        <v>96</v>
      </c>
    </row>
    <row r="11" spans="1:4">
      <c r="A11">
        <v>22</v>
      </c>
      <c r="B11" s="34" t="s">
        <v>98</v>
      </c>
      <c r="C11" t="s">
        <v>88</v>
      </c>
      <c r="D11" t="s">
        <v>96</v>
      </c>
    </row>
    <row r="12" spans="1:4">
      <c r="A12">
        <v>23</v>
      </c>
      <c r="B12" s="34" t="s">
        <v>99</v>
      </c>
      <c r="C12" t="s">
        <v>88</v>
      </c>
      <c r="D12" t="s">
        <v>96</v>
      </c>
    </row>
    <row r="13" spans="1:4">
      <c r="A13">
        <v>24</v>
      </c>
      <c r="B13" s="34" t="s">
        <v>100</v>
      </c>
      <c r="C13" t="s">
        <v>88</v>
      </c>
      <c r="D13" t="s">
        <v>96</v>
      </c>
    </row>
    <row r="14" spans="1:4">
      <c r="A14">
        <v>25</v>
      </c>
      <c r="B14" s="34" t="s">
        <v>101</v>
      </c>
      <c r="C14" t="s">
        <v>88</v>
      </c>
      <c r="D14" t="s">
        <v>96</v>
      </c>
    </row>
    <row r="15" spans="1:4">
      <c r="B15" s="34"/>
    </row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topLeftCell="A12" workbookViewId="0">
      <selection activeCell="C12" sqref="C12"/>
    </sheetView>
  </sheetViews>
  <sheetFormatPr defaultColWidth="9" defaultRowHeight="13.5"/>
  <cols>
    <col min="1" max="1" width="3.5" customWidth="1"/>
    <col min="3" max="3" width="44.5" customWidth="1"/>
  </cols>
  <sheetData>
    <row r="1" spans="1:3">
      <c r="A1" t="s">
        <v>102</v>
      </c>
      <c r="B1" s="28" t="s">
        <v>103</v>
      </c>
      <c r="C1" t="s">
        <v>104</v>
      </c>
    </row>
    <row r="2" spans="1:3" ht="108">
      <c r="A2">
        <v>1</v>
      </c>
      <c r="B2" s="28" t="s">
        <v>105</v>
      </c>
      <c r="C2" s="42" t="s">
        <v>106</v>
      </c>
    </row>
    <row r="3" spans="1:3" ht="202.5">
      <c r="A3">
        <v>2</v>
      </c>
      <c r="B3" s="29" t="s">
        <v>107</v>
      </c>
      <c r="C3" s="42" t="s">
        <v>108</v>
      </c>
    </row>
    <row r="4" spans="1:3" ht="229.5">
      <c r="A4">
        <v>3</v>
      </c>
      <c r="B4" s="29" t="s">
        <v>109</v>
      </c>
      <c r="C4" s="42" t="s">
        <v>110</v>
      </c>
    </row>
    <row r="5" spans="1:3" ht="351">
      <c r="A5">
        <v>4</v>
      </c>
      <c r="B5" s="29" t="s">
        <v>111</v>
      </c>
      <c r="C5" s="42" t="s">
        <v>112</v>
      </c>
    </row>
    <row r="6" spans="1:3" ht="162">
      <c r="A6">
        <v>5</v>
      </c>
      <c r="B6" s="29" t="s">
        <v>113</v>
      </c>
      <c r="C6" s="42" t="s">
        <v>114</v>
      </c>
    </row>
    <row r="7" spans="1:3" ht="108">
      <c r="A7">
        <v>6</v>
      </c>
      <c r="B7" s="29" t="s">
        <v>115</v>
      </c>
      <c r="C7" s="44" t="s">
        <v>116</v>
      </c>
    </row>
    <row r="8" spans="1:3" ht="94.5">
      <c r="A8">
        <v>7</v>
      </c>
      <c r="B8" s="29" t="s">
        <v>117</v>
      </c>
      <c r="C8" s="44" t="s">
        <v>118</v>
      </c>
    </row>
    <row r="9" spans="1:3" ht="108">
      <c r="A9">
        <v>8</v>
      </c>
      <c r="B9" s="29" t="s">
        <v>119</v>
      </c>
      <c r="C9" s="44" t="s">
        <v>120</v>
      </c>
    </row>
    <row r="10" spans="1:3" ht="202.5">
      <c r="A10">
        <v>9</v>
      </c>
      <c r="B10" s="29" t="s">
        <v>121</v>
      </c>
      <c r="C10" s="42" t="s">
        <v>122</v>
      </c>
    </row>
    <row r="11" spans="1:3" ht="175.5">
      <c r="A11">
        <v>10</v>
      </c>
      <c r="B11" s="29" t="s">
        <v>123</v>
      </c>
      <c r="C11" s="42" t="s">
        <v>124</v>
      </c>
    </row>
    <row r="12" spans="1:3" ht="297">
      <c r="A12">
        <v>11</v>
      </c>
      <c r="B12" s="29" t="s">
        <v>41</v>
      </c>
      <c r="C12" s="42" t="s">
        <v>125</v>
      </c>
    </row>
    <row r="13" spans="1:3" ht="135">
      <c r="A13">
        <v>12</v>
      </c>
      <c r="B13" s="29" t="s">
        <v>25</v>
      </c>
      <c r="C13" s="42" t="s">
        <v>126</v>
      </c>
    </row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workbookViewId="0">
      <selection activeCell="E19" sqref="E19"/>
    </sheetView>
  </sheetViews>
  <sheetFormatPr defaultColWidth="9" defaultRowHeight="13.5"/>
  <cols>
    <col min="2" max="2" width="18.375" customWidth="1"/>
  </cols>
  <sheetData>
    <row r="1" spans="1:2">
      <c r="A1" t="s">
        <v>127</v>
      </c>
      <c r="B1" t="s">
        <v>128</v>
      </c>
    </row>
    <row r="2" spans="1:2">
      <c r="A2">
        <v>1</v>
      </c>
    </row>
    <row r="3" spans="1:2">
      <c r="A3">
        <v>2</v>
      </c>
      <c r="B3" t="s">
        <v>129</v>
      </c>
    </row>
    <row r="4" spans="1:2">
      <c r="A4">
        <v>3</v>
      </c>
      <c r="B4" t="s">
        <v>130</v>
      </c>
    </row>
    <row r="5" spans="1:2">
      <c r="A5">
        <v>4</v>
      </c>
    </row>
    <row r="6" spans="1:2">
      <c r="A6">
        <v>5</v>
      </c>
    </row>
    <row r="7" spans="1:2">
      <c r="A7">
        <v>6</v>
      </c>
    </row>
    <row r="8" spans="1:2">
      <c r="A8">
        <v>7</v>
      </c>
    </row>
    <row r="9" spans="1:2">
      <c r="A9">
        <v>8</v>
      </c>
    </row>
    <row r="10" spans="1:2">
      <c r="A10">
        <v>9</v>
      </c>
    </row>
    <row r="11" spans="1:2">
      <c r="A11">
        <v>10</v>
      </c>
    </row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07"/>
  <sheetViews>
    <sheetView topLeftCell="A472" workbookViewId="0">
      <selection activeCell="B507" sqref="B507"/>
    </sheetView>
  </sheetViews>
  <sheetFormatPr defaultColWidth="9" defaultRowHeight="13.5"/>
  <cols>
    <col min="1" max="1" width="10.625" customWidth="1"/>
    <col min="2" max="2" width="75.375" customWidth="1"/>
  </cols>
  <sheetData>
    <row r="1" spans="1:2" ht="14.25">
      <c r="A1" s="31" t="s">
        <v>131</v>
      </c>
      <c r="B1" s="31" t="s">
        <v>132</v>
      </c>
    </row>
    <row r="2" spans="1:2">
      <c r="A2" s="32">
        <v>1</v>
      </c>
      <c r="B2" s="32" t="s">
        <v>133</v>
      </c>
    </row>
    <row r="3" spans="1:2">
      <c r="A3" s="32">
        <v>2</v>
      </c>
      <c r="B3" s="33" t="s">
        <v>134</v>
      </c>
    </row>
    <row r="4" spans="1:2">
      <c r="A4" s="32">
        <v>3</v>
      </c>
      <c r="B4" s="32" t="s">
        <v>135</v>
      </c>
    </row>
    <row r="5" spans="1:2">
      <c r="A5" s="32">
        <v>4</v>
      </c>
      <c r="B5" s="32" t="s">
        <v>136</v>
      </c>
    </row>
    <row r="6" spans="1:2">
      <c r="A6" s="32">
        <v>5</v>
      </c>
      <c r="B6" s="32" t="s">
        <v>137</v>
      </c>
    </row>
    <row r="7" spans="1:2">
      <c r="A7" s="32">
        <v>6</v>
      </c>
      <c r="B7" s="32" t="s">
        <v>138</v>
      </c>
    </row>
    <row r="8" spans="1:2">
      <c r="A8" s="32">
        <v>7</v>
      </c>
      <c r="B8" s="34" t="s">
        <v>139</v>
      </c>
    </row>
    <row r="9" spans="1:2">
      <c r="A9" s="32">
        <v>8</v>
      </c>
      <c r="B9" s="32" t="s">
        <v>140</v>
      </c>
    </row>
    <row r="10" spans="1:2">
      <c r="A10" s="32">
        <v>9</v>
      </c>
      <c r="B10" s="32" t="s">
        <v>141</v>
      </c>
    </row>
    <row r="11" spans="1:2">
      <c r="A11" s="32">
        <v>10</v>
      </c>
      <c r="B11" s="32" t="s">
        <v>142</v>
      </c>
    </row>
    <row r="12" spans="1:2">
      <c r="A12" s="32">
        <v>11</v>
      </c>
      <c r="B12" s="32" t="s">
        <v>143</v>
      </c>
    </row>
    <row r="13" spans="1:2">
      <c r="A13" s="32">
        <v>12</v>
      </c>
      <c r="B13" s="32" t="s">
        <v>144</v>
      </c>
    </row>
    <row r="14" spans="1:2">
      <c r="A14" s="32">
        <v>13</v>
      </c>
      <c r="B14" s="32" t="s">
        <v>145</v>
      </c>
    </row>
    <row r="15" spans="1:2">
      <c r="A15" s="32">
        <v>14</v>
      </c>
      <c r="B15" s="32" t="s">
        <v>146</v>
      </c>
    </row>
    <row r="16" spans="1:2">
      <c r="A16" s="32">
        <v>15</v>
      </c>
      <c r="B16" s="34" t="s">
        <v>147</v>
      </c>
    </row>
    <row r="17" spans="1:2">
      <c r="A17" s="32">
        <v>16</v>
      </c>
      <c r="B17" s="32" t="s">
        <v>148</v>
      </c>
    </row>
    <row r="18" spans="1:2">
      <c r="A18" s="32">
        <v>17</v>
      </c>
      <c r="B18" s="34" t="s">
        <v>149</v>
      </c>
    </row>
    <row r="19" spans="1:2">
      <c r="A19" s="32">
        <v>18</v>
      </c>
      <c r="B19" s="34" t="s">
        <v>150</v>
      </c>
    </row>
    <row r="20" spans="1:2">
      <c r="A20" s="35">
        <v>19</v>
      </c>
      <c r="B20" s="36" t="s">
        <v>151</v>
      </c>
    </row>
    <row r="21" spans="1:2">
      <c r="A21" s="35">
        <v>20</v>
      </c>
      <c r="B21" s="36" t="s">
        <v>152</v>
      </c>
    </row>
    <row r="22" spans="1:2">
      <c r="A22" s="35">
        <v>21</v>
      </c>
      <c r="B22" s="36" t="s">
        <v>153</v>
      </c>
    </row>
    <row r="23" spans="1:2">
      <c r="A23" s="35">
        <v>22</v>
      </c>
      <c r="B23" s="36" t="s">
        <v>154</v>
      </c>
    </row>
    <row r="24" spans="1:2">
      <c r="A24" s="35">
        <v>23</v>
      </c>
      <c r="B24" s="36" t="s">
        <v>155</v>
      </c>
    </row>
    <row r="25" spans="1:2">
      <c r="A25" s="35">
        <v>24</v>
      </c>
      <c r="B25" s="36" t="s">
        <v>156</v>
      </c>
    </row>
    <row r="26" spans="1:2">
      <c r="A26" s="35">
        <v>25</v>
      </c>
      <c r="B26" s="33" t="s">
        <v>157</v>
      </c>
    </row>
    <row r="27" spans="1:2">
      <c r="A27" s="35">
        <v>26</v>
      </c>
      <c r="B27" s="33" t="s">
        <v>158</v>
      </c>
    </row>
    <row r="28" spans="1:2">
      <c r="A28" s="35">
        <v>27</v>
      </c>
      <c r="B28" s="33" t="s">
        <v>159</v>
      </c>
    </row>
    <row r="29" spans="1:2">
      <c r="A29" s="35">
        <v>28</v>
      </c>
      <c r="B29" s="33" t="s">
        <v>160</v>
      </c>
    </row>
    <row r="30" spans="1:2">
      <c r="A30" s="35">
        <v>29</v>
      </c>
      <c r="B30" s="33" t="s">
        <v>161</v>
      </c>
    </row>
    <row r="31" spans="1:2">
      <c r="A31" s="35">
        <v>30</v>
      </c>
      <c r="B31" s="33" t="s">
        <v>162</v>
      </c>
    </row>
    <row r="32" spans="1:2">
      <c r="A32" s="35">
        <v>31</v>
      </c>
      <c r="B32" s="33" t="s">
        <v>163</v>
      </c>
    </row>
    <row r="33" spans="1:2">
      <c r="A33" s="35">
        <v>32</v>
      </c>
      <c r="B33" s="33" t="s">
        <v>164</v>
      </c>
    </row>
    <row r="34" spans="1:2">
      <c r="A34" s="35">
        <v>33</v>
      </c>
      <c r="B34" s="33" t="s">
        <v>165</v>
      </c>
    </row>
    <row r="35" spans="1:2">
      <c r="A35" s="35">
        <v>34</v>
      </c>
      <c r="B35" s="33" t="s">
        <v>166</v>
      </c>
    </row>
    <row r="36" spans="1:2">
      <c r="A36" s="35">
        <v>35</v>
      </c>
      <c r="B36" s="33" t="s">
        <v>167</v>
      </c>
    </row>
    <row r="37" spans="1:2">
      <c r="A37" s="35">
        <v>36</v>
      </c>
      <c r="B37" s="33" t="s">
        <v>168</v>
      </c>
    </row>
    <row r="38" spans="1:2">
      <c r="A38" s="35">
        <v>37</v>
      </c>
      <c r="B38" s="33" t="s">
        <v>169</v>
      </c>
    </row>
    <row r="39" spans="1:2">
      <c r="A39" s="35">
        <v>38</v>
      </c>
      <c r="B39" s="33" t="s">
        <v>170</v>
      </c>
    </row>
    <row r="40" spans="1:2">
      <c r="A40" s="35">
        <v>39</v>
      </c>
      <c r="B40" s="33" t="s">
        <v>171</v>
      </c>
    </row>
    <row r="41" spans="1:2">
      <c r="A41" s="35">
        <v>40</v>
      </c>
      <c r="B41" s="33" t="s">
        <v>172</v>
      </c>
    </row>
    <row r="42" spans="1:2">
      <c r="A42" s="35">
        <v>41</v>
      </c>
      <c r="B42" s="33" t="s">
        <v>173</v>
      </c>
    </row>
    <row r="43" spans="1:2">
      <c r="A43" s="35">
        <v>42</v>
      </c>
      <c r="B43" s="33" t="s">
        <v>174</v>
      </c>
    </row>
    <row r="44" spans="1:2">
      <c r="A44" s="35">
        <v>43</v>
      </c>
      <c r="B44" s="33" t="s">
        <v>175</v>
      </c>
    </row>
    <row r="45" spans="1:2">
      <c r="A45" s="35">
        <v>44</v>
      </c>
      <c r="B45" s="33" t="s">
        <v>176</v>
      </c>
    </row>
    <row r="46" spans="1:2">
      <c r="A46" s="37">
        <v>45</v>
      </c>
      <c r="B46" s="33" t="s">
        <v>177</v>
      </c>
    </row>
    <row r="47" spans="1:2">
      <c r="A47" s="37">
        <v>46</v>
      </c>
      <c r="B47" s="33" t="s">
        <v>178</v>
      </c>
    </row>
    <row r="48" spans="1:2">
      <c r="A48" s="37">
        <v>47</v>
      </c>
      <c r="B48" s="33" t="s">
        <v>179</v>
      </c>
    </row>
    <row r="49" spans="1:2">
      <c r="A49" s="37">
        <v>48</v>
      </c>
      <c r="B49" s="33" t="s">
        <v>180</v>
      </c>
    </row>
    <row r="50" spans="1:2">
      <c r="A50" s="37">
        <v>49</v>
      </c>
      <c r="B50" s="33" t="s">
        <v>159</v>
      </c>
    </row>
    <row r="51" spans="1:2">
      <c r="A51" s="37">
        <v>50</v>
      </c>
      <c r="B51" s="33" t="s">
        <v>181</v>
      </c>
    </row>
    <row r="52" spans="1:2">
      <c r="A52" s="37">
        <v>51</v>
      </c>
      <c r="B52" s="33" t="s">
        <v>182</v>
      </c>
    </row>
    <row r="53" spans="1:2">
      <c r="A53" s="37">
        <v>52</v>
      </c>
      <c r="B53" s="37" t="s">
        <v>183</v>
      </c>
    </row>
    <row r="54" spans="1:2">
      <c r="A54" s="37">
        <v>53</v>
      </c>
      <c r="B54" s="37" t="s">
        <v>184</v>
      </c>
    </row>
    <row r="55" spans="1:2">
      <c r="A55" s="37">
        <v>54</v>
      </c>
      <c r="B55" s="37" t="s">
        <v>185</v>
      </c>
    </row>
    <row r="56" spans="1:2">
      <c r="A56" s="37">
        <v>55</v>
      </c>
      <c r="B56" s="33" t="s">
        <v>186</v>
      </c>
    </row>
    <row r="57" spans="1:2">
      <c r="A57" s="37">
        <v>56</v>
      </c>
      <c r="B57" s="37" t="s">
        <v>187</v>
      </c>
    </row>
    <row r="58" spans="1:2">
      <c r="A58" s="37">
        <v>57</v>
      </c>
      <c r="B58" s="37" t="s">
        <v>188</v>
      </c>
    </row>
    <row r="59" spans="1:2">
      <c r="A59" s="37">
        <v>58</v>
      </c>
      <c r="B59" s="37" t="s">
        <v>189</v>
      </c>
    </row>
    <row r="60" spans="1:2">
      <c r="A60" s="37">
        <v>59</v>
      </c>
      <c r="B60" s="37" t="s">
        <v>190</v>
      </c>
    </row>
    <row r="61" spans="1:2">
      <c r="A61" s="37">
        <v>60</v>
      </c>
      <c r="B61" s="33" t="s">
        <v>191</v>
      </c>
    </row>
    <row r="62" spans="1:2">
      <c r="A62" s="37">
        <v>61</v>
      </c>
      <c r="B62" s="33" t="s">
        <v>192</v>
      </c>
    </row>
    <row r="63" spans="1:2">
      <c r="A63" s="37">
        <v>62</v>
      </c>
      <c r="B63" s="33" t="s">
        <v>193</v>
      </c>
    </row>
    <row r="64" spans="1:2">
      <c r="A64" s="37">
        <v>63</v>
      </c>
      <c r="B64" s="33" t="s">
        <v>194</v>
      </c>
    </row>
    <row r="65" spans="1:2">
      <c r="A65" s="37">
        <v>64</v>
      </c>
      <c r="B65" s="33" t="s">
        <v>195</v>
      </c>
    </row>
    <row r="66" spans="1:2">
      <c r="A66" s="37">
        <v>65</v>
      </c>
      <c r="B66" s="33" t="s">
        <v>196</v>
      </c>
    </row>
    <row r="67" spans="1:2">
      <c r="A67" s="37">
        <v>66</v>
      </c>
      <c r="B67" s="33" t="s">
        <v>197</v>
      </c>
    </row>
    <row r="68" spans="1:2">
      <c r="A68" s="37">
        <v>67</v>
      </c>
      <c r="B68" s="33" t="s">
        <v>198</v>
      </c>
    </row>
    <row r="69" spans="1:2">
      <c r="A69" s="37">
        <v>68</v>
      </c>
      <c r="B69" s="33" t="s">
        <v>199</v>
      </c>
    </row>
    <row r="70" spans="1:2">
      <c r="A70" s="37">
        <v>69</v>
      </c>
      <c r="B70" s="33" t="s">
        <v>200</v>
      </c>
    </row>
    <row r="71" spans="1:2">
      <c r="A71" s="37">
        <v>70</v>
      </c>
      <c r="B71" s="37" t="s">
        <v>201</v>
      </c>
    </row>
    <row r="72" spans="1:2">
      <c r="A72" s="37">
        <v>71</v>
      </c>
      <c r="B72" s="37" t="s">
        <v>202</v>
      </c>
    </row>
    <row r="73" spans="1:2">
      <c r="A73" s="37">
        <v>72</v>
      </c>
      <c r="B73" s="37" t="s">
        <v>203</v>
      </c>
    </row>
    <row r="74" spans="1:2">
      <c r="A74" s="37">
        <v>73</v>
      </c>
      <c r="B74" s="37" t="s">
        <v>204</v>
      </c>
    </row>
    <row r="75" spans="1:2">
      <c r="A75" s="37">
        <v>74</v>
      </c>
      <c r="B75" s="37" t="s">
        <v>205</v>
      </c>
    </row>
    <row r="76" spans="1:2">
      <c r="A76" s="37">
        <v>75</v>
      </c>
      <c r="B76" s="37" t="s">
        <v>28</v>
      </c>
    </row>
    <row r="77" spans="1:2">
      <c r="A77" s="37">
        <v>76</v>
      </c>
      <c r="B77" s="37" t="s">
        <v>27</v>
      </c>
    </row>
    <row r="78" spans="1:2">
      <c r="A78" s="37">
        <v>77</v>
      </c>
      <c r="B78" s="33" t="s">
        <v>206</v>
      </c>
    </row>
    <row r="79" spans="1:2">
      <c r="A79" s="37">
        <v>78</v>
      </c>
      <c r="B79" s="33" t="s">
        <v>207</v>
      </c>
    </row>
    <row r="80" spans="1:2">
      <c r="A80" s="37">
        <v>79</v>
      </c>
      <c r="B80" s="33" t="s">
        <v>208</v>
      </c>
    </row>
    <row r="81" spans="1:2">
      <c r="A81" s="37">
        <v>80</v>
      </c>
      <c r="B81" s="37" t="s">
        <v>209</v>
      </c>
    </row>
    <row r="82" spans="1:2">
      <c r="A82" s="37">
        <v>81</v>
      </c>
      <c r="B82" s="33" t="s">
        <v>210</v>
      </c>
    </row>
    <row r="83" spans="1:2">
      <c r="A83" s="37">
        <v>82</v>
      </c>
      <c r="B83" s="33" t="s">
        <v>211</v>
      </c>
    </row>
    <row r="84" spans="1:2">
      <c r="A84" s="37">
        <v>83</v>
      </c>
      <c r="B84" s="33" t="s">
        <v>212</v>
      </c>
    </row>
    <row r="85" spans="1:2">
      <c r="A85" s="37">
        <v>84</v>
      </c>
      <c r="B85" s="33" t="s">
        <v>213</v>
      </c>
    </row>
    <row r="86" spans="1:2">
      <c r="A86" s="37">
        <v>85</v>
      </c>
      <c r="B86" s="33" t="s">
        <v>214</v>
      </c>
    </row>
    <row r="87" spans="1:2">
      <c r="A87" s="37">
        <v>86</v>
      </c>
      <c r="B87" s="33" t="s">
        <v>215</v>
      </c>
    </row>
    <row r="88" spans="1:2">
      <c r="A88" s="37">
        <v>87</v>
      </c>
      <c r="B88" s="33" t="s">
        <v>216</v>
      </c>
    </row>
    <row r="89" spans="1:2">
      <c r="A89" s="37">
        <v>88</v>
      </c>
      <c r="B89" s="33" t="s">
        <v>217</v>
      </c>
    </row>
    <row r="90" spans="1:2">
      <c r="A90" s="37">
        <v>89</v>
      </c>
      <c r="B90" s="33" t="s">
        <v>218</v>
      </c>
    </row>
    <row r="91" spans="1:2">
      <c r="A91" s="37">
        <v>90</v>
      </c>
      <c r="B91" s="33" t="s">
        <v>219</v>
      </c>
    </row>
    <row r="92" spans="1:2">
      <c r="A92" s="37">
        <v>91</v>
      </c>
      <c r="B92" s="33" t="s">
        <v>220</v>
      </c>
    </row>
    <row r="93" spans="1:2">
      <c r="A93" s="37">
        <v>92</v>
      </c>
      <c r="B93" s="33" t="s">
        <v>221</v>
      </c>
    </row>
    <row r="94" spans="1:2">
      <c r="A94" s="37">
        <v>93</v>
      </c>
      <c r="B94" s="33" t="s">
        <v>222</v>
      </c>
    </row>
    <row r="95" spans="1:2">
      <c r="A95" s="37">
        <v>94</v>
      </c>
      <c r="B95" s="33" t="s">
        <v>223</v>
      </c>
    </row>
    <row r="96" spans="1:2">
      <c r="A96" s="37">
        <v>95</v>
      </c>
      <c r="B96" s="33" t="s">
        <v>224</v>
      </c>
    </row>
    <row r="97" spans="1:2">
      <c r="A97" s="37">
        <v>96</v>
      </c>
      <c r="B97" s="33" t="s">
        <v>225</v>
      </c>
    </row>
    <row r="98" spans="1:2">
      <c r="A98" s="37">
        <v>97</v>
      </c>
      <c r="B98" s="33" t="s">
        <v>226</v>
      </c>
    </row>
    <row r="99" spans="1:2">
      <c r="A99" s="37">
        <v>98</v>
      </c>
      <c r="B99" s="33" t="s">
        <v>227</v>
      </c>
    </row>
    <row r="100" spans="1:2">
      <c r="A100" s="37">
        <v>99</v>
      </c>
      <c r="B100" s="33" t="s">
        <v>228</v>
      </c>
    </row>
    <row r="101" spans="1:2">
      <c r="A101" s="37">
        <v>100</v>
      </c>
      <c r="B101" s="33" t="s">
        <v>229</v>
      </c>
    </row>
    <row r="102" spans="1:2">
      <c r="A102" s="37">
        <v>101</v>
      </c>
      <c r="B102" s="33" t="s">
        <v>230</v>
      </c>
    </row>
    <row r="103" spans="1:2">
      <c r="A103" s="37">
        <v>102</v>
      </c>
      <c r="B103" s="37" t="s">
        <v>231</v>
      </c>
    </row>
    <row r="104" spans="1:2">
      <c r="A104" s="37">
        <v>103</v>
      </c>
      <c r="B104" s="37" t="s">
        <v>232</v>
      </c>
    </row>
    <row r="105" spans="1:2">
      <c r="A105" s="37">
        <v>104</v>
      </c>
      <c r="B105" s="37" t="s">
        <v>233</v>
      </c>
    </row>
    <row r="106" spans="1:2">
      <c r="A106" s="37">
        <v>105</v>
      </c>
      <c r="B106" s="37" t="s">
        <v>234</v>
      </c>
    </row>
    <row r="107" spans="1:2">
      <c r="A107" s="37">
        <v>106</v>
      </c>
      <c r="B107" s="37" t="s">
        <v>235</v>
      </c>
    </row>
    <row r="108" spans="1:2">
      <c r="A108" s="37">
        <v>107</v>
      </c>
      <c r="B108" s="37" t="s">
        <v>236</v>
      </c>
    </row>
    <row r="109" spans="1:2">
      <c r="A109" s="37">
        <v>108</v>
      </c>
      <c r="B109" s="37" t="s">
        <v>237</v>
      </c>
    </row>
    <row r="110" spans="1:2">
      <c r="A110" s="37">
        <v>109</v>
      </c>
      <c r="B110" s="33" t="s">
        <v>238</v>
      </c>
    </row>
    <row r="111" spans="1:2">
      <c r="A111" s="37">
        <v>110</v>
      </c>
      <c r="B111" s="33" t="s">
        <v>239</v>
      </c>
    </row>
    <row r="112" spans="1:2">
      <c r="A112" s="37">
        <v>111</v>
      </c>
      <c r="B112" s="33" t="s">
        <v>240</v>
      </c>
    </row>
    <row r="113" spans="1:2">
      <c r="A113" s="37">
        <v>112</v>
      </c>
      <c r="B113" s="37" t="s">
        <v>241</v>
      </c>
    </row>
    <row r="114" spans="1:2">
      <c r="A114" s="37">
        <v>113</v>
      </c>
      <c r="B114" s="33" t="s">
        <v>242</v>
      </c>
    </row>
    <row r="115" spans="1:2">
      <c r="A115" s="37">
        <v>114</v>
      </c>
      <c r="B115" s="33" t="s">
        <v>243</v>
      </c>
    </row>
    <row r="116" spans="1:2">
      <c r="A116" s="37">
        <v>115</v>
      </c>
      <c r="B116" s="33" t="s">
        <v>244</v>
      </c>
    </row>
    <row r="117" spans="1:2">
      <c r="A117" s="37">
        <v>116</v>
      </c>
      <c r="B117" s="33" t="s">
        <v>245</v>
      </c>
    </row>
    <row r="118" spans="1:2">
      <c r="A118" s="37">
        <v>117</v>
      </c>
      <c r="B118" s="33" t="s">
        <v>246</v>
      </c>
    </row>
    <row r="119" spans="1:2">
      <c r="A119" s="37">
        <v>118</v>
      </c>
      <c r="B119" s="33" t="s">
        <v>247</v>
      </c>
    </row>
    <row r="120" spans="1:2">
      <c r="A120" s="37">
        <v>119</v>
      </c>
      <c r="B120" s="33" t="s">
        <v>248</v>
      </c>
    </row>
    <row r="121" spans="1:2">
      <c r="A121" s="37">
        <v>120</v>
      </c>
      <c r="B121" s="33" t="s">
        <v>249</v>
      </c>
    </row>
    <row r="122" spans="1:2">
      <c r="A122" s="37">
        <v>121</v>
      </c>
      <c r="B122" s="33" t="s">
        <v>250</v>
      </c>
    </row>
    <row r="123" spans="1:2">
      <c r="A123" s="37">
        <v>122</v>
      </c>
      <c r="B123" s="33" t="s">
        <v>251</v>
      </c>
    </row>
    <row r="124" spans="1:2">
      <c r="A124" s="37">
        <v>123</v>
      </c>
      <c r="B124" s="33" t="s">
        <v>252</v>
      </c>
    </row>
    <row r="125" spans="1:2">
      <c r="A125" s="37">
        <v>124</v>
      </c>
      <c r="B125" s="33" t="s">
        <v>253</v>
      </c>
    </row>
    <row r="126" spans="1:2">
      <c r="A126" s="37">
        <v>125</v>
      </c>
      <c r="B126" s="33" t="s">
        <v>254</v>
      </c>
    </row>
    <row r="127" spans="1:2">
      <c r="A127" s="37">
        <v>126</v>
      </c>
      <c r="B127" s="33" t="s">
        <v>255</v>
      </c>
    </row>
    <row r="128" spans="1:2">
      <c r="A128" s="37">
        <v>127</v>
      </c>
      <c r="B128" s="33" t="s">
        <v>256</v>
      </c>
    </row>
    <row r="129" spans="1:2">
      <c r="A129" s="37">
        <v>128</v>
      </c>
      <c r="B129" s="33" t="s">
        <v>257</v>
      </c>
    </row>
    <row r="130" spans="1:2">
      <c r="A130" s="37">
        <v>129</v>
      </c>
      <c r="B130" s="33" t="s">
        <v>258</v>
      </c>
    </row>
    <row r="131" spans="1:2">
      <c r="A131" s="37">
        <v>130</v>
      </c>
      <c r="B131" s="33" t="s">
        <v>259</v>
      </c>
    </row>
    <row r="132" spans="1:2">
      <c r="A132" s="37">
        <v>131</v>
      </c>
      <c r="B132" s="33" t="s">
        <v>260</v>
      </c>
    </row>
    <row r="133" spans="1:2">
      <c r="A133" s="37">
        <v>132</v>
      </c>
      <c r="B133" s="33" t="s">
        <v>261</v>
      </c>
    </row>
    <row r="134" spans="1:2">
      <c r="A134" s="37">
        <v>133</v>
      </c>
      <c r="B134" s="33" t="s">
        <v>262</v>
      </c>
    </row>
    <row r="135" spans="1:2">
      <c r="A135" s="37">
        <v>134</v>
      </c>
      <c r="B135" s="33" t="s">
        <v>263</v>
      </c>
    </row>
    <row r="136" spans="1:2">
      <c r="A136" s="37">
        <v>135</v>
      </c>
      <c r="B136" s="38" t="s">
        <v>264</v>
      </c>
    </row>
    <row r="137" spans="1:2">
      <c r="A137" s="37">
        <v>136</v>
      </c>
      <c r="B137" s="37" t="s">
        <v>265</v>
      </c>
    </row>
    <row r="138" spans="1:2">
      <c r="A138" s="37">
        <v>137</v>
      </c>
      <c r="B138" s="33" t="s">
        <v>266</v>
      </c>
    </row>
    <row r="139" spans="1:2">
      <c r="A139" s="37">
        <v>138</v>
      </c>
      <c r="B139" s="33" t="s">
        <v>267</v>
      </c>
    </row>
    <row r="140" spans="1:2">
      <c r="A140" s="37">
        <v>139</v>
      </c>
      <c r="B140" s="33" t="s">
        <v>150</v>
      </c>
    </row>
    <row r="141" spans="1:2">
      <c r="A141" s="37">
        <v>140</v>
      </c>
      <c r="B141" s="33" t="s">
        <v>268</v>
      </c>
    </row>
    <row r="142" spans="1:2">
      <c r="A142" s="37">
        <v>141</v>
      </c>
      <c r="B142" s="33" t="s">
        <v>269</v>
      </c>
    </row>
    <row r="143" spans="1:2">
      <c r="A143" s="37">
        <v>142</v>
      </c>
      <c r="B143" s="37" t="s">
        <v>270</v>
      </c>
    </row>
    <row r="144" spans="1:2">
      <c r="A144" s="37">
        <v>143</v>
      </c>
      <c r="B144" s="33" t="s">
        <v>271</v>
      </c>
    </row>
    <row r="145" spans="1:2">
      <c r="A145" s="37">
        <v>144</v>
      </c>
      <c r="B145" s="33" t="s">
        <v>272</v>
      </c>
    </row>
    <row r="146" spans="1:2">
      <c r="A146" s="37">
        <v>145</v>
      </c>
      <c r="B146" s="33" t="s">
        <v>273</v>
      </c>
    </row>
    <row r="147" spans="1:2">
      <c r="A147" s="37">
        <v>146</v>
      </c>
      <c r="B147" s="33" t="s">
        <v>274</v>
      </c>
    </row>
    <row r="148" spans="1:2">
      <c r="A148" s="37">
        <v>147</v>
      </c>
      <c r="B148" s="33" t="s">
        <v>275</v>
      </c>
    </row>
    <row r="149" spans="1:2">
      <c r="A149" s="37">
        <v>148</v>
      </c>
      <c r="B149" s="33" t="s">
        <v>276</v>
      </c>
    </row>
    <row r="150" spans="1:2">
      <c r="A150" s="37">
        <v>149</v>
      </c>
      <c r="B150" s="33" t="s">
        <v>277</v>
      </c>
    </row>
    <row r="151" spans="1:2">
      <c r="A151" s="37">
        <v>150</v>
      </c>
      <c r="B151" s="33" t="s">
        <v>278</v>
      </c>
    </row>
    <row r="152" spans="1:2">
      <c r="A152" s="37">
        <v>151</v>
      </c>
      <c r="B152" s="33" t="s">
        <v>279</v>
      </c>
    </row>
    <row r="153" spans="1:2">
      <c r="A153" s="37">
        <v>152</v>
      </c>
      <c r="B153" s="33" t="s">
        <v>280</v>
      </c>
    </row>
    <row r="154" spans="1:2">
      <c r="A154" s="37">
        <v>153</v>
      </c>
      <c r="B154" s="33" t="s">
        <v>281</v>
      </c>
    </row>
    <row r="155" spans="1:2">
      <c r="A155" s="37">
        <v>154</v>
      </c>
      <c r="B155" s="33" t="s">
        <v>282</v>
      </c>
    </row>
    <row r="156" spans="1:2">
      <c r="A156" s="37">
        <v>155</v>
      </c>
      <c r="B156" s="33" t="s">
        <v>283</v>
      </c>
    </row>
    <row r="157" spans="1:2">
      <c r="A157" s="37">
        <v>156</v>
      </c>
      <c r="B157" s="33" t="s">
        <v>284</v>
      </c>
    </row>
    <row r="158" spans="1:2">
      <c r="A158" s="37">
        <v>157</v>
      </c>
      <c r="B158" s="33" t="s">
        <v>285</v>
      </c>
    </row>
    <row r="159" spans="1:2">
      <c r="A159" s="37">
        <v>158</v>
      </c>
      <c r="B159" s="33" t="s">
        <v>286</v>
      </c>
    </row>
    <row r="160" spans="1:2">
      <c r="A160" s="37">
        <v>159</v>
      </c>
      <c r="B160" s="37" t="s">
        <v>287</v>
      </c>
    </row>
    <row r="161" spans="1:2">
      <c r="A161" s="37">
        <v>160</v>
      </c>
      <c r="B161" s="33" t="s">
        <v>288</v>
      </c>
    </row>
    <row r="162" spans="1:2">
      <c r="A162" s="37">
        <v>161</v>
      </c>
      <c r="B162" s="37" t="s">
        <v>289</v>
      </c>
    </row>
    <row r="163" spans="1:2">
      <c r="A163" s="37">
        <v>162</v>
      </c>
      <c r="B163" s="37" t="s">
        <v>290</v>
      </c>
    </row>
    <row r="164" spans="1:2">
      <c r="A164" s="37">
        <v>163</v>
      </c>
      <c r="B164" s="33" t="s">
        <v>291</v>
      </c>
    </row>
    <row r="165" spans="1:2">
      <c r="A165" s="37">
        <v>164</v>
      </c>
      <c r="B165" s="33" t="s">
        <v>292</v>
      </c>
    </row>
    <row r="166" spans="1:2">
      <c r="A166" s="37">
        <v>165</v>
      </c>
      <c r="B166" s="33" t="s">
        <v>293</v>
      </c>
    </row>
    <row r="167" spans="1:2">
      <c r="A167" s="37">
        <v>166</v>
      </c>
      <c r="B167" s="33" t="s">
        <v>87</v>
      </c>
    </row>
    <row r="168" spans="1:2">
      <c r="A168" s="37">
        <v>167</v>
      </c>
      <c r="B168" s="33" t="s">
        <v>89</v>
      </c>
    </row>
    <row r="169" spans="1:2">
      <c r="A169" s="37">
        <v>168</v>
      </c>
      <c r="B169" s="33" t="s">
        <v>90</v>
      </c>
    </row>
    <row r="170" spans="1:2">
      <c r="A170" s="37">
        <v>169</v>
      </c>
      <c r="B170" s="33" t="s">
        <v>294</v>
      </c>
    </row>
    <row r="171" spans="1:2">
      <c r="A171" s="37">
        <v>170</v>
      </c>
      <c r="B171" s="33" t="s">
        <v>295</v>
      </c>
    </row>
    <row r="172" spans="1:2">
      <c r="A172" s="37">
        <v>171</v>
      </c>
      <c r="B172" s="33" t="s">
        <v>296</v>
      </c>
    </row>
    <row r="173" spans="1:2">
      <c r="A173" s="37">
        <v>172</v>
      </c>
      <c r="B173" s="33" t="s">
        <v>297</v>
      </c>
    </row>
    <row r="174" spans="1:2">
      <c r="A174" s="37">
        <v>173</v>
      </c>
      <c r="B174" s="33" t="s">
        <v>298</v>
      </c>
    </row>
    <row r="175" spans="1:2">
      <c r="A175" s="37">
        <v>174</v>
      </c>
      <c r="B175" s="37" t="s">
        <v>299</v>
      </c>
    </row>
    <row r="176" spans="1:2">
      <c r="A176" s="37">
        <v>175</v>
      </c>
      <c r="B176" s="33" t="s">
        <v>300</v>
      </c>
    </row>
    <row r="177" spans="1:2">
      <c r="A177" s="37">
        <v>176</v>
      </c>
      <c r="B177" s="37" t="s">
        <v>301</v>
      </c>
    </row>
    <row r="178" spans="1:2">
      <c r="A178" s="37">
        <v>177</v>
      </c>
      <c r="B178" s="37" t="s">
        <v>302</v>
      </c>
    </row>
    <row r="179" spans="1:2">
      <c r="A179" s="37">
        <v>178</v>
      </c>
      <c r="B179" s="37" t="s">
        <v>303</v>
      </c>
    </row>
    <row r="180" spans="1:2">
      <c r="A180" s="37">
        <v>179</v>
      </c>
      <c r="B180" s="37" t="s">
        <v>304</v>
      </c>
    </row>
    <row r="181" spans="1:2">
      <c r="A181" s="37">
        <v>180</v>
      </c>
      <c r="B181" s="37" t="s">
        <v>305</v>
      </c>
    </row>
    <row r="182" spans="1:2">
      <c r="A182" s="37">
        <v>181</v>
      </c>
      <c r="B182" s="33" t="s">
        <v>306</v>
      </c>
    </row>
    <row r="183" spans="1:2">
      <c r="A183" s="37">
        <v>182</v>
      </c>
      <c r="B183" s="33" t="s">
        <v>307</v>
      </c>
    </row>
    <row r="184" spans="1:2">
      <c r="A184" s="37">
        <v>183</v>
      </c>
      <c r="B184" s="37" t="s">
        <v>308</v>
      </c>
    </row>
    <row r="185" spans="1:2">
      <c r="A185" s="37">
        <v>184</v>
      </c>
      <c r="B185" s="37" t="s">
        <v>309</v>
      </c>
    </row>
    <row r="186" spans="1:2">
      <c r="A186" s="37">
        <v>185</v>
      </c>
      <c r="B186" s="33" t="s">
        <v>310</v>
      </c>
    </row>
    <row r="187" spans="1:2">
      <c r="A187" s="37">
        <v>186</v>
      </c>
      <c r="B187" s="37" t="s">
        <v>311</v>
      </c>
    </row>
    <row r="188" spans="1:2">
      <c r="A188" s="37">
        <v>187</v>
      </c>
      <c r="B188" s="37" t="s">
        <v>248</v>
      </c>
    </row>
    <row r="189" spans="1:2">
      <c r="A189" s="37">
        <v>188</v>
      </c>
      <c r="B189" s="33" t="s">
        <v>312</v>
      </c>
    </row>
    <row r="190" spans="1:2">
      <c r="A190" s="37">
        <v>189</v>
      </c>
      <c r="B190" s="37" t="s">
        <v>313</v>
      </c>
    </row>
    <row r="191" spans="1:2">
      <c r="A191" s="37">
        <v>190</v>
      </c>
      <c r="B191" s="37" t="s">
        <v>314</v>
      </c>
    </row>
    <row r="192" spans="1:2">
      <c r="A192" s="37">
        <v>191</v>
      </c>
      <c r="B192" s="37" t="s">
        <v>315</v>
      </c>
    </row>
    <row r="193" spans="1:2">
      <c r="A193" s="37">
        <v>192</v>
      </c>
      <c r="B193" s="33" t="s">
        <v>316</v>
      </c>
    </row>
    <row r="194" spans="1:2">
      <c r="A194" s="37">
        <v>193</v>
      </c>
      <c r="B194" s="37" t="s">
        <v>317</v>
      </c>
    </row>
    <row r="195" spans="1:2">
      <c r="A195" s="37">
        <v>194</v>
      </c>
      <c r="B195" s="37" t="s">
        <v>318</v>
      </c>
    </row>
    <row r="196" spans="1:2">
      <c r="A196" s="37">
        <v>195</v>
      </c>
      <c r="B196" s="37" t="s">
        <v>319</v>
      </c>
    </row>
    <row r="197" spans="1:2">
      <c r="A197" s="37">
        <v>196</v>
      </c>
      <c r="B197" s="37" t="s">
        <v>320</v>
      </c>
    </row>
    <row r="198" spans="1:2">
      <c r="A198" s="37">
        <v>197</v>
      </c>
      <c r="B198" s="37" t="s">
        <v>321</v>
      </c>
    </row>
    <row r="199" spans="1:2">
      <c r="A199" s="37">
        <v>198</v>
      </c>
      <c r="B199" s="37" t="s">
        <v>322</v>
      </c>
    </row>
    <row r="200" spans="1:2">
      <c r="A200" s="37">
        <v>199</v>
      </c>
      <c r="B200" s="33" t="s">
        <v>323</v>
      </c>
    </row>
    <row r="201" spans="1:2">
      <c r="A201" s="37">
        <v>200</v>
      </c>
      <c r="B201" s="33" t="s">
        <v>324</v>
      </c>
    </row>
    <row r="202" spans="1:2">
      <c r="A202" s="37">
        <v>201</v>
      </c>
      <c r="B202" s="33" t="s">
        <v>325</v>
      </c>
    </row>
    <row r="203" spans="1:2">
      <c r="A203" s="37">
        <v>202</v>
      </c>
      <c r="B203" s="37" t="s">
        <v>326</v>
      </c>
    </row>
    <row r="204" spans="1:2">
      <c r="A204" s="37">
        <v>203</v>
      </c>
      <c r="B204" s="37" t="s">
        <v>327</v>
      </c>
    </row>
    <row r="205" spans="1:2">
      <c r="A205" s="37">
        <v>204</v>
      </c>
      <c r="B205" s="33" t="s">
        <v>328</v>
      </c>
    </row>
    <row r="206" spans="1:2">
      <c r="A206" s="37">
        <v>205</v>
      </c>
      <c r="B206" s="37" t="s">
        <v>329</v>
      </c>
    </row>
    <row r="207" spans="1:2">
      <c r="A207" s="37">
        <v>206</v>
      </c>
      <c r="B207" s="37" t="s">
        <v>330</v>
      </c>
    </row>
    <row r="208" spans="1:2">
      <c r="A208" s="37">
        <v>207</v>
      </c>
      <c r="B208" s="37" t="s">
        <v>331</v>
      </c>
    </row>
    <row r="209" spans="1:2">
      <c r="A209" s="37">
        <v>208</v>
      </c>
      <c r="B209" s="37" t="s">
        <v>332</v>
      </c>
    </row>
    <row r="210" spans="1:2">
      <c r="A210" s="37">
        <v>209</v>
      </c>
      <c r="B210" s="37" t="s">
        <v>333</v>
      </c>
    </row>
    <row r="211" spans="1:2">
      <c r="A211" s="37">
        <v>210</v>
      </c>
      <c r="B211" s="33" t="s">
        <v>334</v>
      </c>
    </row>
    <row r="212" spans="1:2">
      <c r="A212" s="37">
        <v>211</v>
      </c>
      <c r="B212" s="33" t="s">
        <v>335</v>
      </c>
    </row>
    <row r="213" spans="1:2">
      <c r="A213" s="37">
        <v>212</v>
      </c>
      <c r="B213" s="33" t="s">
        <v>336</v>
      </c>
    </row>
    <row r="214" spans="1:2">
      <c r="A214" s="37">
        <v>213</v>
      </c>
      <c r="B214" s="33" t="s">
        <v>337</v>
      </c>
    </row>
    <row r="215" spans="1:2">
      <c r="A215" s="37">
        <v>214</v>
      </c>
      <c r="B215" s="33" t="s">
        <v>338</v>
      </c>
    </row>
    <row r="216" spans="1:2">
      <c r="A216" s="37">
        <v>215</v>
      </c>
      <c r="B216" s="37" t="s">
        <v>339</v>
      </c>
    </row>
    <row r="217" spans="1:2">
      <c r="A217" s="37">
        <v>216</v>
      </c>
      <c r="B217" s="37" t="s">
        <v>340</v>
      </c>
    </row>
    <row r="218" spans="1:2">
      <c r="A218" s="37">
        <v>217</v>
      </c>
      <c r="B218" s="37" t="s">
        <v>341</v>
      </c>
    </row>
    <row r="219" spans="1:2">
      <c r="A219" s="37">
        <v>218</v>
      </c>
      <c r="B219" s="33" t="s">
        <v>342</v>
      </c>
    </row>
    <row r="220" spans="1:2">
      <c r="A220" s="37">
        <v>219</v>
      </c>
      <c r="B220" s="33" t="s">
        <v>343</v>
      </c>
    </row>
    <row r="221" spans="1:2">
      <c r="A221" s="37">
        <v>220</v>
      </c>
      <c r="B221" s="33" t="s">
        <v>344</v>
      </c>
    </row>
    <row r="222" spans="1:2">
      <c r="A222" s="37">
        <v>221</v>
      </c>
      <c r="B222" s="37" t="s">
        <v>345</v>
      </c>
    </row>
    <row r="223" spans="1:2">
      <c r="A223" s="37">
        <v>222</v>
      </c>
      <c r="B223" s="33" t="s">
        <v>346</v>
      </c>
    </row>
    <row r="224" spans="1:2">
      <c r="A224" s="37">
        <v>223</v>
      </c>
      <c r="B224" s="33" t="s">
        <v>347</v>
      </c>
    </row>
    <row r="225" spans="1:2">
      <c r="A225" s="37">
        <v>224</v>
      </c>
      <c r="B225" s="33" t="s">
        <v>348</v>
      </c>
    </row>
    <row r="226" spans="1:2">
      <c r="A226" s="37">
        <v>225</v>
      </c>
      <c r="B226" s="33" t="s">
        <v>349</v>
      </c>
    </row>
    <row r="227" spans="1:2">
      <c r="A227" s="37">
        <v>226</v>
      </c>
      <c r="B227" s="37" t="s">
        <v>350</v>
      </c>
    </row>
    <row r="228" spans="1:2">
      <c r="A228" s="37">
        <v>227</v>
      </c>
      <c r="B228" s="37" t="s">
        <v>351</v>
      </c>
    </row>
    <row r="229" spans="1:2">
      <c r="A229" s="37">
        <v>228</v>
      </c>
      <c r="B229" s="37" t="s">
        <v>352</v>
      </c>
    </row>
    <row r="230" spans="1:2">
      <c r="A230" s="37">
        <v>229</v>
      </c>
      <c r="B230" s="33" t="s">
        <v>353</v>
      </c>
    </row>
    <row r="231" spans="1:2">
      <c r="A231" s="37">
        <v>230</v>
      </c>
      <c r="B231" s="33" t="s">
        <v>354</v>
      </c>
    </row>
    <row r="232" spans="1:2">
      <c r="A232" s="37">
        <v>231</v>
      </c>
      <c r="B232" s="33" t="s">
        <v>355</v>
      </c>
    </row>
    <row r="233" spans="1:2">
      <c r="A233" s="37">
        <v>232</v>
      </c>
      <c r="B233" s="37" t="s">
        <v>356</v>
      </c>
    </row>
    <row r="234" spans="1:2">
      <c r="A234" s="37">
        <v>233</v>
      </c>
      <c r="B234" s="33" t="s">
        <v>357</v>
      </c>
    </row>
    <row r="235" spans="1:2">
      <c r="A235" s="37">
        <v>234</v>
      </c>
      <c r="B235" s="33" t="s">
        <v>358</v>
      </c>
    </row>
    <row r="236" spans="1:2">
      <c r="A236" s="37">
        <v>235</v>
      </c>
      <c r="B236" s="33" t="s">
        <v>359</v>
      </c>
    </row>
    <row r="237" spans="1:2">
      <c r="A237" s="37">
        <v>236</v>
      </c>
      <c r="B237" s="37" t="s">
        <v>360</v>
      </c>
    </row>
    <row r="238" spans="1:2">
      <c r="A238" s="37">
        <v>237</v>
      </c>
      <c r="B238" s="37" t="s">
        <v>361</v>
      </c>
    </row>
    <row r="239" spans="1:2">
      <c r="A239" s="37">
        <v>238</v>
      </c>
      <c r="B239" s="33" t="s">
        <v>362</v>
      </c>
    </row>
    <row r="240" spans="1:2">
      <c r="A240" s="37">
        <v>239</v>
      </c>
      <c r="B240" s="37" t="s">
        <v>363</v>
      </c>
    </row>
    <row r="241" spans="1:2">
      <c r="A241" s="37">
        <v>240</v>
      </c>
      <c r="B241" s="33" t="s">
        <v>364</v>
      </c>
    </row>
    <row r="242" spans="1:2">
      <c r="A242" s="37">
        <v>241</v>
      </c>
      <c r="B242" s="33" t="s">
        <v>365</v>
      </c>
    </row>
    <row r="243" spans="1:2">
      <c r="A243" s="37">
        <v>242</v>
      </c>
      <c r="B243" s="33" t="s">
        <v>366</v>
      </c>
    </row>
    <row r="244" spans="1:2">
      <c r="A244" s="37">
        <v>243</v>
      </c>
      <c r="B244" s="33" t="s">
        <v>367</v>
      </c>
    </row>
    <row r="245" spans="1:2">
      <c r="A245" s="37">
        <v>244</v>
      </c>
      <c r="B245" s="33" t="s">
        <v>368</v>
      </c>
    </row>
    <row r="246" spans="1:2">
      <c r="A246" s="37">
        <v>245</v>
      </c>
      <c r="B246" s="33" t="s">
        <v>369</v>
      </c>
    </row>
    <row r="247" spans="1:2">
      <c r="A247" s="37">
        <v>246</v>
      </c>
      <c r="B247" s="33" t="s">
        <v>370</v>
      </c>
    </row>
    <row r="248" spans="1:2">
      <c r="A248" s="37">
        <v>247</v>
      </c>
      <c r="B248" s="33" t="s">
        <v>371</v>
      </c>
    </row>
    <row r="249" spans="1:2">
      <c r="A249" s="37">
        <v>248</v>
      </c>
      <c r="B249" s="33" t="s">
        <v>372</v>
      </c>
    </row>
    <row r="250" spans="1:2">
      <c r="A250" s="37">
        <v>249</v>
      </c>
      <c r="B250" s="37" t="s">
        <v>373</v>
      </c>
    </row>
    <row r="251" spans="1:2">
      <c r="A251" s="37">
        <v>250</v>
      </c>
      <c r="B251" s="37" t="s">
        <v>374</v>
      </c>
    </row>
    <row r="252" spans="1:2">
      <c r="A252" s="37">
        <v>251</v>
      </c>
      <c r="B252" s="37" t="s">
        <v>375</v>
      </c>
    </row>
    <row r="253" spans="1:2">
      <c r="A253" s="37">
        <v>252</v>
      </c>
      <c r="B253" s="37" t="s">
        <v>376</v>
      </c>
    </row>
    <row r="254" spans="1:2">
      <c r="A254" s="37">
        <v>253</v>
      </c>
      <c r="B254" s="33" t="s">
        <v>377</v>
      </c>
    </row>
    <row r="255" spans="1:2">
      <c r="A255" s="37">
        <v>254</v>
      </c>
      <c r="B255" s="37" t="s">
        <v>378</v>
      </c>
    </row>
    <row r="256" spans="1:2">
      <c r="A256" s="37">
        <v>255</v>
      </c>
      <c r="B256" s="37" t="s">
        <v>379</v>
      </c>
    </row>
    <row r="257" spans="1:2">
      <c r="A257" s="37">
        <v>256</v>
      </c>
      <c r="B257" s="37" t="s">
        <v>380</v>
      </c>
    </row>
    <row r="258" spans="1:2">
      <c r="A258" s="37">
        <v>257</v>
      </c>
      <c r="B258" s="37" t="s">
        <v>381</v>
      </c>
    </row>
    <row r="259" spans="1:2">
      <c r="A259" s="37">
        <v>258</v>
      </c>
      <c r="B259" s="33" t="s">
        <v>382</v>
      </c>
    </row>
    <row r="260" spans="1:2">
      <c r="A260" s="37">
        <v>259</v>
      </c>
      <c r="B260" s="37" t="s">
        <v>383</v>
      </c>
    </row>
    <row r="261" spans="1:2">
      <c r="A261" s="37">
        <v>260</v>
      </c>
      <c r="B261" s="33" t="s">
        <v>384</v>
      </c>
    </row>
    <row r="262" spans="1:2">
      <c r="A262" s="37">
        <v>261</v>
      </c>
      <c r="B262" s="33" t="s">
        <v>385</v>
      </c>
    </row>
    <row r="263" spans="1:2">
      <c r="A263" s="37">
        <v>262</v>
      </c>
      <c r="B263" s="37" t="s">
        <v>386</v>
      </c>
    </row>
    <row r="264" spans="1:2">
      <c r="A264" s="37">
        <v>263</v>
      </c>
      <c r="B264" s="37" t="s">
        <v>387</v>
      </c>
    </row>
    <row r="265" spans="1:2">
      <c r="A265" s="37">
        <v>264</v>
      </c>
      <c r="B265" s="37" t="s">
        <v>388</v>
      </c>
    </row>
    <row r="266" spans="1:2">
      <c r="A266" s="37">
        <v>265</v>
      </c>
      <c r="B266" s="37" t="s">
        <v>389</v>
      </c>
    </row>
    <row r="267" spans="1:2">
      <c r="A267" s="37">
        <v>266</v>
      </c>
      <c r="B267" s="33" t="s">
        <v>390</v>
      </c>
    </row>
    <row r="268" spans="1:2">
      <c r="A268" s="37">
        <v>267</v>
      </c>
      <c r="B268" s="37" t="s">
        <v>391</v>
      </c>
    </row>
    <row r="269" spans="1:2">
      <c r="A269" s="37">
        <v>268</v>
      </c>
      <c r="B269" s="37" t="s">
        <v>392</v>
      </c>
    </row>
    <row r="270" spans="1:2" ht="14.25">
      <c r="A270" s="37">
        <v>269</v>
      </c>
      <c r="B270" s="39" t="s">
        <v>393</v>
      </c>
    </row>
    <row r="271" spans="1:2">
      <c r="A271" s="37">
        <v>270</v>
      </c>
      <c r="B271" s="37" t="s">
        <v>394</v>
      </c>
    </row>
    <row r="272" spans="1:2" ht="14.25">
      <c r="A272" s="37">
        <v>271</v>
      </c>
      <c r="B272" s="39" t="s">
        <v>395</v>
      </c>
    </row>
    <row r="273" spans="1:2">
      <c r="A273" s="37">
        <v>272</v>
      </c>
      <c r="B273" s="37" t="s">
        <v>374</v>
      </c>
    </row>
    <row r="274" spans="1:2" ht="14.25">
      <c r="A274" s="37">
        <v>273</v>
      </c>
      <c r="B274" s="39" t="s">
        <v>396</v>
      </c>
    </row>
    <row r="275" spans="1:2">
      <c r="A275">
        <v>274</v>
      </c>
      <c r="B275" s="3" t="s">
        <v>397</v>
      </c>
    </row>
    <row r="276" spans="1:2">
      <c r="A276">
        <v>275</v>
      </c>
      <c r="B276" s="3" t="s">
        <v>398</v>
      </c>
    </row>
    <row r="277" spans="1:2">
      <c r="A277">
        <v>276</v>
      </c>
      <c r="B277" s="3" t="s">
        <v>399</v>
      </c>
    </row>
    <row r="278" spans="1:2">
      <c r="A278">
        <v>277</v>
      </c>
      <c r="B278" s="3" t="s">
        <v>400</v>
      </c>
    </row>
    <row r="279" spans="1:2">
      <c r="A279">
        <v>278</v>
      </c>
      <c r="B279" s="3" t="s">
        <v>401</v>
      </c>
    </row>
    <row r="280" spans="1:2">
      <c r="A280">
        <v>279</v>
      </c>
      <c r="B280" s="3" t="s">
        <v>402</v>
      </c>
    </row>
    <row r="281" spans="1:2">
      <c r="A281">
        <v>280</v>
      </c>
      <c r="B281" s="3" t="s">
        <v>403</v>
      </c>
    </row>
    <row r="282" spans="1:2">
      <c r="A282">
        <v>281</v>
      </c>
      <c r="B282" s="3" t="s">
        <v>404</v>
      </c>
    </row>
    <row r="283" spans="1:2">
      <c r="A283">
        <v>282</v>
      </c>
      <c r="B283" s="3" t="s">
        <v>405</v>
      </c>
    </row>
    <row r="284" spans="1:2">
      <c r="A284">
        <v>283</v>
      </c>
      <c r="B284" s="3" t="s">
        <v>406</v>
      </c>
    </row>
    <row r="285" spans="1:2">
      <c r="A285">
        <v>284</v>
      </c>
      <c r="B285" t="s">
        <v>407</v>
      </c>
    </row>
    <row r="286" spans="1:2">
      <c r="A286">
        <v>285</v>
      </c>
      <c r="B286" t="s">
        <v>408</v>
      </c>
    </row>
    <row r="287" spans="1:2">
      <c r="A287">
        <v>286</v>
      </c>
      <c r="B287" t="s">
        <v>409</v>
      </c>
    </row>
    <row r="288" spans="1:2">
      <c r="A288">
        <v>287</v>
      </c>
      <c r="B288" s="3" t="s">
        <v>410</v>
      </c>
    </row>
    <row r="289" spans="1:2">
      <c r="A289">
        <v>288</v>
      </c>
      <c r="B289" s="3" t="s">
        <v>411</v>
      </c>
    </row>
    <row r="290" spans="1:2">
      <c r="A290">
        <v>289</v>
      </c>
      <c r="B290" s="3" t="s">
        <v>412</v>
      </c>
    </row>
    <row r="291" spans="1:2">
      <c r="A291">
        <v>290</v>
      </c>
      <c r="B291" s="3" t="s">
        <v>413</v>
      </c>
    </row>
    <row r="292" spans="1:2">
      <c r="A292">
        <v>291</v>
      </c>
      <c r="B292" s="3" t="s">
        <v>414</v>
      </c>
    </row>
    <row r="293" spans="1:2">
      <c r="A293">
        <v>292</v>
      </c>
      <c r="B293" s="3" t="s">
        <v>415</v>
      </c>
    </row>
    <row r="294" spans="1:2">
      <c r="A294">
        <v>293</v>
      </c>
      <c r="B294" s="3" t="s">
        <v>416</v>
      </c>
    </row>
    <row r="295" spans="1:2">
      <c r="A295">
        <v>294</v>
      </c>
      <c r="B295" s="3" t="s">
        <v>417</v>
      </c>
    </row>
    <row r="296" spans="1:2">
      <c r="A296">
        <v>295</v>
      </c>
      <c r="B296" s="3" t="s">
        <v>418</v>
      </c>
    </row>
    <row r="297" spans="1:2">
      <c r="A297">
        <v>296</v>
      </c>
      <c r="B297" s="3" t="s">
        <v>419</v>
      </c>
    </row>
    <row r="298" spans="1:2">
      <c r="A298">
        <v>297</v>
      </c>
      <c r="B298" s="3" t="s">
        <v>420</v>
      </c>
    </row>
    <row r="299" spans="1:2">
      <c r="A299">
        <v>298</v>
      </c>
      <c r="B299" s="3" t="s">
        <v>421</v>
      </c>
    </row>
    <row r="300" spans="1:2">
      <c r="A300">
        <v>299</v>
      </c>
      <c r="B300" s="3" t="s">
        <v>422</v>
      </c>
    </row>
    <row r="301" spans="1:2">
      <c r="A301">
        <v>300</v>
      </c>
      <c r="B301" s="3" t="s">
        <v>18</v>
      </c>
    </row>
    <row r="302" spans="1:2">
      <c r="A302">
        <v>301</v>
      </c>
      <c r="B302" s="3" t="s">
        <v>15</v>
      </c>
    </row>
    <row r="303" spans="1:2">
      <c r="A303">
        <v>302</v>
      </c>
      <c r="B303" s="3" t="s">
        <v>423</v>
      </c>
    </row>
    <row r="304" spans="1:2">
      <c r="A304">
        <v>303</v>
      </c>
      <c r="B304" s="3" t="s">
        <v>424</v>
      </c>
    </row>
    <row r="305" spans="1:2">
      <c r="A305">
        <v>304</v>
      </c>
      <c r="B305" s="3" t="s">
        <v>425</v>
      </c>
    </row>
    <row r="306" spans="1:2">
      <c r="A306">
        <v>305</v>
      </c>
      <c r="B306" s="3" t="s">
        <v>426</v>
      </c>
    </row>
    <row r="307" spans="1:2">
      <c r="A307">
        <v>306</v>
      </c>
      <c r="B307" s="3" t="s">
        <v>427</v>
      </c>
    </row>
    <row r="308" spans="1:2">
      <c r="A308">
        <v>307</v>
      </c>
      <c r="B308" s="3" t="s">
        <v>428</v>
      </c>
    </row>
    <row r="309" spans="1:2">
      <c r="A309">
        <v>308</v>
      </c>
      <c r="B309" s="3" t="s">
        <v>429</v>
      </c>
    </row>
    <row r="310" spans="1:2">
      <c r="A310">
        <v>309</v>
      </c>
      <c r="B310" s="3" t="s">
        <v>430</v>
      </c>
    </row>
    <row r="311" spans="1:2">
      <c r="A311">
        <v>310</v>
      </c>
      <c r="B311" s="3" t="s">
        <v>431</v>
      </c>
    </row>
    <row r="312" spans="1:2">
      <c r="A312">
        <v>311</v>
      </c>
      <c r="B312" s="3" t="s">
        <v>432</v>
      </c>
    </row>
    <row r="313" spans="1:2">
      <c r="A313">
        <v>312</v>
      </c>
      <c r="B313" s="3" t="s">
        <v>433</v>
      </c>
    </row>
    <row r="314" spans="1:2">
      <c r="A314">
        <v>313</v>
      </c>
      <c r="B314" s="3" t="s">
        <v>434</v>
      </c>
    </row>
    <row r="315" spans="1:2">
      <c r="A315">
        <v>314</v>
      </c>
      <c r="B315" s="3" t="s">
        <v>435</v>
      </c>
    </row>
    <row r="316" spans="1:2">
      <c r="A316">
        <v>315</v>
      </c>
      <c r="B316" s="3" t="s">
        <v>436</v>
      </c>
    </row>
    <row r="317" spans="1:2">
      <c r="A317">
        <v>316</v>
      </c>
      <c r="B317" s="3" t="s">
        <v>437</v>
      </c>
    </row>
    <row r="318" spans="1:2">
      <c r="A318">
        <v>317</v>
      </c>
      <c r="B318" s="3" t="s">
        <v>438</v>
      </c>
    </row>
    <row r="319" spans="1:2">
      <c r="A319">
        <v>318</v>
      </c>
      <c r="B319" s="3" t="s">
        <v>439</v>
      </c>
    </row>
    <row r="320" spans="1:2">
      <c r="A320">
        <v>319</v>
      </c>
      <c r="B320" s="3" t="s">
        <v>440</v>
      </c>
    </row>
    <row r="321" spans="1:2">
      <c r="A321">
        <v>320</v>
      </c>
      <c r="B321" s="3" t="s">
        <v>441</v>
      </c>
    </row>
    <row r="322" spans="1:2">
      <c r="A322">
        <v>321</v>
      </c>
      <c r="B322" s="3" t="s">
        <v>442</v>
      </c>
    </row>
    <row r="323" spans="1:2">
      <c r="A323">
        <v>322</v>
      </c>
      <c r="B323" s="3" t="s">
        <v>443</v>
      </c>
    </row>
    <row r="324" spans="1:2">
      <c r="A324">
        <v>323</v>
      </c>
      <c r="B324" s="3" t="s">
        <v>444</v>
      </c>
    </row>
    <row r="325" spans="1:2">
      <c r="A325">
        <v>324</v>
      </c>
      <c r="B325" s="3" t="s">
        <v>445</v>
      </c>
    </row>
    <row r="326" spans="1:2">
      <c r="A326">
        <v>325</v>
      </c>
      <c r="B326" s="3" t="s">
        <v>446</v>
      </c>
    </row>
    <row r="327" spans="1:2">
      <c r="A327">
        <v>326</v>
      </c>
      <c r="B327" s="3" t="s">
        <v>447</v>
      </c>
    </row>
    <row r="328" spans="1:2">
      <c r="A328">
        <v>327</v>
      </c>
      <c r="B328" s="3" t="s">
        <v>448</v>
      </c>
    </row>
    <row r="329" spans="1:2">
      <c r="A329">
        <v>328</v>
      </c>
      <c r="B329" s="3" t="s">
        <v>449</v>
      </c>
    </row>
    <row r="330" spans="1:2">
      <c r="A330">
        <v>329</v>
      </c>
      <c r="B330" s="3" t="s">
        <v>450</v>
      </c>
    </row>
    <row r="331" spans="1:2">
      <c r="A331">
        <v>330</v>
      </c>
      <c r="B331" s="3" t="s">
        <v>451</v>
      </c>
    </row>
    <row r="332" spans="1:2">
      <c r="A332">
        <v>331</v>
      </c>
      <c r="B332" s="3" t="s">
        <v>452</v>
      </c>
    </row>
    <row r="333" spans="1:2">
      <c r="A333">
        <v>332</v>
      </c>
      <c r="B333" s="3" t="s">
        <v>453</v>
      </c>
    </row>
    <row r="334" spans="1:2">
      <c r="A334">
        <v>333</v>
      </c>
      <c r="B334" s="3" t="s">
        <v>454</v>
      </c>
    </row>
    <row r="335" spans="1:2">
      <c r="A335">
        <v>334</v>
      </c>
      <c r="B335" s="3" t="s">
        <v>455</v>
      </c>
    </row>
    <row r="336" spans="1:2">
      <c r="A336">
        <v>335</v>
      </c>
      <c r="B336" s="3" t="s">
        <v>456</v>
      </c>
    </row>
    <row r="337" spans="1:2">
      <c r="A337">
        <v>336</v>
      </c>
      <c r="B337" t="s">
        <v>457</v>
      </c>
    </row>
    <row r="338" spans="1:2">
      <c r="A338">
        <v>337</v>
      </c>
      <c r="B338" s="3" t="s">
        <v>458</v>
      </c>
    </row>
    <row r="339" spans="1:2">
      <c r="A339">
        <v>338</v>
      </c>
      <c r="B339" s="3" t="s">
        <v>459</v>
      </c>
    </row>
    <row r="340" spans="1:2">
      <c r="A340">
        <v>339</v>
      </c>
      <c r="B340" t="s">
        <v>460</v>
      </c>
    </row>
    <row r="341" spans="1:2">
      <c r="A341">
        <v>340</v>
      </c>
      <c r="B341" t="s">
        <v>461</v>
      </c>
    </row>
    <row r="342" spans="1:2">
      <c r="A342">
        <v>341</v>
      </c>
      <c r="B342" t="s">
        <v>462</v>
      </c>
    </row>
    <row r="343" spans="1:2">
      <c r="A343">
        <v>342</v>
      </c>
      <c r="B343" t="s">
        <v>463</v>
      </c>
    </row>
    <row r="344" spans="1:2">
      <c r="A344">
        <v>343</v>
      </c>
      <c r="B344" t="s">
        <v>464</v>
      </c>
    </row>
    <row r="345" spans="1:2">
      <c r="A345">
        <v>344</v>
      </c>
      <c r="B345" t="s">
        <v>465</v>
      </c>
    </row>
    <row r="346" spans="1:2">
      <c r="A346">
        <v>345</v>
      </c>
      <c r="B346" t="s">
        <v>466</v>
      </c>
    </row>
    <row r="347" spans="1:2">
      <c r="A347">
        <v>346</v>
      </c>
      <c r="B347" t="s">
        <v>467</v>
      </c>
    </row>
    <row r="348" spans="1:2">
      <c r="A348">
        <v>347</v>
      </c>
      <c r="B348" t="s">
        <v>468</v>
      </c>
    </row>
    <row r="349" spans="1:2">
      <c r="A349">
        <v>348</v>
      </c>
      <c r="B349" t="s">
        <v>469</v>
      </c>
    </row>
    <row r="350" spans="1:2">
      <c r="A350">
        <v>349</v>
      </c>
      <c r="B350" t="s">
        <v>470</v>
      </c>
    </row>
    <row r="351" spans="1:2">
      <c r="A351">
        <v>350</v>
      </c>
      <c r="B351" s="3" t="s">
        <v>471</v>
      </c>
    </row>
    <row r="352" spans="1:2">
      <c r="A352">
        <v>351</v>
      </c>
      <c r="B352" s="3" t="s">
        <v>472</v>
      </c>
    </row>
    <row r="353" spans="1:2">
      <c r="A353">
        <v>352</v>
      </c>
      <c r="B353" s="3" t="s">
        <v>21</v>
      </c>
    </row>
    <row r="354" spans="1:2">
      <c r="A354">
        <v>353</v>
      </c>
      <c r="B354" s="3" t="s">
        <v>473</v>
      </c>
    </row>
    <row r="355" spans="1:2">
      <c r="A355">
        <v>354</v>
      </c>
      <c r="B355" s="3" t="s">
        <v>474</v>
      </c>
    </row>
    <row r="356" spans="1:2">
      <c r="A356">
        <v>355</v>
      </c>
      <c r="B356" s="3" t="s">
        <v>475</v>
      </c>
    </row>
    <row r="357" spans="1:2">
      <c r="A357">
        <v>356</v>
      </c>
      <c r="B357" s="3" t="s">
        <v>255</v>
      </c>
    </row>
    <row r="358" spans="1:2">
      <c r="A358">
        <v>357</v>
      </c>
      <c r="B358" s="3" t="s">
        <v>476</v>
      </c>
    </row>
    <row r="359" spans="1:2">
      <c r="A359">
        <v>358</v>
      </c>
      <c r="B359" s="3" t="s">
        <v>477</v>
      </c>
    </row>
    <row r="360" spans="1:2">
      <c r="A360">
        <v>359</v>
      </c>
      <c r="B360" s="3" t="s">
        <v>478</v>
      </c>
    </row>
    <row r="361" spans="1:2">
      <c r="A361">
        <v>360</v>
      </c>
      <c r="B361" t="s">
        <v>479</v>
      </c>
    </row>
    <row r="362" spans="1:2">
      <c r="A362">
        <v>361</v>
      </c>
      <c r="B362" t="s">
        <v>480</v>
      </c>
    </row>
    <row r="363" spans="1:2">
      <c r="A363">
        <v>362</v>
      </c>
      <c r="B363" s="3" t="s">
        <v>481</v>
      </c>
    </row>
    <row r="364" spans="1:2">
      <c r="A364">
        <v>363</v>
      </c>
      <c r="B364" t="s">
        <v>482</v>
      </c>
    </row>
    <row r="365" spans="1:2">
      <c r="A365">
        <v>364</v>
      </c>
      <c r="B365" t="s">
        <v>483</v>
      </c>
    </row>
    <row r="366" spans="1:2">
      <c r="A366">
        <v>365</v>
      </c>
      <c r="B366" t="s">
        <v>484</v>
      </c>
    </row>
    <row r="367" spans="1:2">
      <c r="A367">
        <v>366</v>
      </c>
      <c r="B367" t="s">
        <v>485</v>
      </c>
    </row>
    <row r="368" spans="1:2">
      <c r="A368">
        <v>367</v>
      </c>
      <c r="B368" s="3" t="s">
        <v>486</v>
      </c>
    </row>
    <row r="369" spans="1:2">
      <c r="A369">
        <v>368</v>
      </c>
      <c r="B369" s="3" t="s">
        <v>487</v>
      </c>
    </row>
    <row r="370" spans="1:2">
      <c r="A370">
        <v>369</v>
      </c>
      <c r="B370" s="3" t="s">
        <v>488</v>
      </c>
    </row>
    <row r="371" spans="1:2">
      <c r="A371">
        <v>370</v>
      </c>
      <c r="B371" s="3" t="s">
        <v>489</v>
      </c>
    </row>
    <row r="372" spans="1:2">
      <c r="A372">
        <v>371</v>
      </c>
      <c r="B372" s="3" t="s">
        <v>490</v>
      </c>
    </row>
    <row r="373" spans="1:2">
      <c r="A373">
        <v>372</v>
      </c>
      <c r="B373" s="3" t="s">
        <v>491</v>
      </c>
    </row>
    <row r="374" spans="1:2">
      <c r="A374">
        <v>373</v>
      </c>
      <c r="B374" s="3" t="s">
        <v>492</v>
      </c>
    </row>
    <row r="375" spans="1:2">
      <c r="A375">
        <v>374</v>
      </c>
      <c r="B375" t="s">
        <v>493</v>
      </c>
    </row>
    <row r="376" spans="1:2">
      <c r="A376">
        <v>375</v>
      </c>
      <c r="B376" t="s">
        <v>494</v>
      </c>
    </row>
    <row r="377" spans="1:2">
      <c r="A377">
        <v>376</v>
      </c>
      <c r="B377" s="3" t="s">
        <v>495</v>
      </c>
    </row>
    <row r="378" spans="1:2">
      <c r="A378">
        <v>377</v>
      </c>
      <c r="B378" s="3" t="s">
        <v>495</v>
      </c>
    </row>
    <row r="379" spans="1:2">
      <c r="A379">
        <v>378</v>
      </c>
      <c r="B379" t="s">
        <v>496</v>
      </c>
    </row>
    <row r="380" spans="1:2">
      <c r="A380">
        <v>379</v>
      </c>
      <c r="B380" t="s">
        <v>497</v>
      </c>
    </row>
    <row r="381" spans="1:2">
      <c r="A381">
        <v>380</v>
      </c>
      <c r="B381" s="3" t="s">
        <v>498</v>
      </c>
    </row>
    <row r="382" spans="1:2">
      <c r="A382">
        <v>381</v>
      </c>
      <c r="B382" s="3" t="s">
        <v>499</v>
      </c>
    </row>
    <row r="383" spans="1:2">
      <c r="A383">
        <v>382</v>
      </c>
      <c r="B383" s="3" t="s">
        <v>500</v>
      </c>
    </row>
    <row r="384" spans="1:2">
      <c r="A384">
        <v>383</v>
      </c>
      <c r="B384" t="s">
        <v>501</v>
      </c>
    </row>
    <row r="385" spans="1:2">
      <c r="A385">
        <v>384</v>
      </c>
      <c r="B385" t="s">
        <v>502</v>
      </c>
    </row>
    <row r="386" spans="1:2">
      <c r="A386">
        <v>385</v>
      </c>
      <c r="B386" t="s">
        <v>503</v>
      </c>
    </row>
    <row r="387" spans="1:2">
      <c r="A387">
        <v>386</v>
      </c>
      <c r="B387" s="3" t="s">
        <v>504</v>
      </c>
    </row>
    <row r="388" spans="1:2">
      <c r="A388">
        <v>387</v>
      </c>
      <c r="B388" t="s">
        <v>505</v>
      </c>
    </row>
    <row r="389" spans="1:2">
      <c r="A389">
        <v>388</v>
      </c>
      <c r="B389" s="3" t="s">
        <v>506</v>
      </c>
    </row>
    <row r="390" spans="1:2">
      <c r="A390">
        <v>389</v>
      </c>
      <c r="B390" s="3" t="s">
        <v>507</v>
      </c>
    </row>
    <row r="391" spans="1:2">
      <c r="A391">
        <v>390</v>
      </c>
      <c r="B391" s="3" t="s">
        <v>508</v>
      </c>
    </row>
    <row r="392" spans="1:2">
      <c r="A392">
        <v>391</v>
      </c>
      <c r="B392" s="3" t="s">
        <v>509</v>
      </c>
    </row>
    <row r="393" spans="1:2">
      <c r="A393">
        <v>392</v>
      </c>
      <c r="B393" s="3" t="s">
        <v>510</v>
      </c>
    </row>
    <row r="394" spans="1:2">
      <c r="A394">
        <v>393</v>
      </c>
      <c r="B394" s="3" t="s">
        <v>511</v>
      </c>
    </row>
    <row r="395" spans="1:2">
      <c r="A395">
        <v>394</v>
      </c>
      <c r="B395" s="3" t="s">
        <v>512</v>
      </c>
    </row>
    <row r="396" spans="1:2">
      <c r="A396">
        <v>395</v>
      </c>
      <c r="B396" s="3" t="s">
        <v>513</v>
      </c>
    </row>
    <row r="397" spans="1:2">
      <c r="A397">
        <v>396</v>
      </c>
      <c r="B397" t="s">
        <v>514</v>
      </c>
    </row>
    <row r="398" spans="1:2">
      <c r="A398">
        <v>397</v>
      </c>
      <c r="B398" t="s">
        <v>515</v>
      </c>
    </row>
    <row r="399" spans="1:2">
      <c r="A399">
        <v>398</v>
      </c>
      <c r="B399" t="s">
        <v>412</v>
      </c>
    </row>
    <row r="400" spans="1:2">
      <c r="A400">
        <v>399</v>
      </c>
      <c r="B400" t="s">
        <v>516</v>
      </c>
    </row>
    <row r="401" spans="1:2">
      <c r="A401">
        <v>400</v>
      </c>
      <c r="B401" t="s">
        <v>517</v>
      </c>
    </row>
    <row r="402" spans="1:2">
      <c r="A402">
        <v>401</v>
      </c>
      <c r="B402" t="s">
        <v>518</v>
      </c>
    </row>
    <row r="403" spans="1:2">
      <c r="A403">
        <v>402</v>
      </c>
      <c r="B403" t="s">
        <v>519</v>
      </c>
    </row>
    <row r="404" spans="1:2">
      <c r="A404">
        <v>403</v>
      </c>
      <c r="B404" s="3" t="s">
        <v>520</v>
      </c>
    </row>
    <row r="405" spans="1:2">
      <c r="A405">
        <v>404</v>
      </c>
      <c r="B405" s="3" t="s">
        <v>521</v>
      </c>
    </row>
    <row r="406" spans="1:2">
      <c r="A406">
        <v>405</v>
      </c>
      <c r="B406" s="3" t="s">
        <v>522</v>
      </c>
    </row>
    <row r="407" spans="1:2">
      <c r="A407">
        <v>406</v>
      </c>
      <c r="B407" t="s">
        <v>523</v>
      </c>
    </row>
    <row r="408" spans="1:2">
      <c r="A408">
        <v>407</v>
      </c>
      <c r="B408" t="s">
        <v>524</v>
      </c>
    </row>
    <row r="409" spans="1:2">
      <c r="A409">
        <v>408</v>
      </c>
      <c r="B409" s="3" t="s">
        <v>525</v>
      </c>
    </row>
    <row r="410" spans="1:2">
      <c r="A410">
        <v>409</v>
      </c>
      <c r="B410" s="3" t="s">
        <v>526</v>
      </c>
    </row>
    <row r="411" spans="1:2">
      <c r="A411">
        <v>410</v>
      </c>
      <c r="B411" s="3" t="s">
        <v>527</v>
      </c>
    </row>
    <row r="412" spans="1:2">
      <c r="A412">
        <v>411</v>
      </c>
      <c r="B412" s="3" t="s">
        <v>528</v>
      </c>
    </row>
    <row r="413" spans="1:2">
      <c r="A413">
        <v>412</v>
      </c>
      <c r="B413" t="s">
        <v>529</v>
      </c>
    </row>
    <row r="414" spans="1:2">
      <c r="A414">
        <v>413</v>
      </c>
      <c r="B414" t="s">
        <v>530</v>
      </c>
    </row>
    <row r="415" spans="1:2">
      <c r="A415">
        <v>414</v>
      </c>
      <c r="B415" t="s">
        <v>531</v>
      </c>
    </row>
    <row r="416" spans="1:2">
      <c r="A416">
        <v>415</v>
      </c>
      <c r="B416" t="s">
        <v>532</v>
      </c>
    </row>
    <row r="417" spans="1:2">
      <c r="A417">
        <v>416</v>
      </c>
      <c r="B417" t="s">
        <v>533</v>
      </c>
    </row>
    <row r="418" spans="1:2">
      <c r="A418">
        <v>417</v>
      </c>
      <c r="B418" t="s">
        <v>158</v>
      </c>
    </row>
    <row r="419" spans="1:2">
      <c r="A419">
        <v>418</v>
      </c>
      <c r="B419" t="s">
        <v>534</v>
      </c>
    </row>
    <row r="420" spans="1:2">
      <c r="A420">
        <v>419</v>
      </c>
      <c r="B420" t="s">
        <v>535</v>
      </c>
    </row>
    <row r="421" spans="1:2">
      <c r="A421">
        <v>420</v>
      </c>
      <c r="B421" t="s">
        <v>536</v>
      </c>
    </row>
    <row r="422" spans="1:2">
      <c r="A422">
        <v>421</v>
      </c>
      <c r="B422" t="s">
        <v>537</v>
      </c>
    </row>
    <row r="423" spans="1:2">
      <c r="A423">
        <v>422</v>
      </c>
      <c r="B423" t="s">
        <v>538</v>
      </c>
    </row>
    <row r="424" spans="1:2">
      <c r="A424">
        <v>423</v>
      </c>
      <c r="B424" t="s">
        <v>539</v>
      </c>
    </row>
    <row r="425" spans="1:2">
      <c r="A425">
        <v>424</v>
      </c>
      <c r="B425" s="3" t="s">
        <v>540</v>
      </c>
    </row>
    <row r="426" spans="1:2">
      <c r="A426">
        <v>425</v>
      </c>
      <c r="B426" s="3" t="s">
        <v>541</v>
      </c>
    </row>
    <row r="427" spans="1:2">
      <c r="A427">
        <v>426</v>
      </c>
      <c r="B427" s="3" t="s">
        <v>542</v>
      </c>
    </row>
    <row r="428" spans="1:2">
      <c r="A428">
        <v>427</v>
      </c>
      <c r="B428" s="3" t="s">
        <v>543</v>
      </c>
    </row>
    <row r="429" spans="1:2">
      <c r="A429">
        <v>428</v>
      </c>
      <c r="B429" s="17" t="s">
        <v>544</v>
      </c>
    </row>
    <row r="430" spans="1:2">
      <c r="A430">
        <v>429</v>
      </c>
      <c r="B430" s="17" t="s">
        <v>545</v>
      </c>
    </row>
    <row r="431" spans="1:2">
      <c r="A431">
        <v>430</v>
      </c>
      <c r="B431" s="40" t="s">
        <v>546</v>
      </c>
    </row>
    <row r="432" spans="1:2">
      <c r="A432">
        <v>431</v>
      </c>
      <c r="B432" s="40" t="s">
        <v>547</v>
      </c>
    </row>
    <row r="433" spans="1:2">
      <c r="A433">
        <v>432</v>
      </c>
      <c r="B433" s="40" t="s">
        <v>548</v>
      </c>
    </row>
    <row r="434" spans="1:2">
      <c r="A434">
        <v>433</v>
      </c>
      <c r="B434" s="40" t="s">
        <v>549</v>
      </c>
    </row>
    <row r="435" spans="1:2">
      <c r="A435">
        <v>434</v>
      </c>
      <c r="B435" s="40" t="s">
        <v>550</v>
      </c>
    </row>
    <row r="436" spans="1:2">
      <c r="A436">
        <v>435</v>
      </c>
      <c r="B436" s="40" t="s">
        <v>551</v>
      </c>
    </row>
    <row r="437" spans="1:2">
      <c r="A437">
        <v>436</v>
      </c>
      <c r="B437" t="s">
        <v>552</v>
      </c>
    </row>
    <row r="438" spans="1:2">
      <c r="A438">
        <v>437</v>
      </c>
      <c r="B438" t="s">
        <v>553</v>
      </c>
    </row>
    <row r="439" spans="1:2">
      <c r="A439">
        <v>438</v>
      </c>
      <c r="B439" t="s">
        <v>544</v>
      </c>
    </row>
    <row r="440" spans="1:2">
      <c r="A440">
        <v>439</v>
      </c>
      <c r="B440" t="s">
        <v>545</v>
      </c>
    </row>
    <row r="441" spans="1:2">
      <c r="A441">
        <v>440</v>
      </c>
      <c r="B441" t="s">
        <v>554</v>
      </c>
    </row>
    <row r="442" spans="1:2">
      <c r="A442">
        <v>441</v>
      </c>
      <c r="B442" t="s">
        <v>552</v>
      </c>
    </row>
    <row r="443" spans="1:2">
      <c r="A443">
        <v>442</v>
      </c>
      <c r="B443" t="s">
        <v>553</v>
      </c>
    </row>
    <row r="444" spans="1:2">
      <c r="A444">
        <v>443</v>
      </c>
      <c r="B444" t="s">
        <v>555</v>
      </c>
    </row>
    <row r="445" spans="1:2">
      <c r="A445">
        <v>444</v>
      </c>
      <c r="B445" t="s">
        <v>556</v>
      </c>
    </row>
    <row r="446" spans="1:2">
      <c r="A446">
        <v>445</v>
      </c>
      <c r="B446" t="s">
        <v>557</v>
      </c>
    </row>
    <row r="447" spans="1:2">
      <c r="A447">
        <v>446</v>
      </c>
      <c r="B447" t="s">
        <v>558</v>
      </c>
    </row>
    <row r="448" spans="1:2">
      <c r="A448">
        <v>447</v>
      </c>
      <c r="B448" t="s">
        <v>559</v>
      </c>
    </row>
    <row r="449" spans="1:2">
      <c r="A449">
        <v>448</v>
      </c>
      <c r="B449" t="s">
        <v>560</v>
      </c>
    </row>
    <row r="450" spans="1:2">
      <c r="A450">
        <v>449</v>
      </c>
      <c r="B450" s="3" t="s">
        <v>561</v>
      </c>
    </row>
    <row r="451" spans="1:2">
      <c r="A451">
        <v>450</v>
      </c>
      <c r="B451" t="s">
        <v>562</v>
      </c>
    </row>
    <row r="452" spans="1:2">
      <c r="A452">
        <v>451</v>
      </c>
      <c r="B452" s="3" t="s">
        <v>563</v>
      </c>
    </row>
    <row r="453" spans="1:2">
      <c r="A453">
        <v>452</v>
      </c>
      <c r="B453" s="3" t="s">
        <v>564</v>
      </c>
    </row>
    <row r="454" spans="1:2">
      <c r="A454">
        <v>453</v>
      </c>
      <c r="B454" t="s">
        <v>565</v>
      </c>
    </row>
    <row r="455" spans="1:2">
      <c r="A455">
        <v>454</v>
      </c>
      <c r="B455" t="s">
        <v>566</v>
      </c>
    </row>
    <row r="456" spans="1:2">
      <c r="A456">
        <v>455</v>
      </c>
      <c r="B456" t="s">
        <v>567</v>
      </c>
    </row>
    <row r="457" spans="1:2">
      <c r="A457">
        <v>456</v>
      </c>
      <c r="B457" s="3" t="s">
        <v>568</v>
      </c>
    </row>
    <row r="458" spans="1:2">
      <c r="A458">
        <v>457</v>
      </c>
      <c r="B458" s="3" t="s">
        <v>569</v>
      </c>
    </row>
    <row r="459" spans="1:2">
      <c r="A459">
        <v>458</v>
      </c>
      <c r="B459" s="3" t="s">
        <v>570</v>
      </c>
    </row>
    <row r="460" spans="1:2">
      <c r="A460">
        <v>459</v>
      </c>
      <c r="B460" s="3" t="s">
        <v>571</v>
      </c>
    </row>
    <row r="461" spans="1:2">
      <c r="A461">
        <v>460</v>
      </c>
      <c r="B461" s="3" t="s">
        <v>572</v>
      </c>
    </row>
    <row r="462" spans="1:2">
      <c r="A462">
        <v>461</v>
      </c>
      <c r="B462" s="3" t="s">
        <v>573</v>
      </c>
    </row>
    <row r="463" spans="1:2">
      <c r="A463">
        <v>462</v>
      </c>
      <c r="B463" s="3" t="s">
        <v>574</v>
      </c>
    </row>
    <row r="464" spans="1:2">
      <c r="A464">
        <v>463</v>
      </c>
      <c r="B464" s="3" t="s">
        <v>575</v>
      </c>
    </row>
    <row r="465" spans="1:2">
      <c r="A465">
        <v>464</v>
      </c>
      <c r="B465" s="41" t="s">
        <v>576</v>
      </c>
    </row>
    <row r="466" spans="1:2">
      <c r="A466">
        <v>465</v>
      </c>
      <c r="B466" t="s">
        <v>577</v>
      </c>
    </row>
    <row r="467" spans="1:2">
      <c r="A467">
        <v>466</v>
      </c>
      <c r="B467" t="s">
        <v>578</v>
      </c>
    </row>
    <row r="468" spans="1:2">
      <c r="A468">
        <v>467</v>
      </c>
      <c r="B468" s="3" t="s">
        <v>579</v>
      </c>
    </row>
    <row r="469" spans="1:2">
      <c r="A469">
        <v>468</v>
      </c>
      <c r="B469" s="3" t="s">
        <v>580</v>
      </c>
    </row>
    <row r="470" spans="1:2">
      <c r="A470">
        <v>469</v>
      </c>
      <c r="B470" s="3" t="s">
        <v>581</v>
      </c>
    </row>
    <row r="471" spans="1:2">
      <c r="A471">
        <v>470</v>
      </c>
      <c r="B471" t="s">
        <v>582</v>
      </c>
    </row>
    <row r="472" spans="1:2">
      <c r="A472">
        <v>471</v>
      </c>
      <c r="B472" t="s">
        <v>583</v>
      </c>
    </row>
    <row r="473" spans="1:2">
      <c r="A473">
        <v>472</v>
      </c>
      <c r="B473" t="s">
        <v>584</v>
      </c>
    </row>
    <row r="474" spans="1:2">
      <c r="A474">
        <v>473</v>
      </c>
      <c r="B474" t="s">
        <v>585</v>
      </c>
    </row>
    <row r="475" spans="1:2">
      <c r="A475">
        <v>474</v>
      </c>
      <c r="B475" t="s">
        <v>586</v>
      </c>
    </row>
    <row r="476" spans="1:2">
      <c r="A476">
        <v>475</v>
      </c>
      <c r="B476" t="s">
        <v>587</v>
      </c>
    </row>
    <row r="477" spans="1:2">
      <c r="A477">
        <v>476</v>
      </c>
      <c r="B477" s="3" t="s">
        <v>588</v>
      </c>
    </row>
    <row r="478" spans="1:2">
      <c r="A478">
        <v>477</v>
      </c>
      <c r="B478" s="3" t="s">
        <v>589</v>
      </c>
    </row>
    <row r="479" spans="1:2">
      <c r="A479">
        <v>478</v>
      </c>
      <c r="B479" t="s">
        <v>590</v>
      </c>
    </row>
    <row r="480" spans="1:2">
      <c r="A480">
        <v>479</v>
      </c>
      <c r="B480" s="3" t="s">
        <v>591</v>
      </c>
    </row>
    <row r="481" spans="1:2">
      <c r="A481">
        <v>480</v>
      </c>
      <c r="B481" t="s">
        <v>592</v>
      </c>
    </row>
    <row r="482" spans="1:2">
      <c r="A482">
        <v>481</v>
      </c>
      <c r="B482" s="3" t="s">
        <v>593</v>
      </c>
    </row>
    <row r="483" spans="1:2">
      <c r="A483">
        <v>482</v>
      </c>
      <c r="B483" s="3" t="s">
        <v>594</v>
      </c>
    </row>
    <row r="484" spans="1:2">
      <c r="A484">
        <v>483</v>
      </c>
      <c r="B484" s="3" t="s">
        <v>595</v>
      </c>
    </row>
    <row r="485" spans="1:2">
      <c r="A485">
        <v>484</v>
      </c>
      <c r="B485" s="3" t="s">
        <v>596</v>
      </c>
    </row>
    <row r="486" spans="1:2">
      <c r="A486">
        <v>485</v>
      </c>
      <c r="B486" s="3" t="s">
        <v>597</v>
      </c>
    </row>
    <row r="487" spans="1:2">
      <c r="A487">
        <v>486</v>
      </c>
      <c r="B487" t="s">
        <v>598</v>
      </c>
    </row>
    <row r="488" spans="1:2">
      <c r="A488">
        <v>487</v>
      </c>
      <c r="B488" s="3" t="s">
        <v>599</v>
      </c>
    </row>
    <row r="489" spans="1:2">
      <c r="A489">
        <v>488</v>
      </c>
      <c r="B489" s="3" t="s">
        <v>600</v>
      </c>
    </row>
    <row r="490" spans="1:2">
      <c r="A490">
        <v>489</v>
      </c>
      <c r="B490" s="3" t="s">
        <v>601</v>
      </c>
    </row>
    <row r="491" spans="1:2">
      <c r="A491">
        <v>490</v>
      </c>
      <c r="B491" s="3" t="s">
        <v>602</v>
      </c>
    </row>
    <row r="492" spans="1:2">
      <c r="A492">
        <v>491</v>
      </c>
      <c r="B492" s="3" t="s">
        <v>603</v>
      </c>
    </row>
    <row r="493" spans="1:2">
      <c r="A493">
        <v>492</v>
      </c>
      <c r="B493" s="42" t="s">
        <v>604</v>
      </c>
    </row>
    <row r="494" spans="1:2">
      <c r="A494">
        <v>493</v>
      </c>
      <c r="B494" s="3" t="s">
        <v>605</v>
      </c>
    </row>
    <row r="495" spans="1:2">
      <c r="A495">
        <v>494</v>
      </c>
      <c r="B495" t="s">
        <v>606</v>
      </c>
    </row>
    <row r="496" spans="1:2">
      <c r="A496">
        <v>495</v>
      </c>
      <c r="B496" t="s">
        <v>607</v>
      </c>
    </row>
    <row r="497" spans="1:2">
      <c r="A497">
        <v>496</v>
      </c>
      <c r="B497" t="s">
        <v>608</v>
      </c>
    </row>
    <row r="498" spans="1:2">
      <c r="A498">
        <v>497</v>
      </c>
      <c r="B498" t="s">
        <v>609</v>
      </c>
    </row>
    <row r="499" spans="1:2">
      <c r="A499">
        <v>498</v>
      </c>
      <c r="B499" s="3" t="s">
        <v>610</v>
      </c>
    </row>
    <row r="500" spans="1:2">
      <c r="A500">
        <v>499</v>
      </c>
      <c r="B500" s="3" t="s">
        <v>611</v>
      </c>
    </row>
    <row r="501" spans="1:2">
      <c r="A501">
        <v>500</v>
      </c>
      <c r="B501" s="3" t="s">
        <v>612</v>
      </c>
    </row>
    <row r="502" spans="1:2">
      <c r="A502">
        <v>501</v>
      </c>
      <c r="B502" t="s">
        <v>613</v>
      </c>
    </row>
    <row r="503" spans="1:2">
      <c r="A503">
        <v>502</v>
      </c>
      <c r="B503" s="43" t="s">
        <v>614</v>
      </c>
    </row>
    <row r="504" spans="1:2">
      <c r="A504">
        <v>503</v>
      </c>
      <c r="B504" s="43" t="s">
        <v>615</v>
      </c>
    </row>
    <row r="505" spans="1:2">
      <c r="A505">
        <v>504</v>
      </c>
      <c r="B505" s="43" t="s">
        <v>616</v>
      </c>
    </row>
    <row r="506" spans="1:2">
      <c r="A506">
        <v>505</v>
      </c>
      <c r="B506" s="43" t="s">
        <v>617</v>
      </c>
    </row>
    <row r="507" spans="1:2">
      <c r="A507">
        <v>506</v>
      </c>
      <c r="B507" t="s">
        <v>618</v>
      </c>
    </row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C4" sqref="A4:C4"/>
    </sheetView>
  </sheetViews>
  <sheetFormatPr defaultColWidth="9" defaultRowHeight="13.5"/>
  <cols>
    <col min="2" max="2" width="43" customWidth="1"/>
    <col min="3" max="3" width="33.125" customWidth="1"/>
  </cols>
  <sheetData>
    <row r="1" spans="1:3">
      <c r="A1" s="3" t="s">
        <v>619</v>
      </c>
      <c r="B1" s="3" t="s">
        <v>620</v>
      </c>
      <c r="C1" s="3" t="s">
        <v>621</v>
      </c>
    </row>
    <row r="2" spans="1:3">
      <c r="A2">
        <v>1</v>
      </c>
      <c r="B2" s="3" t="s">
        <v>622</v>
      </c>
      <c r="C2" s="3" t="s">
        <v>623</v>
      </c>
    </row>
    <row r="3" spans="1:3">
      <c r="A3">
        <v>2</v>
      </c>
      <c r="B3" t="s">
        <v>624</v>
      </c>
      <c r="C3" t="s">
        <v>82</v>
      </c>
    </row>
  </sheetData>
  <phoneticPr fontId="13" type="noConversion"/>
  <pageMargins left="0.69930555555555596" right="0.69930555555555596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5"/>
  <sheetViews>
    <sheetView topLeftCell="A7" workbookViewId="0">
      <selection activeCell="D13" sqref="D13"/>
    </sheetView>
  </sheetViews>
  <sheetFormatPr defaultColWidth="9" defaultRowHeight="13.5"/>
  <cols>
    <col min="1" max="1" width="3.5" customWidth="1"/>
    <col min="3" max="3" width="15.125" customWidth="1"/>
    <col min="4" max="4" width="21.625" customWidth="1"/>
    <col min="5" max="5" width="7.375" customWidth="1"/>
    <col min="6" max="6" width="5.25" customWidth="1"/>
    <col min="7" max="7" width="10.25" customWidth="1"/>
    <col min="8" max="8" width="10" customWidth="1"/>
    <col min="9" max="9" width="48.375" customWidth="1"/>
    <col min="10" max="10" width="10.25" customWidth="1"/>
    <col min="11" max="11" width="10" customWidth="1"/>
    <col min="12" max="12" width="31.75" customWidth="1"/>
    <col min="13" max="13" width="10.25" customWidth="1"/>
    <col min="14" max="14" width="10" customWidth="1"/>
    <col min="15" max="15" width="42.125" customWidth="1"/>
    <col min="16" max="16" width="10.25" customWidth="1"/>
    <col min="17" max="17" width="10" customWidth="1"/>
    <col min="18" max="18" width="34.5" customWidth="1"/>
    <col min="19" max="19" width="10.25" customWidth="1"/>
    <col min="20" max="20" width="10" customWidth="1"/>
    <col min="21" max="21" width="24.5" customWidth="1"/>
  </cols>
  <sheetData>
    <row r="1" spans="1:21">
      <c r="A1" s="28" t="s">
        <v>0</v>
      </c>
      <c r="B1" s="28" t="s">
        <v>1</v>
      </c>
      <c r="C1" s="29" t="s">
        <v>625</v>
      </c>
      <c r="D1" s="28" t="s">
        <v>626</v>
      </c>
      <c r="E1" s="28" t="s">
        <v>627</v>
      </c>
      <c r="F1" s="28" t="s">
        <v>628</v>
      </c>
      <c r="G1" s="28" t="s">
        <v>629</v>
      </c>
      <c r="H1" s="28" t="s">
        <v>630</v>
      </c>
      <c r="I1" s="29" t="s">
        <v>631</v>
      </c>
      <c r="J1" s="28" t="s">
        <v>632</v>
      </c>
      <c r="K1" s="28" t="s">
        <v>633</v>
      </c>
      <c r="L1" s="29" t="s">
        <v>634</v>
      </c>
      <c r="M1" s="28" t="s">
        <v>635</v>
      </c>
      <c r="N1" s="28" t="s">
        <v>636</v>
      </c>
      <c r="O1" s="29" t="s">
        <v>637</v>
      </c>
      <c r="P1" s="28" t="s">
        <v>638</v>
      </c>
      <c r="Q1" s="28" t="s">
        <v>639</v>
      </c>
      <c r="R1" s="29" t="s">
        <v>640</v>
      </c>
      <c r="S1" s="28" t="s">
        <v>641</v>
      </c>
      <c r="T1" s="28" t="s">
        <v>642</v>
      </c>
      <c r="U1" s="29" t="s">
        <v>643</v>
      </c>
    </row>
    <row r="2" spans="1:21">
      <c r="A2" s="28">
        <v>1</v>
      </c>
      <c r="B2" s="28" t="s">
        <v>644</v>
      </c>
      <c r="C2" s="28">
        <v>0</v>
      </c>
      <c r="D2" s="28" t="s">
        <v>645</v>
      </c>
      <c r="E2" s="28">
        <v>29</v>
      </c>
      <c r="F2" s="28">
        <f t="shared" ref="F2" si="0">COUNTA(G2:V2)/3</f>
        <v>3</v>
      </c>
      <c r="G2" s="28">
        <v>29</v>
      </c>
      <c r="H2" s="29" t="s">
        <v>644</v>
      </c>
      <c r="I2" s="29" t="s">
        <v>646</v>
      </c>
      <c r="J2" s="28">
        <v>15</v>
      </c>
      <c r="K2" s="29" t="s">
        <v>647</v>
      </c>
      <c r="L2" s="29" t="s">
        <v>648</v>
      </c>
      <c r="M2" s="28">
        <v>15</v>
      </c>
      <c r="N2" s="29" t="s">
        <v>649</v>
      </c>
      <c r="O2" s="29" t="s">
        <v>650</v>
      </c>
      <c r="P2" s="28"/>
      <c r="Q2" s="28"/>
      <c r="R2" s="28"/>
      <c r="S2" s="28"/>
      <c r="T2" s="28"/>
      <c r="U2" s="28"/>
    </row>
    <row r="3" spans="1:21">
      <c r="A3" s="28">
        <v>2</v>
      </c>
      <c r="B3" s="29" t="s">
        <v>651</v>
      </c>
      <c r="C3" s="28">
        <v>0</v>
      </c>
      <c r="D3" s="29" t="s">
        <v>652</v>
      </c>
      <c r="E3" s="28">
        <v>4</v>
      </c>
      <c r="F3" s="28">
        <f>COUNTA(G3:V3)/3</f>
        <v>3</v>
      </c>
      <c r="G3" s="28">
        <v>26</v>
      </c>
      <c r="H3" s="29" t="s">
        <v>32</v>
      </c>
      <c r="I3" s="29" t="s">
        <v>653</v>
      </c>
      <c r="J3" s="30">
        <v>4</v>
      </c>
      <c r="K3" s="29" t="s">
        <v>654</v>
      </c>
      <c r="L3" s="29" t="s">
        <v>655</v>
      </c>
      <c r="M3" s="28">
        <v>41</v>
      </c>
      <c r="N3" s="29" t="s">
        <v>656</v>
      </c>
      <c r="O3" s="29" t="s">
        <v>657</v>
      </c>
      <c r="P3" s="28"/>
      <c r="Q3" s="28"/>
      <c r="R3" s="28"/>
      <c r="S3" s="28"/>
      <c r="T3" s="28"/>
      <c r="U3" s="28"/>
    </row>
    <row r="4" spans="1:21">
      <c r="A4" s="28">
        <v>3</v>
      </c>
      <c r="B4" s="29" t="s">
        <v>658</v>
      </c>
      <c r="C4" s="28">
        <v>0</v>
      </c>
      <c r="D4" s="29" t="s">
        <v>659</v>
      </c>
      <c r="E4" s="28">
        <v>46</v>
      </c>
      <c r="F4" s="28">
        <f t="shared" ref="F4" si="1">COUNTA(G4:V4)/3</f>
        <v>5</v>
      </c>
      <c r="G4" s="28">
        <v>46</v>
      </c>
      <c r="H4" s="29" t="s">
        <v>52</v>
      </c>
      <c r="I4" s="29" t="s">
        <v>660</v>
      </c>
      <c r="J4" s="30">
        <v>12</v>
      </c>
      <c r="K4" s="29" t="s">
        <v>661</v>
      </c>
      <c r="L4" s="29" t="s">
        <v>662</v>
      </c>
      <c r="M4" s="28">
        <v>26</v>
      </c>
      <c r="N4" s="29" t="s">
        <v>663</v>
      </c>
      <c r="O4" s="29" t="s">
        <v>664</v>
      </c>
      <c r="P4" s="28">
        <v>26</v>
      </c>
      <c r="Q4" s="29" t="s">
        <v>665</v>
      </c>
      <c r="R4" s="28" t="s">
        <v>666</v>
      </c>
      <c r="S4" s="28">
        <v>26</v>
      </c>
      <c r="T4" s="29" t="s">
        <v>667</v>
      </c>
      <c r="U4" s="28" t="s">
        <v>668</v>
      </c>
    </row>
    <row r="5" spans="1:21">
      <c r="A5" s="28">
        <v>4</v>
      </c>
      <c r="B5" s="29" t="s">
        <v>14</v>
      </c>
      <c r="C5" s="28">
        <v>1</v>
      </c>
      <c r="D5" s="28" t="s">
        <v>669</v>
      </c>
      <c r="E5" s="28">
        <v>8</v>
      </c>
      <c r="F5" s="28">
        <f>COUNTA(G5:V5)/3</f>
        <v>3</v>
      </c>
      <c r="G5" s="28">
        <v>8</v>
      </c>
      <c r="H5" s="28" t="s">
        <v>670</v>
      </c>
      <c r="I5" s="29" t="s">
        <v>671</v>
      </c>
      <c r="J5" s="28">
        <v>43</v>
      </c>
      <c r="K5" s="29" t="s">
        <v>672</v>
      </c>
      <c r="L5" s="29" t="s">
        <v>673</v>
      </c>
      <c r="M5" s="28">
        <v>35</v>
      </c>
      <c r="N5" s="29" t="s">
        <v>674</v>
      </c>
      <c r="O5" s="29" t="s">
        <v>675</v>
      </c>
      <c r="P5" s="28"/>
      <c r="Q5" s="28"/>
      <c r="R5" s="28"/>
      <c r="S5" s="28"/>
      <c r="T5" s="28"/>
      <c r="U5" s="28"/>
    </row>
    <row r="6" spans="1:21">
      <c r="A6" s="28">
        <v>5</v>
      </c>
      <c r="B6" s="29" t="s">
        <v>676</v>
      </c>
      <c r="C6" s="28">
        <v>1</v>
      </c>
      <c r="D6" s="28" t="s">
        <v>677</v>
      </c>
      <c r="E6" s="28">
        <v>7</v>
      </c>
      <c r="F6" s="28">
        <f>COUNTA(G6:V6)/3</f>
        <v>4</v>
      </c>
      <c r="G6" s="28">
        <v>7</v>
      </c>
      <c r="H6" s="29" t="s">
        <v>13</v>
      </c>
      <c r="I6" s="29" t="s">
        <v>678</v>
      </c>
      <c r="J6" s="28">
        <v>33</v>
      </c>
      <c r="K6" s="29" t="s">
        <v>39</v>
      </c>
      <c r="L6" s="29" t="s">
        <v>679</v>
      </c>
      <c r="M6" s="28">
        <v>34</v>
      </c>
      <c r="N6" s="29" t="s">
        <v>40</v>
      </c>
      <c r="O6" s="29" t="s">
        <v>680</v>
      </c>
      <c r="P6" s="28">
        <v>42</v>
      </c>
      <c r="Q6" s="29" t="s">
        <v>681</v>
      </c>
      <c r="R6" s="29" t="s">
        <v>682</v>
      </c>
      <c r="S6" s="28"/>
      <c r="T6" s="28"/>
      <c r="U6" s="28"/>
    </row>
    <row r="7" spans="1:21">
      <c r="A7" s="28">
        <v>6</v>
      </c>
      <c r="B7" s="29" t="s">
        <v>12</v>
      </c>
      <c r="C7" s="28">
        <v>1</v>
      </c>
      <c r="D7" s="28" t="s">
        <v>683</v>
      </c>
      <c r="E7" s="28">
        <v>6</v>
      </c>
      <c r="F7" s="28">
        <f>COUNTA(G7:V7)/3</f>
        <v>5</v>
      </c>
      <c r="G7" s="28">
        <v>6</v>
      </c>
      <c r="H7" s="29" t="s">
        <v>40</v>
      </c>
      <c r="I7" s="29" t="s">
        <v>684</v>
      </c>
      <c r="J7" s="28">
        <v>6</v>
      </c>
      <c r="K7" s="29" t="s">
        <v>685</v>
      </c>
      <c r="L7" s="29" t="s">
        <v>686</v>
      </c>
      <c r="M7" s="28">
        <v>6</v>
      </c>
      <c r="N7" s="29" t="s">
        <v>687</v>
      </c>
      <c r="O7" s="29" t="s">
        <v>688</v>
      </c>
      <c r="P7" s="28">
        <v>44</v>
      </c>
      <c r="Q7" s="29" t="s">
        <v>328</v>
      </c>
      <c r="R7" s="29" t="s">
        <v>689</v>
      </c>
      <c r="S7" s="28">
        <v>19</v>
      </c>
      <c r="T7" s="29" t="s">
        <v>25</v>
      </c>
      <c r="U7" s="29" t="s">
        <v>690</v>
      </c>
    </row>
    <row r="8" spans="1:21">
      <c r="A8" s="28">
        <v>7</v>
      </c>
      <c r="B8" s="29" t="s">
        <v>691</v>
      </c>
      <c r="C8" s="28">
        <v>1</v>
      </c>
      <c r="D8" s="28" t="s">
        <v>692</v>
      </c>
      <c r="E8" s="28">
        <v>11</v>
      </c>
      <c r="F8" s="28">
        <f>COUNTA(G8:V8)/3</f>
        <v>2</v>
      </c>
      <c r="G8" s="28">
        <v>11</v>
      </c>
      <c r="H8" s="29" t="s">
        <v>17</v>
      </c>
      <c r="I8" s="29" t="s">
        <v>693</v>
      </c>
      <c r="J8" s="28">
        <v>45</v>
      </c>
      <c r="K8" s="29" t="s">
        <v>694</v>
      </c>
      <c r="L8" s="29" t="s">
        <v>695</v>
      </c>
      <c r="M8" s="28"/>
      <c r="N8" s="28"/>
      <c r="O8" s="28"/>
      <c r="P8" s="28"/>
      <c r="Q8" s="28"/>
      <c r="R8" s="28"/>
      <c r="S8" s="28"/>
      <c r="T8" s="28"/>
      <c r="U8" s="28"/>
    </row>
    <row r="9" spans="1:21">
      <c r="A9" s="28">
        <v>8</v>
      </c>
      <c r="B9" s="29" t="s">
        <v>696</v>
      </c>
      <c r="C9" s="28">
        <v>1</v>
      </c>
      <c r="D9" s="28" t="s">
        <v>697</v>
      </c>
      <c r="E9" s="28">
        <v>10</v>
      </c>
      <c r="F9" s="28">
        <f>COUNTA(G9:V9)/3</f>
        <v>1</v>
      </c>
      <c r="G9" s="28">
        <v>10</v>
      </c>
      <c r="H9" s="29" t="s">
        <v>696</v>
      </c>
      <c r="I9" s="29" t="s">
        <v>698</v>
      </c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1">
      <c r="A10" s="28"/>
      <c r="B10" s="28"/>
      <c r="C10" s="28"/>
      <c r="D10" s="28"/>
      <c r="E10" s="28"/>
      <c r="F10" s="28"/>
      <c r="G10" s="28"/>
      <c r="H10" s="28"/>
      <c r="I10" s="29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</row>
    <row r="11" spans="1:21">
      <c r="A11" s="28"/>
      <c r="B11" s="28"/>
      <c r="C11" s="28"/>
      <c r="D11" s="28"/>
      <c r="E11" s="28"/>
      <c r="F11" s="28"/>
      <c r="G11" s="28"/>
      <c r="H11" s="28"/>
      <c r="I11" s="29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</row>
    <row r="15" spans="1:21">
      <c r="G15" s="28"/>
      <c r="H15" s="29"/>
      <c r="I15" s="29"/>
      <c r="J15" s="30"/>
      <c r="K15" s="29"/>
      <c r="L15" s="29"/>
      <c r="M15" s="28"/>
      <c r="N15" s="29"/>
      <c r="O15" s="29"/>
    </row>
  </sheetData>
  <phoneticPr fontId="13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workbookViewId="0">
      <selection activeCell="B17" sqref="B17"/>
    </sheetView>
  </sheetViews>
  <sheetFormatPr defaultColWidth="9" defaultRowHeight="13.5"/>
  <cols>
    <col min="2" max="2" width="47.625" customWidth="1"/>
  </cols>
  <sheetData>
    <row r="1" spans="1:11">
      <c r="A1" s="3" t="s">
        <v>619</v>
      </c>
      <c r="B1" s="3" t="s">
        <v>132</v>
      </c>
      <c r="C1" s="3" t="s">
        <v>699</v>
      </c>
      <c r="D1" s="3" t="s">
        <v>700</v>
      </c>
      <c r="E1" s="3" t="s">
        <v>701</v>
      </c>
      <c r="F1" s="3" t="s">
        <v>702</v>
      </c>
      <c r="G1" s="3" t="s">
        <v>703</v>
      </c>
      <c r="H1" s="3" t="s">
        <v>704</v>
      </c>
      <c r="I1" s="3" t="s">
        <v>705</v>
      </c>
      <c r="J1" s="3" t="s">
        <v>706</v>
      </c>
      <c r="K1" s="3" t="s">
        <v>707</v>
      </c>
    </row>
    <row r="2" spans="1:11">
      <c r="A2">
        <v>1011</v>
      </c>
      <c r="B2" s="3" t="s">
        <v>708</v>
      </c>
      <c r="C2">
        <v>2</v>
      </c>
      <c r="D2">
        <v>1</v>
      </c>
      <c r="E2">
        <v>2</v>
      </c>
    </row>
    <row r="3" spans="1:11">
      <c r="A3">
        <v>1012</v>
      </c>
      <c r="B3" s="3" t="s">
        <v>709</v>
      </c>
      <c r="C3">
        <v>0</v>
      </c>
    </row>
    <row r="4" spans="1:11">
      <c r="A4">
        <v>1021</v>
      </c>
      <c r="B4" s="3" t="s">
        <v>708</v>
      </c>
      <c r="C4">
        <v>2</v>
      </c>
      <c r="D4">
        <v>1</v>
      </c>
      <c r="E4">
        <v>2</v>
      </c>
    </row>
    <row r="5" spans="1:11">
      <c r="A5">
        <v>1022</v>
      </c>
      <c r="B5" s="3" t="s">
        <v>710</v>
      </c>
      <c r="C5">
        <v>0</v>
      </c>
    </row>
    <row r="6" spans="1:11">
      <c r="A6">
        <v>1031</v>
      </c>
      <c r="B6" s="3" t="s">
        <v>708</v>
      </c>
      <c r="C6">
        <v>2</v>
      </c>
      <c r="D6">
        <v>1</v>
      </c>
      <c r="E6">
        <v>2</v>
      </c>
    </row>
    <row r="7" spans="1:11">
      <c r="A7">
        <v>1032</v>
      </c>
      <c r="B7" s="3" t="s">
        <v>711</v>
      </c>
      <c r="C7">
        <v>0</v>
      </c>
    </row>
    <row r="8" spans="1:11">
      <c r="A8">
        <v>1041</v>
      </c>
      <c r="B8" s="3" t="s">
        <v>708</v>
      </c>
      <c r="C8">
        <v>2</v>
      </c>
      <c r="D8">
        <v>1</v>
      </c>
      <c r="E8">
        <v>2</v>
      </c>
    </row>
    <row r="9" spans="1:11">
      <c r="A9">
        <v>1042</v>
      </c>
      <c r="B9" s="3" t="s">
        <v>712</v>
      </c>
      <c r="C9">
        <v>0</v>
      </c>
    </row>
    <row r="10" spans="1:11">
      <c r="A10">
        <v>1051</v>
      </c>
      <c r="B10" s="3" t="s">
        <v>713</v>
      </c>
      <c r="C10">
        <v>2</v>
      </c>
      <c r="D10">
        <v>1</v>
      </c>
      <c r="E10">
        <v>2</v>
      </c>
    </row>
    <row r="11" spans="1:11">
      <c r="A11">
        <v>1052</v>
      </c>
      <c r="B11" s="3" t="s">
        <v>714</v>
      </c>
      <c r="C11">
        <v>0</v>
      </c>
    </row>
    <row r="12" spans="1:11">
      <c r="A12">
        <v>1061</v>
      </c>
      <c r="B12" s="3" t="s">
        <v>715</v>
      </c>
      <c r="C12">
        <v>2</v>
      </c>
      <c r="D12">
        <v>1</v>
      </c>
      <c r="E12">
        <v>2</v>
      </c>
    </row>
    <row r="13" spans="1:11">
      <c r="A13">
        <v>1062</v>
      </c>
      <c r="B13" s="3" t="s">
        <v>714</v>
      </c>
      <c r="C13">
        <v>0</v>
      </c>
    </row>
    <row r="14" spans="1:11">
      <c r="A14">
        <v>1701</v>
      </c>
      <c r="B14" s="3" t="s">
        <v>716</v>
      </c>
      <c r="C14">
        <v>5</v>
      </c>
      <c r="D14">
        <v>1</v>
      </c>
      <c r="E14">
        <v>2</v>
      </c>
      <c r="F14">
        <v>1</v>
      </c>
      <c r="G14">
        <v>2</v>
      </c>
      <c r="H14">
        <v>3</v>
      </c>
    </row>
    <row r="15" spans="1:11">
      <c r="A15">
        <v>1801</v>
      </c>
      <c r="B15" s="3" t="s">
        <v>478</v>
      </c>
      <c r="C15">
        <v>0</v>
      </c>
    </row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G14" sqref="G14"/>
    </sheetView>
  </sheetViews>
  <sheetFormatPr defaultColWidth="9" defaultRowHeight="13.5"/>
  <cols>
    <col min="2" max="2" width="10.125" customWidth="1"/>
  </cols>
  <sheetData>
    <row r="1" spans="1:5">
      <c r="A1" s="3" t="s">
        <v>717</v>
      </c>
      <c r="B1" s="3" t="s">
        <v>718</v>
      </c>
      <c r="C1" s="3" t="s">
        <v>719</v>
      </c>
      <c r="D1" s="3" t="s">
        <v>720</v>
      </c>
      <c r="E1" s="3" t="s">
        <v>721</v>
      </c>
    </row>
    <row r="2" spans="1:5">
      <c r="A2">
        <v>1</v>
      </c>
      <c r="B2" s="3" t="s">
        <v>722</v>
      </c>
      <c r="C2">
        <v>255</v>
      </c>
      <c r="D2">
        <v>252</v>
      </c>
      <c r="E2">
        <v>0</v>
      </c>
    </row>
    <row r="3" spans="1:5">
      <c r="A3">
        <v>2</v>
      </c>
      <c r="B3" s="3" t="s">
        <v>723</v>
      </c>
      <c r="C3">
        <v>255</v>
      </c>
      <c r="D3">
        <v>138</v>
      </c>
      <c r="E3">
        <v>0</v>
      </c>
    </row>
    <row r="4" spans="1:5">
      <c r="A4">
        <v>3</v>
      </c>
      <c r="B4" s="3" t="s">
        <v>724</v>
      </c>
      <c r="C4">
        <v>0</v>
      </c>
      <c r="D4">
        <v>236</v>
      </c>
      <c r="E4">
        <v>6</v>
      </c>
    </row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17"/>
  </sheetPr>
  <dimension ref="A1:Y31"/>
  <sheetViews>
    <sheetView tabSelected="1" topLeftCell="A7" workbookViewId="0">
      <selection activeCell="H40" sqref="H40"/>
    </sheetView>
  </sheetViews>
  <sheetFormatPr defaultColWidth="9" defaultRowHeight="13.5"/>
  <cols>
    <col min="1" max="1" width="27.625" customWidth="1"/>
  </cols>
  <sheetData>
    <row r="1" spans="1:25" s="8" customFormat="1">
      <c r="B1" s="8" t="s">
        <v>725</v>
      </c>
      <c r="C1" s="8" t="s">
        <v>726</v>
      </c>
      <c r="D1" s="8" t="s">
        <v>727</v>
      </c>
      <c r="E1" s="8" t="s">
        <v>728</v>
      </c>
      <c r="F1" s="8" t="s">
        <v>729</v>
      </c>
      <c r="G1" s="8" t="s">
        <v>730</v>
      </c>
      <c r="H1" s="8" t="s">
        <v>731</v>
      </c>
      <c r="I1" s="8" t="s">
        <v>732</v>
      </c>
      <c r="J1" s="8" t="s">
        <v>733</v>
      </c>
      <c r="K1" s="8" t="s">
        <v>734</v>
      </c>
      <c r="L1" s="8" t="s">
        <v>735</v>
      </c>
      <c r="M1" s="8" t="s">
        <v>736</v>
      </c>
      <c r="N1" s="8" t="s">
        <v>737</v>
      </c>
      <c r="O1" s="8" t="s">
        <v>738</v>
      </c>
      <c r="P1" s="8" t="s">
        <v>739</v>
      </c>
    </row>
    <row r="2" spans="1:25" s="9" customFormat="1">
      <c r="A2" s="9" t="s">
        <v>740</v>
      </c>
      <c r="B2" s="9">
        <v>1</v>
      </c>
      <c r="C2" s="9">
        <f>COUNTIF(D2:P2,"&gt;0")</f>
        <v>13</v>
      </c>
      <c r="D2" s="9">
        <f>[2]各种公式!C13</f>
        <v>0.04</v>
      </c>
      <c r="E2" s="9">
        <f>[2]各种公式!D13</f>
        <v>1</v>
      </c>
      <c r="F2" s="9">
        <f>[2]各种公式!E13</f>
        <v>1</v>
      </c>
      <c r="G2" s="9">
        <f>[2]各种公式!F13</f>
        <v>0.34</v>
      </c>
      <c r="H2" s="9">
        <f>[2]各种公式!G13</f>
        <v>0.34</v>
      </c>
      <c r="I2" s="9">
        <f>[2]各种公式!H13</f>
        <v>0.18</v>
      </c>
      <c r="J2" s="9">
        <f>[2]各种公式!I13</f>
        <v>0.12</v>
      </c>
      <c r="K2" s="9">
        <f>[2]各种公式!J13</f>
        <v>0.18</v>
      </c>
      <c r="L2" s="9">
        <f>[2]各种公式!K13</f>
        <v>0.3</v>
      </c>
      <c r="M2" s="9">
        <f>[2]各种公式!L13</f>
        <v>0.3</v>
      </c>
      <c r="N2" s="9">
        <f>[2]各种公式!M13</f>
        <v>0.4</v>
      </c>
      <c r="O2" s="9">
        <f>[2]各种公式!N13</f>
        <v>0.36</v>
      </c>
      <c r="P2" s="9">
        <f>[2]各种公式!O13</f>
        <v>0.24</v>
      </c>
      <c r="Q2" s="9" t="s">
        <v>741</v>
      </c>
    </row>
    <row r="3" spans="1:25" s="10" customFormat="1">
      <c r="A3" s="10" t="s">
        <v>742</v>
      </c>
      <c r="B3" s="10">
        <v>2</v>
      </c>
      <c r="C3" s="10">
        <f t="shared" ref="C3" si="0">COUNTIF(D3:P3,"&gt;0")</f>
        <v>1</v>
      </c>
      <c r="D3" s="10">
        <v>116666</v>
      </c>
      <c r="Q3" s="25" t="s">
        <v>743</v>
      </c>
    </row>
    <row r="4" spans="1:25" s="11" customFormat="1">
      <c r="A4" s="11" t="s">
        <v>744</v>
      </c>
      <c r="B4" s="11">
        <v>3</v>
      </c>
      <c r="C4" s="11">
        <f t="shared" ref="C4" si="1">COUNTIF(D4:P4,"&gt;0")</f>
        <v>1</v>
      </c>
      <c r="D4" s="11">
        <f>INT([2]各种公式!$J$5/0.3)</f>
        <v>166666</v>
      </c>
      <c r="Q4" s="11" t="s">
        <v>745</v>
      </c>
    </row>
    <row r="5" spans="1:25" s="12" customFormat="1">
      <c r="A5" s="12" t="s">
        <v>746</v>
      </c>
      <c r="B5" s="12">
        <v>4</v>
      </c>
      <c r="C5" s="12">
        <f t="shared" ref="C5" si="2">COUNTIF(D5:P5,"&gt;0")</f>
        <v>6</v>
      </c>
      <c r="D5" s="12">
        <v>70001</v>
      </c>
      <c r="E5" s="12">
        <v>70002</v>
      </c>
      <c r="F5" s="12">
        <v>70003</v>
      </c>
      <c r="G5" s="12">
        <v>200</v>
      </c>
      <c r="H5" s="12">
        <v>1000</v>
      </c>
      <c r="I5" s="12">
        <v>5000</v>
      </c>
      <c r="Q5" s="12" t="s">
        <v>747</v>
      </c>
      <c r="R5" s="26"/>
      <c r="S5" s="26"/>
      <c r="T5" s="26"/>
      <c r="U5" s="26"/>
      <c r="V5" s="26"/>
      <c r="W5" s="26"/>
      <c r="X5" s="26"/>
      <c r="Y5" s="26"/>
    </row>
    <row r="6" spans="1:25" s="10" customFormat="1">
      <c r="A6" s="10" t="s">
        <v>748</v>
      </c>
      <c r="B6" s="10">
        <v>5</v>
      </c>
      <c r="C6" s="10">
        <f>COUNTIF(D6:P6,"&gt;0")</f>
        <v>6</v>
      </c>
      <c r="D6" s="10">
        <v>70101</v>
      </c>
      <c r="E6" s="10">
        <v>70201</v>
      </c>
      <c r="F6" s="10">
        <v>70301</v>
      </c>
      <c r="G6" s="10">
        <v>200</v>
      </c>
      <c r="H6" s="10">
        <v>1000</v>
      </c>
      <c r="I6" s="10">
        <v>5000</v>
      </c>
      <c r="Q6" s="10" t="s">
        <v>749</v>
      </c>
    </row>
    <row r="7" spans="1:25" s="13" customFormat="1">
      <c r="A7" s="13" t="s">
        <v>750</v>
      </c>
      <c r="B7" s="13">
        <v>6</v>
      </c>
      <c r="C7" s="13">
        <f>COUNTIF(D7:P7,"&gt;0")</f>
        <v>3</v>
      </c>
      <c r="D7" s="13">
        <f>[3]D_马仔升星属性!J5</f>
        <v>150</v>
      </c>
      <c r="E7" s="13">
        <f>[3]D_马仔升星属性!K5</f>
        <v>5</v>
      </c>
      <c r="F7" s="13">
        <f>[3]D_马仔升星属性!L5</f>
        <v>2.5</v>
      </c>
      <c r="Q7" s="13" t="s">
        <v>751</v>
      </c>
    </row>
    <row r="8" spans="1:25" s="14" customFormat="1">
      <c r="A8" s="14" t="s">
        <v>752</v>
      </c>
      <c r="B8" s="14">
        <v>7</v>
      </c>
      <c r="C8" s="14">
        <f>COUNTIF(D8:P8,"&gt;0")</f>
        <v>8</v>
      </c>
      <c r="D8" s="14">
        <v>1000</v>
      </c>
      <c r="E8" s="14">
        <v>100000</v>
      </c>
      <c r="F8" s="11">
        <v>50000</v>
      </c>
      <c r="G8" s="11">
        <v>100000</v>
      </c>
      <c r="H8" s="11">
        <v>100000</v>
      </c>
      <c r="I8" s="11">
        <v>66666</v>
      </c>
      <c r="J8" s="11">
        <v>66666</v>
      </c>
      <c r="K8" s="11">
        <v>66666</v>
      </c>
      <c r="Q8" s="27" t="s">
        <v>753</v>
      </c>
    </row>
    <row r="9" spans="1:25" s="15" customFormat="1">
      <c r="A9" s="15" t="s">
        <v>754</v>
      </c>
      <c r="B9" s="15">
        <v>8</v>
      </c>
      <c r="C9" s="15">
        <f>COUNTIF(D9:P9,"&gt;0")</f>
        <v>1</v>
      </c>
      <c r="D9" s="15">
        <v>0.6</v>
      </c>
    </row>
    <row r="10" spans="1:25" s="16" customFormat="1">
      <c r="A10" s="16" t="s">
        <v>52</v>
      </c>
      <c r="B10" s="16">
        <v>9</v>
      </c>
      <c r="C10" s="16">
        <f>COUNTIF(D10:P10,"&gt;0")</f>
        <v>1</v>
      </c>
      <c r="D10" s="16">
        <v>120</v>
      </c>
    </row>
    <row r="11" spans="1:25" s="17" customFormat="1">
      <c r="A11" s="18" t="s">
        <v>755</v>
      </c>
      <c r="B11" s="19">
        <v>10</v>
      </c>
      <c r="C11" s="19">
        <f t="shared" ref="C11" si="3">COUNTIF(D11:P11,"&gt;0")</f>
        <v>1</v>
      </c>
      <c r="D11" s="19">
        <v>1200</v>
      </c>
      <c r="E11" s="19"/>
    </row>
    <row r="12" spans="1:25">
      <c r="A12" s="8" t="s">
        <v>756</v>
      </c>
      <c r="B12" s="8">
        <v>11</v>
      </c>
      <c r="C12" s="20">
        <f>COUNTIF(D12:P12,"&gt;0")</f>
        <v>2</v>
      </c>
      <c r="D12" s="8">
        <v>600</v>
      </c>
      <c r="E12" s="8">
        <v>12</v>
      </c>
      <c r="Q12" t="s">
        <v>757</v>
      </c>
      <c r="V12" t="s">
        <v>758</v>
      </c>
    </row>
    <row r="13" spans="1:25">
      <c r="A13" s="8" t="s">
        <v>759</v>
      </c>
      <c r="B13" s="8">
        <v>12</v>
      </c>
      <c r="C13" s="20">
        <f>COUNTIF(D13:P13,"&gt;0")</f>
        <v>2</v>
      </c>
      <c r="D13" s="8">
        <v>1</v>
      </c>
      <c r="E13" s="8">
        <v>5</v>
      </c>
      <c r="Q13" t="s">
        <v>760</v>
      </c>
      <c r="T13" t="s">
        <v>761</v>
      </c>
    </row>
    <row r="14" spans="1:25">
      <c r="A14" s="21" t="s">
        <v>762</v>
      </c>
      <c r="B14" s="8">
        <v>13</v>
      </c>
      <c r="C14" s="20">
        <f t="shared" ref="C14" si="4">COUNTIF(D14:P14,"&gt;0")</f>
        <v>1</v>
      </c>
      <c r="D14" s="8">
        <v>180</v>
      </c>
      <c r="E14" s="8"/>
    </row>
    <row r="15" spans="1:25">
      <c r="A15" s="8" t="s">
        <v>763</v>
      </c>
      <c r="B15" s="8">
        <v>14</v>
      </c>
      <c r="C15" s="20">
        <f>COUNTIF(D15:P15,"&gt;0")</f>
        <v>1</v>
      </c>
      <c r="D15" s="8">
        <v>7000</v>
      </c>
      <c r="E15" s="8"/>
      <c r="Q15" t="s">
        <v>764</v>
      </c>
    </row>
    <row r="16" spans="1:25">
      <c r="A16" s="22" t="s">
        <v>765</v>
      </c>
      <c r="B16" s="23">
        <v>15</v>
      </c>
      <c r="C16" s="20">
        <f>COUNTIF(D16:P16,"&gt;0")</f>
        <v>3</v>
      </c>
      <c r="D16" s="23">
        <v>3</v>
      </c>
      <c r="E16">
        <v>20</v>
      </c>
      <c r="F16">
        <v>20</v>
      </c>
      <c r="Q16" t="s">
        <v>766</v>
      </c>
    </row>
    <row r="17" spans="1:17">
      <c r="A17" s="22" t="s">
        <v>767</v>
      </c>
      <c r="B17" s="23">
        <v>16</v>
      </c>
      <c r="C17" s="20">
        <f t="shared" ref="C17" si="5">COUNTIF(D17:P17,"&gt;0")</f>
        <v>2</v>
      </c>
      <c r="D17">
        <v>89107</v>
      </c>
      <c r="E17">
        <v>89111</v>
      </c>
    </row>
    <row r="18" spans="1:17">
      <c r="A18" s="22" t="s">
        <v>768</v>
      </c>
      <c r="B18" s="23">
        <v>17</v>
      </c>
      <c r="C18" s="20">
        <f t="shared" ref="C18" si="6">COUNTIF(D18:P18,"&gt;0")</f>
        <v>1</v>
      </c>
      <c r="D18">
        <v>83304</v>
      </c>
      <c r="Q18" t="s">
        <v>769</v>
      </c>
    </row>
    <row r="19" spans="1:17">
      <c r="A19" s="22" t="s">
        <v>41</v>
      </c>
      <c r="B19" s="23">
        <v>18</v>
      </c>
      <c r="C19" s="20">
        <f t="shared" ref="C19" si="7">COUNTIF(D19:P19,"&gt;0")</f>
        <v>12</v>
      </c>
      <c r="D19">
        <v>2</v>
      </c>
      <c r="E19">
        <v>5</v>
      </c>
      <c r="F19">
        <v>50</v>
      </c>
      <c r="G19">
        <v>50</v>
      </c>
      <c r="H19">
        <v>15</v>
      </c>
      <c r="I19">
        <v>3</v>
      </c>
      <c r="J19">
        <v>1800</v>
      </c>
      <c r="K19">
        <v>1</v>
      </c>
      <c r="L19">
        <v>20</v>
      </c>
      <c r="M19">
        <v>100</v>
      </c>
      <c r="N19">
        <v>89111</v>
      </c>
      <c r="O19">
        <v>1</v>
      </c>
      <c r="Q19" s="3" t="s">
        <v>770</v>
      </c>
    </row>
    <row r="20" spans="1:17">
      <c r="A20" s="22" t="s">
        <v>771</v>
      </c>
      <c r="B20" s="23">
        <v>19</v>
      </c>
      <c r="C20" s="20">
        <f t="shared" ref="C20" si="8">COUNTIF(D20:P20,"&gt;0")</f>
        <v>1</v>
      </c>
      <c r="D20">
        <v>5</v>
      </c>
    </row>
    <row r="21" spans="1:17">
      <c r="A21" s="22" t="s">
        <v>772</v>
      </c>
      <c r="B21" s="23">
        <v>20</v>
      </c>
      <c r="C21" s="20">
        <f t="shared" ref="C21" si="9">COUNTIF(D21:P21,"&gt;0")</f>
        <v>1</v>
      </c>
      <c r="D21">
        <v>2</v>
      </c>
    </row>
    <row r="22" spans="1:17">
      <c r="A22" s="22" t="s">
        <v>773</v>
      </c>
      <c r="B22" s="23">
        <v>21</v>
      </c>
      <c r="C22" s="20">
        <f t="shared" ref="C22" si="10">COUNTIF(D22:P22,"&gt;0")</f>
        <v>2</v>
      </c>
      <c r="D22">
        <v>10</v>
      </c>
      <c r="E22">
        <v>10</v>
      </c>
    </row>
    <row r="23" spans="1:17">
      <c r="A23" s="22" t="s">
        <v>774</v>
      </c>
      <c r="B23" s="23">
        <v>22</v>
      </c>
      <c r="C23" s="20">
        <f>COUNTIF(D23:P23,"&gt;0")</f>
        <v>2</v>
      </c>
      <c r="D23">
        <v>1</v>
      </c>
      <c r="E23">
        <v>2</v>
      </c>
      <c r="Q23" s="3" t="s">
        <v>775</v>
      </c>
    </row>
    <row r="24" spans="1:17">
      <c r="A24" t="s">
        <v>776</v>
      </c>
      <c r="B24">
        <v>23</v>
      </c>
      <c r="C24" s="20">
        <f>COUNTIF(D24:P24,"&gt;0")</f>
        <v>1</v>
      </c>
      <c r="D24" s="11">
        <v>66666</v>
      </c>
    </row>
    <row r="25" spans="1:17">
      <c r="A25" s="3" t="s">
        <v>777</v>
      </c>
      <c r="B25">
        <v>24</v>
      </c>
      <c r="C25" s="20">
        <f>COUNTIF(D25:P25,"&gt;0")</f>
        <v>1</v>
      </c>
      <c r="D25">
        <v>999</v>
      </c>
    </row>
    <row r="26" spans="1:17">
      <c r="A26" s="24" t="s">
        <v>778</v>
      </c>
      <c r="B26">
        <v>25</v>
      </c>
      <c r="C26" s="20">
        <f t="shared" ref="C26" si="11">COUNTIF(D26:P26,"&gt;0")</f>
        <v>2</v>
      </c>
      <c r="D26">
        <v>1</v>
      </c>
      <c r="E26">
        <v>7200</v>
      </c>
    </row>
    <row r="27" spans="1:17">
      <c r="A27" s="24" t="s">
        <v>779</v>
      </c>
      <c r="B27">
        <v>26</v>
      </c>
      <c r="C27" s="20">
        <f>COUNTIF(D27:P27,"&gt;0")</f>
        <v>3</v>
      </c>
      <c r="D27">
        <v>2015</v>
      </c>
      <c r="E27">
        <v>7</v>
      </c>
      <c r="F27">
        <v>9</v>
      </c>
    </row>
    <row r="28" spans="1:17">
      <c r="A28" s="24" t="s">
        <v>780</v>
      </c>
      <c r="B28">
        <v>27</v>
      </c>
      <c r="C28" s="20">
        <f>COUNTIF(D28:P28,"&gt;0")</f>
        <v>1</v>
      </c>
      <c r="D28">
        <v>7</v>
      </c>
    </row>
    <row r="29" spans="1:17">
      <c r="A29" s="24" t="s">
        <v>781</v>
      </c>
      <c r="B29">
        <v>28</v>
      </c>
      <c r="C29" s="20">
        <f>COUNTIF(D29:P29,"&gt;0")</f>
        <v>1</v>
      </c>
      <c r="D29">
        <v>7</v>
      </c>
    </row>
    <row r="30" spans="1:17">
      <c r="A30" s="24" t="s">
        <v>647</v>
      </c>
      <c r="B30">
        <v>29</v>
      </c>
      <c r="C30" s="20">
        <f>COUNTIF(D30:P30,"&gt;0")</f>
        <v>2</v>
      </c>
      <c r="D30">
        <v>120</v>
      </c>
      <c r="E30">
        <v>30</v>
      </c>
    </row>
    <row r="31" spans="1:17">
      <c r="A31" s="24" t="s">
        <v>782</v>
      </c>
      <c r="B31">
        <v>30</v>
      </c>
      <c r="C31" s="20">
        <f>COUNTIF(D31:P31,"&gt;0")</f>
        <v>2</v>
      </c>
      <c r="D31">
        <v>80</v>
      </c>
      <c r="E31">
        <v>98</v>
      </c>
    </row>
  </sheetData>
  <phoneticPr fontId="13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1"/>
  <sheetViews>
    <sheetView workbookViewId="0">
      <selection activeCell="E19" sqref="E19"/>
    </sheetView>
  </sheetViews>
  <sheetFormatPr defaultColWidth="9" defaultRowHeight="13.5"/>
  <cols>
    <col min="1" max="1" width="3.5" customWidth="1"/>
    <col min="2" max="2" width="54.5" customWidth="1"/>
  </cols>
  <sheetData>
    <row r="1" spans="1:2">
      <c r="A1" t="s">
        <v>0</v>
      </c>
      <c r="B1" t="s">
        <v>132</v>
      </c>
    </row>
    <row r="2" spans="1:2">
      <c r="A2">
        <v>1</v>
      </c>
      <c r="B2" t="s">
        <v>783</v>
      </c>
    </row>
    <row r="3" spans="1:2" ht="16.5">
      <c r="A3">
        <v>2</v>
      </c>
      <c r="B3" s="7" t="s">
        <v>784</v>
      </c>
    </row>
    <row r="4" spans="1:2" ht="16.5">
      <c r="A4">
        <v>3</v>
      </c>
      <c r="B4" s="7" t="s">
        <v>785</v>
      </c>
    </row>
    <row r="5" spans="1:2" ht="16.5">
      <c r="A5">
        <v>4</v>
      </c>
      <c r="B5" s="7" t="s">
        <v>786</v>
      </c>
    </row>
    <row r="6" spans="1:2">
      <c r="A6">
        <v>5</v>
      </c>
      <c r="B6" t="s">
        <v>787</v>
      </c>
    </row>
    <row r="7" spans="1:2">
      <c r="A7">
        <v>6</v>
      </c>
    </row>
    <row r="8" spans="1:2">
      <c r="A8">
        <v>7</v>
      </c>
    </row>
    <row r="9" spans="1:2">
      <c r="A9">
        <v>8</v>
      </c>
    </row>
    <row r="10" spans="1:2">
      <c r="A10">
        <v>9</v>
      </c>
    </row>
    <row r="11" spans="1:2">
      <c r="A11">
        <v>10</v>
      </c>
    </row>
    <row r="12" spans="1:2">
      <c r="A12">
        <v>11</v>
      </c>
    </row>
    <row r="13" spans="1:2">
      <c r="A13">
        <v>12</v>
      </c>
    </row>
    <row r="14" spans="1:2">
      <c r="A14">
        <v>13</v>
      </c>
    </row>
    <row r="15" spans="1:2">
      <c r="A15">
        <v>14</v>
      </c>
    </row>
    <row r="16" spans="1:2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0"/>
  </sheetPr>
  <dimension ref="A1:D6"/>
  <sheetViews>
    <sheetView workbookViewId="0"/>
  </sheetViews>
  <sheetFormatPr defaultColWidth="9" defaultRowHeight="13.5"/>
  <sheetData>
    <row r="1" spans="1:4">
      <c r="A1" t="s">
        <v>788</v>
      </c>
      <c r="B1" t="s">
        <v>789</v>
      </c>
      <c r="C1" t="s">
        <v>790</v>
      </c>
      <c r="D1" t="s">
        <v>791</v>
      </c>
    </row>
    <row r="2" spans="1:4">
      <c r="A2">
        <v>1</v>
      </c>
      <c r="B2">
        <v>30</v>
      </c>
      <c r="C2">
        <v>0</v>
      </c>
      <c r="D2" t="s">
        <v>792</v>
      </c>
    </row>
    <row r="3" spans="1:4">
      <c r="A3">
        <v>2</v>
      </c>
      <c r="B3">
        <v>50</v>
      </c>
      <c r="C3">
        <v>31</v>
      </c>
      <c r="D3" t="s">
        <v>793</v>
      </c>
    </row>
    <row r="4" spans="1:4">
      <c r="A4">
        <v>3</v>
      </c>
      <c r="B4">
        <v>70</v>
      </c>
      <c r="C4">
        <v>51</v>
      </c>
      <c r="D4" t="s">
        <v>794</v>
      </c>
    </row>
    <row r="5" spans="1:4">
      <c r="A5">
        <v>4</v>
      </c>
      <c r="B5">
        <v>90</v>
      </c>
      <c r="C5">
        <v>71</v>
      </c>
      <c r="D5" t="s">
        <v>795</v>
      </c>
    </row>
    <row r="6" spans="1:4">
      <c r="A6">
        <v>5</v>
      </c>
      <c r="B6">
        <v>1000000</v>
      </c>
      <c r="C6">
        <v>91</v>
      </c>
      <c r="D6" t="s">
        <v>796</v>
      </c>
    </row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"/>
  <sheetViews>
    <sheetView workbookViewId="0">
      <selection activeCell="F22" sqref="F22"/>
    </sheetView>
  </sheetViews>
  <sheetFormatPr defaultColWidth="9" defaultRowHeight="13.5"/>
  <sheetData>
    <row r="1" spans="1:3">
      <c r="A1" t="s">
        <v>102</v>
      </c>
      <c r="B1" t="s">
        <v>797</v>
      </c>
      <c r="C1" t="s">
        <v>798</v>
      </c>
    </row>
    <row r="2" spans="1:3">
      <c r="A2">
        <v>1</v>
      </c>
      <c r="B2">
        <v>1</v>
      </c>
      <c r="C2" t="s">
        <v>799</v>
      </c>
    </row>
    <row r="3" spans="1:3">
      <c r="A3">
        <v>2</v>
      </c>
      <c r="B3">
        <v>1</v>
      </c>
      <c r="C3" t="s">
        <v>800</v>
      </c>
    </row>
    <row r="4" spans="1:3">
      <c r="A4">
        <v>3</v>
      </c>
      <c r="B4">
        <v>1</v>
      </c>
      <c r="C4" t="s">
        <v>801</v>
      </c>
    </row>
    <row r="5" spans="1:3">
      <c r="A5">
        <v>4</v>
      </c>
      <c r="B5">
        <v>1</v>
      </c>
      <c r="C5" t="s">
        <v>802</v>
      </c>
    </row>
    <row r="6" spans="1:3">
      <c r="A6">
        <v>5</v>
      </c>
      <c r="B6">
        <v>1</v>
      </c>
      <c r="C6" t="s">
        <v>803</v>
      </c>
    </row>
    <row r="7" spans="1:3">
      <c r="A7">
        <v>6</v>
      </c>
      <c r="B7">
        <v>1</v>
      </c>
      <c r="C7" t="s">
        <v>804</v>
      </c>
    </row>
    <row r="8" spans="1:3">
      <c r="A8">
        <v>7</v>
      </c>
      <c r="B8">
        <v>1</v>
      </c>
      <c r="C8" s="3" t="s">
        <v>805</v>
      </c>
    </row>
    <row r="9" spans="1:3">
      <c r="A9">
        <v>8</v>
      </c>
      <c r="B9">
        <v>1</v>
      </c>
      <c r="C9" s="3" t="s">
        <v>806</v>
      </c>
    </row>
    <row r="10" spans="1:3">
      <c r="A10">
        <v>9</v>
      </c>
      <c r="B10">
        <v>1</v>
      </c>
      <c r="C10" s="3" t="s">
        <v>807</v>
      </c>
    </row>
    <row r="11" spans="1:3">
      <c r="A11">
        <v>10</v>
      </c>
      <c r="B11">
        <v>1</v>
      </c>
      <c r="C11" s="3" t="s">
        <v>808</v>
      </c>
    </row>
    <row r="12" spans="1:3">
      <c r="A12">
        <v>11</v>
      </c>
      <c r="B12">
        <v>1</v>
      </c>
      <c r="C12" s="3" t="s">
        <v>809</v>
      </c>
    </row>
    <row r="13" spans="1:3">
      <c r="A13">
        <v>12</v>
      </c>
      <c r="B13">
        <v>1</v>
      </c>
      <c r="C13" s="3" t="s">
        <v>810</v>
      </c>
    </row>
    <row r="14" spans="1:3">
      <c r="A14">
        <v>13</v>
      </c>
      <c r="B14">
        <v>1</v>
      </c>
      <c r="C14" t="s">
        <v>811</v>
      </c>
    </row>
    <row r="15" spans="1:3" ht="12.75" customHeight="1">
      <c r="A15">
        <v>14</v>
      </c>
      <c r="B15">
        <v>1</v>
      </c>
      <c r="C15" s="3" t="s">
        <v>812</v>
      </c>
    </row>
    <row r="16" spans="1:3">
      <c r="A16">
        <v>15</v>
      </c>
      <c r="B16">
        <v>1</v>
      </c>
      <c r="C16" s="3" t="s">
        <v>813</v>
      </c>
    </row>
  </sheetData>
  <phoneticPr fontId="13" type="noConversion"/>
  <pageMargins left="0.69930555555555596" right="0.69930555555555596" top="0.75" bottom="0.75" header="0.3" footer="0.3"/>
  <pageSetup paperSize="9" orientation="portrait" horizontalDpi="30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9"/>
  <sheetViews>
    <sheetView workbookViewId="0">
      <selection activeCell="K16" sqref="K16"/>
    </sheetView>
  </sheetViews>
  <sheetFormatPr defaultColWidth="9" defaultRowHeight="13.5"/>
  <cols>
    <col min="1" max="1" width="3.5" customWidth="1"/>
    <col min="2" max="5" width="6.25" customWidth="1"/>
    <col min="6" max="6" width="11.125" customWidth="1"/>
    <col min="7" max="9" width="10" customWidth="1"/>
  </cols>
  <sheetData>
    <row r="1" spans="1:9">
      <c r="A1" s="3" t="s">
        <v>619</v>
      </c>
      <c r="B1" s="3" t="s">
        <v>814</v>
      </c>
      <c r="C1" s="3" t="s">
        <v>815</v>
      </c>
      <c r="D1" s="3" t="s">
        <v>816</v>
      </c>
      <c r="E1" s="3" t="s">
        <v>817</v>
      </c>
      <c r="F1" s="3" t="s">
        <v>818</v>
      </c>
      <c r="G1" s="3" t="s">
        <v>819</v>
      </c>
      <c r="H1" s="3" t="s">
        <v>820</v>
      </c>
      <c r="I1" s="3" t="s">
        <v>821</v>
      </c>
    </row>
    <row r="2" spans="1:9">
      <c r="A2">
        <v>1</v>
      </c>
      <c r="B2" s="3">
        <v>1011</v>
      </c>
      <c r="C2" s="3">
        <v>1012</v>
      </c>
      <c r="F2">
        <v>1</v>
      </c>
      <c r="G2">
        <v>10</v>
      </c>
    </row>
    <row r="3" spans="1:9">
      <c r="A3">
        <v>2</v>
      </c>
      <c r="B3" s="3">
        <v>1021</v>
      </c>
      <c r="C3" s="3">
        <v>1022</v>
      </c>
      <c r="F3">
        <v>2</v>
      </c>
      <c r="G3">
        <v>10</v>
      </c>
    </row>
    <row r="4" spans="1:9">
      <c r="A4">
        <v>3</v>
      </c>
      <c r="B4" s="3">
        <v>1031</v>
      </c>
      <c r="C4" s="3">
        <v>1032</v>
      </c>
      <c r="F4">
        <v>3</v>
      </c>
      <c r="G4">
        <v>5</v>
      </c>
    </row>
    <row r="5" spans="1:9">
      <c r="A5">
        <v>4</v>
      </c>
      <c r="B5" s="3">
        <v>1041</v>
      </c>
      <c r="C5" s="3">
        <v>1042</v>
      </c>
      <c r="F5">
        <v>3</v>
      </c>
      <c r="G5">
        <v>10</v>
      </c>
    </row>
    <row r="6" spans="1:9">
      <c r="A6">
        <v>5</v>
      </c>
      <c r="B6" s="3">
        <v>1051</v>
      </c>
      <c r="C6" s="3">
        <v>1052</v>
      </c>
      <c r="F6">
        <v>4</v>
      </c>
      <c r="G6">
        <v>1</v>
      </c>
    </row>
    <row r="7" spans="1:9">
      <c r="A7">
        <v>6</v>
      </c>
      <c r="B7" s="3">
        <v>1061</v>
      </c>
      <c r="C7" s="3">
        <v>1062</v>
      </c>
      <c r="F7">
        <v>5</v>
      </c>
      <c r="G7">
        <v>2</v>
      </c>
    </row>
    <row r="8" spans="1:9">
      <c r="A8">
        <v>7</v>
      </c>
      <c r="B8" s="3">
        <v>1701</v>
      </c>
      <c r="C8" s="3"/>
      <c r="F8">
        <v>6</v>
      </c>
    </row>
    <row r="9" spans="1:9">
      <c r="A9">
        <v>8</v>
      </c>
      <c r="B9" s="3">
        <v>1801</v>
      </c>
      <c r="F9">
        <v>7</v>
      </c>
    </row>
  </sheetData>
  <phoneticPr fontId="13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O64"/>
  <sheetViews>
    <sheetView workbookViewId="0">
      <pane ySplit="1" topLeftCell="A2" activePane="bottomLeft" state="frozen"/>
      <selection pane="bottomLeft" activeCell="E5" sqref="E5"/>
    </sheetView>
  </sheetViews>
  <sheetFormatPr defaultColWidth="9" defaultRowHeight="13.5"/>
  <cols>
    <col min="9" max="9" width="9" style="1"/>
    <col min="13" max="22" width="9" style="2"/>
  </cols>
  <sheetData>
    <row r="1" spans="1:41">
      <c r="A1" s="3" t="s">
        <v>822</v>
      </c>
      <c r="B1" s="3" t="s">
        <v>3</v>
      </c>
      <c r="C1" s="3" t="s">
        <v>823</v>
      </c>
      <c r="D1" s="3" t="s">
        <v>824</v>
      </c>
      <c r="E1" s="3" t="s">
        <v>825</v>
      </c>
      <c r="F1" s="3" t="s">
        <v>826</v>
      </c>
      <c r="G1" s="3" t="s">
        <v>827</v>
      </c>
      <c r="H1" s="3" t="s">
        <v>828</v>
      </c>
      <c r="I1" s="1" t="s">
        <v>829</v>
      </c>
      <c r="K1" s="3" t="s">
        <v>830</v>
      </c>
    </row>
    <row r="2" spans="1:41">
      <c r="A2">
        <v>1</v>
      </c>
      <c r="B2">
        <v>1</v>
      </c>
      <c r="C2">
        <v>1</v>
      </c>
      <c r="E2">
        <f>[4]D_VIP对应表!$B3*200</f>
        <v>1200</v>
      </c>
      <c r="F2">
        <v>170</v>
      </c>
      <c r="G2">
        <v>20</v>
      </c>
      <c r="H2">
        <v>10</v>
      </c>
      <c r="I2" s="1">
        <v>1</v>
      </c>
      <c r="K2">
        <f>E2/(F2+G2+H2)/2</f>
        <v>3</v>
      </c>
      <c r="M2" s="4"/>
      <c r="Q2" s="4"/>
    </row>
    <row r="3" spans="1:41">
      <c r="A3">
        <v>2</v>
      </c>
      <c r="B3">
        <v>1</v>
      </c>
      <c r="C3">
        <v>2</v>
      </c>
      <c r="E3">
        <f>[4]D_VIP对应表!$B4*200</f>
        <v>6000</v>
      </c>
      <c r="F3">
        <v>170</v>
      </c>
      <c r="G3">
        <v>20</v>
      </c>
      <c r="H3">
        <v>10</v>
      </c>
      <c r="I3" s="1">
        <v>2</v>
      </c>
      <c r="K3">
        <f t="shared" ref="K3" si="0">E3/(F3+G3+H3)/2</f>
        <v>15</v>
      </c>
      <c r="Q3" s="4"/>
    </row>
    <row r="4" spans="1:41">
      <c r="A4">
        <v>3</v>
      </c>
      <c r="B4">
        <v>1</v>
      </c>
      <c r="C4">
        <v>3</v>
      </c>
      <c r="E4">
        <f>[4]D_VIP对应表!$B5*200</f>
        <v>20000</v>
      </c>
      <c r="F4">
        <v>170</v>
      </c>
      <c r="G4">
        <v>20</v>
      </c>
      <c r="H4">
        <v>10</v>
      </c>
      <c r="I4" s="1">
        <v>3</v>
      </c>
      <c r="K4">
        <f t="shared" ref="K4" si="1">E4/(F4+G4+H4)/2</f>
        <v>50</v>
      </c>
      <c r="Q4" s="4"/>
    </row>
    <row r="5" spans="1:41">
      <c r="A5">
        <v>4</v>
      </c>
      <c r="B5">
        <v>1</v>
      </c>
      <c r="C5">
        <v>4</v>
      </c>
      <c r="E5">
        <f>[4]D_VIP对应表!$B6*200</f>
        <v>60000</v>
      </c>
      <c r="F5">
        <v>170</v>
      </c>
      <c r="G5">
        <v>20</v>
      </c>
      <c r="H5">
        <v>10</v>
      </c>
      <c r="I5" s="1">
        <v>4</v>
      </c>
      <c r="K5">
        <f t="shared" ref="K5" si="2">E5/(F5+G5+H5)/2</f>
        <v>150</v>
      </c>
      <c r="Q5" s="4"/>
    </row>
    <row r="6" spans="1:41">
      <c r="A6">
        <v>5</v>
      </c>
      <c r="B6">
        <v>1</v>
      </c>
      <c r="C6">
        <v>5</v>
      </c>
      <c r="E6">
        <f>[4]D_VIP对应表!$B7*200</f>
        <v>100000</v>
      </c>
      <c r="F6">
        <v>170</v>
      </c>
      <c r="G6">
        <v>20</v>
      </c>
      <c r="H6">
        <v>10</v>
      </c>
      <c r="I6" s="1">
        <v>5</v>
      </c>
      <c r="K6">
        <f t="shared" ref="K6" si="3">E6/(F6+G6+H6)/2</f>
        <v>250</v>
      </c>
      <c r="Q6" s="4"/>
    </row>
    <row r="7" spans="1:41">
      <c r="A7">
        <v>6</v>
      </c>
      <c r="B7">
        <v>1</v>
      </c>
      <c r="C7">
        <v>6</v>
      </c>
      <c r="E7">
        <f>[4]D_VIP对应表!$B8*200</f>
        <v>140000</v>
      </c>
      <c r="F7">
        <v>170</v>
      </c>
      <c r="G7">
        <v>20</v>
      </c>
      <c r="H7">
        <v>10</v>
      </c>
      <c r="I7" s="1">
        <v>5</v>
      </c>
      <c r="K7">
        <f t="shared" ref="K7" si="4">E7/(F7+G7+H7)/2</f>
        <v>350</v>
      </c>
      <c r="Q7" s="4"/>
    </row>
    <row r="8" spans="1:41">
      <c r="A8">
        <v>7</v>
      </c>
      <c r="B8">
        <v>1</v>
      </c>
      <c r="C8">
        <v>7</v>
      </c>
      <c r="E8">
        <f>[4]D_VIP对应表!$B9*200</f>
        <v>200000</v>
      </c>
      <c r="F8">
        <v>170</v>
      </c>
      <c r="G8">
        <v>20</v>
      </c>
      <c r="H8">
        <v>10</v>
      </c>
      <c r="I8" s="1">
        <v>5</v>
      </c>
      <c r="K8">
        <f t="shared" ref="K8" si="5">E8/(F8+G8+H8)/2</f>
        <v>500</v>
      </c>
      <c r="Q8" s="4"/>
    </row>
    <row r="9" spans="1:41">
      <c r="A9">
        <v>8</v>
      </c>
      <c r="B9">
        <v>1</v>
      </c>
      <c r="C9">
        <v>8</v>
      </c>
      <c r="E9">
        <f>[4]D_VIP对应表!$B10*200</f>
        <v>300000</v>
      </c>
      <c r="F9">
        <v>170</v>
      </c>
      <c r="G9">
        <v>20</v>
      </c>
      <c r="H9">
        <v>10</v>
      </c>
      <c r="I9" s="1">
        <v>10</v>
      </c>
      <c r="K9">
        <f t="shared" ref="K9" si="6">E9/(F9+G9+H9)/2</f>
        <v>750</v>
      </c>
      <c r="Q9" s="4"/>
    </row>
    <row r="10" spans="1:41">
      <c r="A10">
        <v>9</v>
      </c>
      <c r="B10">
        <v>1</v>
      </c>
      <c r="C10">
        <v>9</v>
      </c>
      <c r="E10">
        <f>[4]D_VIP对应表!$B11*200</f>
        <v>400000</v>
      </c>
      <c r="F10">
        <v>170</v>
      </c>
      <c r="G10">
        <v>20</v>
      </c>
      <c r="H10">
        <v>10</v>
      </c>
      <c r="I10" s="1">
        <v>10</v>
      </c>
      <c r="K10">
        <f t="shared" ref="K10" si="7">E10/(F10+G10+H10)/2</f>
        <v>1000</v>
      </c>
      <c r="Q10" s="4"/>
    </row>
    <row r="11" spans="1:41">
      <c r="A11">
        <v>10</v>
      </c>
      <c r="B11">
        <v>1</v>
      </c>
      <c r="C11">
        <v>10</v>
      </c>
      <c r="E11">
        <f>[4]D_VIP对应表!$B12*200</f>
        <v>600000</v>
      </c>
      <c r="F11">
        <v>170</v>
      </c>
      <c r="G11">
        <v>20</v>
      </c>
      <c r="H11">
        <v>10</v>
      </c>
      <c r="I11" s="1">
        <v>10</v>
      </c>
      <c r="K11">
        <f t="shared" ref="K11" si="8">E11/(F11+G11+H11)/2</f>
        <v>1500</v>
      </c>
      <c r="Q11" s="4"/>
    </row>
    <row r="12" spans="1:41">
      <c r="A12">
        <v>11</v>
      </c>
      <c r="B12">
        <v>2</v>
      </c>
      <c r="C12">
        <f>[4]D_VIP充值表!$E10</f>
        <v>30</v>
      </c>
      <c r="D12">
        <v>390</v>
      </c>
      <c r="E12">
        <f>C12*200</f>
        <v>6000</v>
      </c>
      <c r="F12">
        <v>170</v>
      </c>
      <c r="G12">
        <v>20</v>
      </c>
      <c r="H12">
        <v>10</v>
      </c>
      <c r="I12" s="1">
        <v>1</v>
      </c>
      <c r="K12">
        <f t="shared" ref="K12" si="9">E12/(F12+G12+H12)/2</f>
        <v>15</v>
      </c>
    </row>
    <row r="13" spans="1:41">
      <c r="A13">
        <v>12</v>
      </c>
      <c r="B13">
        <v>2</v>
      </c>
      <c r="C13">
        <f>[4]D_VIP充值表!$E11</f>
        <v>6</v>
      </c>
      <c r="D13">
        <v>390</v>
      </c>
      <c r="E13">
        <f t="shared" ref="E13" si="10">C13*200</f>
        <v>1200</v>
      </c>
      <c r="F13">
        <v>170</v>
      </c>
      <c r="G13">
        <v>20</v>
      </c>
      <c r="H13">
        <v>10</v>
      </c>
      <c r="I13" s="1">
        <v>1</v>
      </c>
      <c r="K13">
        <f t="shared" ref="K13:K47" si="11">E13/(F13+G13+H13)/2</f>
        <v>3</v>
      </c>
    </row>
    <row r="14" spans="1:41">
      <c r="A14">
        <v>13</v>
      </c>
      <c r="B14">
        <v>2</v>
      </c>
      <c r="C14">
        <f>[4]D_VIP充值表!$E12</f>
        <v>30</v>
      </c>
      <c r="D14">
        <v>390</v>
      </c>
      <c r="E14">
        <f>C14*200</f>
        <v>6000</v>
      </c>
      <c r="F14">
        <v>170</v>
      </c>
      <c r="G14">
        <v>20</v>
      </c>
      <c r="H14">
        <v>10</v>
      </c>
      <c r="I14" s="1">
        <v>1</v>
      </c>
      <c r="K14">
        <f t="shared" si="11"/>
        <v>15</v>
      </c>
      <c r="M14" s="5" t="s">
        <v>831</v>
      </c>
      <c r="N14" s="5"/>
      <c r="AC14" s="6" t="s">
        <v>831</v>
      </c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</row>
    <row r="15" spans="1:41">
      <c r="A15">
        <v>14</v>
      </c>
      <c r="B15">
        <v>2</v>
      </c>
      <c r="C15">
        <f>[4]D_VIP充值表!$E13</f>
        <v>98</v>
      </c>
      <c r="D15">
        <v>390</v>
      </c>
      <c r="E15">
        <f>C15*200</f>
        <v>19600</v>
      </c>
      <c r="F15">
        <v>170</v>
      </c>
      <c r="G15">
        <v>20</v>
      </c>
      <c r="H15">
        <v>10</v>
      </c>
      <c r="I15" s="1">
        <v>1</v>
      </c>
      <c r="K15">
        <f t="shared" si="11"/>
        <v>49</v>
      </c>
      <c r="M15" s="5" t="s">
        <v>832</v>
      </c>
      <c r="N15" s="5"/>
      <c r="AC15" s="6">
        <v>1</v>
      </c>
      <c r="AD15" s="6" t="s">
        <v>833</v>
      </c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</row>
    <row r="16" spans="1:41">
      <c r="A16">
        <v>15</v>
      </c>
      <c r="B16">
        <v>2</v>
      </c>
      <c r="C16">
        <f>[4]D_VIP充值表!$E14</f>
        <v>198</v>
      </c>
      <c r="D16">
        <v>391</v>
      </c>
      <c r="E16">
        <f>C16*200</f>
        <v>39600</v>
      </c>
      <c r="F16">
        <v>170</v>
      </c>
      <c r="G16">
        <v>20</v>
      </c>
      <c r="H16">
        <v>10</v>
      </c>
      <c r="I16" s="1">
        <v>1</v>
      </c>
      <c r="K16">
        <f t="shared" si="11"/>
        <v>99</v>
      </c>
      <c r="M16" s="5" t="s">
        <v>834</v>
      </c>
      <c r="N16" s="5"/>
      <c r="AC16" s="6">
        <v>2</v>
      </c>
      <c r="AD16" s="6" t="s">
        <v>835</v>
      </c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</row>
    <row r="17" spans="1:41">
      <c r="A17">
        <v>16</v>
      </c>
      <c r="B17">
        <v>2</v>
      </c>
      <c r="C17">
        <f>[4]D_VIP充值表!$E15</f>
        <v>328</v>
      </c>
      <c r="D17">
        <v>391</v>
      </c>
      <c r="E17">
        <f>C17*200</f>
        <v>65600</v>
      </c>
      <c r="F17">
        <v>170</v>
      </c>
      <c r="G17">
        <v>20</v>
      </c>
      <c r="H17">
        <v>10</v>
      </c>
      <c r="I17" s="1">
        <v>5</v>
      </c>
      <c r="K17">
        <f t="shared" si="11"/>
        <v>164</v>
      </c>
      <c r="M17" s="5" t="s">
        <v>836</v>
      </c>
      <c r="N17" s="5"/>
      <c r="AC17" s="6">
        <v>3</v>
      </c>
      <c r="AD17" s="6" t="s">
        <v>837</v>
      </c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</row>
    <row r="18" spans="1:41">
      <c r="A18">
        <v>17</v>
      </c>
      <c r="B18">
        <v>2</v>
      </c>
      <c r="C18">
        <f>[4]D_VIP充值表!$E16</f>
        <v>648</v>
      </c>
      <c r="D18">
        <v>392</v>
      </c>
      <c r="E18">
        <f>C18*200</f>
        <v>129600</v>
      </c>
      <c r="F18">
        <v>170</v>
      </c>
      <c r="G18">
        <v>20</v>
      </c>
      <c r="H18">
        <v>10</v>
      </c>
      <c r="I18" s="1">
        <v>5</v>
      </c>
      <c r="K18">
        <f t="shared" si="11"/>
        <v>324</v>
      </c>
      <c r="M18" s="5" t="s">
        <v>838</v>
      </c>
      <c r="N18" s="5"/>
      <c r="AC18" s="6">
        <v>4</v>
      </c>
      <c r="AD18" s="6" t="s">
        <v>839</v>
      </c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</row>
    <row r="19" spans="1:41">
      <c r="A19">
        <v>18</v>
      </c>
      <c r="B19">
        <v>3</v>
      </c>
      <c r="C19">
        <v>78114</v>
      </c>
      <c r="E19">
        <v>2000</v>
      </c>
      <c r="F19">
        <v>170</v>
      </c>
      <c r="G19">
        <v>20</v>
      </c>
      <c r="H19">
        <v>10</v>
      </c>
      <c r="I19" s="1">
        <v>1</v>
      </c>
      <c r="K19">
        <f t="shared" si="11"/>
        <v>5</v>
      </c>
      <c r="M19" s="5" t="s">
        <v>840</v>
      </c>
      <c r="N19" s="5"/>
      <c r="AC19" s="6">
        <v>5</v>
      </c>
      <c r="AD19" s="6" t="s">
        <v>841</v>
      </c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</row>
    <row r="20" spans="1:41">
      <c r="A20">
        <v>19</v>
      </c>
      <c r="B20">
        <v>3</v>
      </c>
      <c r="C20">
        <v>78115</v>
      </c>
      <c r="E20">
        <v>2000</v>
      </c>
      <c r="F20">
        <v>170</v>
      </c>
      <c r="G20">
        <v>20</v>
      </c>
      <c r="H20">
        <v>10</v>
      </c>
      <c r="I20" s="1">
        <v>1</v>
      </c>
      <c r="K20">
        <f t="shared" si="11"/>
        <v>5</v>
      </c>
      <c r="M20" s="5" t="s">
        <v>842</v>
      </c>
      <c r="N20" s="5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</row>
    <row r="21" spans="1:41">
      <c r="A21">
        <v>20</v>
      </c>
      <c r="B21">
        <v>3</v>
      </c>
      <c r="C21">
        <v>78116</v>
      </c>
      <c r="E21">
        <v>2000</v>
      </c>
      <c r="F21">
        <v>170</v>
      </c>
      <c r="G21">
        <v>20</v>
      </c>
      <c r="H21">
        <v>10</v>
      </c>
      <c r="I21" s="1">
        <v>1</v>
      </c>
      <c r="K21">
        <f t="shared" si="11"/>
        <v>5</v>
      </c>
      <c r="AC21" s="6" t="s">
        <v>843</v>
      </c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</row>
    <row r="22" spans="1:41">
      <c r="A22">
        <v>21</v>
      </c>
      <c r="B22">
        <v>3</v>
      </c>
      <c r="C22">
        <v>10205</v>
      </c>
      <c r="E22">
        <v>2000</v>
      </c>
      <c r="F22">
        <v>170</v>
      </c>
      <c r="G22">
        <v>20</v>
      </c>
      <c r="H22">
        <v>10</v>
      </c>
      <c r="I22" s="1">
        <v>1</v>
      </c>
      <c r="K22">
        <f t="shared" si="11"/>
        <v>5</v>
      </c>
      <c r="AC22" s="6">
        <v>1</v>
      </c>
      <c r="AD22" s="6" t="s">
        <v>844</v>
      </c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</row>
    <row r="23" spans="1:41">
      <c r="A23">
        <v>22</v>
      </c>
      <c r="B23">
        <v>3</v>
      </c>
      <c r="C23">
        <v>20205</v>
      </c>
      <c r="E23">
        <v>2000</v>
      </c>
      <c r="F23">
        <v>170</v>
      </c>
      <c r="G23">
        <v>20</v>
      </c>
      <c r="H23">
        <v>10</v>
      </c>
      <c r="I23" s="1">
        <v>1</v>
      </c>
      <c r="K23">
        <f t="shared" si="11"/>
        <v>5</v>
      </c>
      <c r="AC23" s="6">
        <v>2</v>
      </c>
      <c r="AD23" s="6" t="s">
        <v>845</v>
      </c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</row>
    <row r="24" spans="1:41">
      <c r="A24">
        <v>23</v>
      </c>
      <c r="B24">
        <v>3</v>
      </c>
      <c r="C24">
        <v>30205</v>
      </c>
      <c r="E24">
        <v>2000</v>
      </c>
      <c r="F24">
        <v>170</v>
      </c>
      <c r="G24">
        <v>20</v>
      </c>
      <c r="H24">
        <v>10</v>
      </c>
      <c r="I24" s="1">
        <v>1</v>
      </c>
      <c r="K24">
        <f t="shared" si="11"/>
        <v>5</v>
      </c>
      <c r="AC24" s="6">
        <v>3</v>
      </c>
      <c r="AD24" s="6" t="s">
        <v>846</v>
      </c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</row>
    <row r="25" spans="1:41">
      <c r="A25">
        <v>24</v>
      </c>
      <c r="B25">
        <v>3</v>
      </c>
      <c r="C25">
        <v>51205</v>
      </c>
      <c r="E25">
        <v>2000</v>
      </c>
      <c r="F25">
        <v>170</v>
      </c>
      <c r="G25">
        <v>20</v>
      </c>
      <c r="H25">
        <v>10</v>
      </c>
      <c r="I25" s="1">
        <v>1</v>
      </c>
      <c r="K25">
        <f t="shared" si="11"/>
        <v>5</v>
      </c>
      <c r="AC25" s="6">
        <v>4</v>
      </c>
      <c r="AD25" s="6" t="s">
        <v>847</v>
      </c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</row>
    <row r="26" spans="1:41">
      <c r="A26">
        <v>25</v>
      </c>
      <c r="B26">
        <v>3</v>
      </c>
      <c r="C26">
        <v>52205</v>
      </c>
      <c r="E26">
        <v>2000</v>
      </c>
      <c r="F26">
        <v>170</v>
      </c>
      <c r="G26">
        <v>20</v>
      </c>
      <c r="H26">
        <v>10</v>
      </c>
      <c r="I26" s="1">
        <v>1</v>
      </c>
      <c r="K26">
        <f t="shared" si="11"/>
        <v>5</v>
      </c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</row>
    <row r="27" spans="1:41">
      <c r="A27">
        <v>26</v>
      </c>
      <c r="B27">
        <v>3</v>
      </c>
      <c r="C27">
        <v>55205</v>
      </c>
      <c r="E27">
        <v>2000</v>
      </c>
      <c r="F27">
        <v>170</v>
      </c>
      <c r="G27">
        <v>20</v>
      </c>
      <c r="H27">
        <v>10</v>
      </c>
      <c r="I27" s="1">
        <v>1</v>
      </c>
      <c r="K27">
        <f t="shared" si="11"/>
        <v>5</v>
      </c>
      <c r="AC27" s="6"/>
      <c r="AD27" s="6">
        <v>1</v>
      </c>
      <c r="AE27" s="6">
        <v>2</v>
      </c>
      <c r="AF27" s="6">
        <v>3</v>
      </c>
      <c r="AG27" s="6"/>
      <c r="AH27" s="6">
        <v>1</v>
      </c>
      <c r="AI27" s="6"/>
      <c r="AJ27" s="6"/>
      <c r="AK27" s="6"/>
      <c r="AL27" s="6"/>
      <c r="AM27" s="6"/>
      <c r="AN27" s="6"/>
      <c r="AO27" s="6"/>
    </row>
    <row r="28" spans="1:41">
      <c r="A28">
        <v>27</v>
      </c>
      <c r="B28">
        <v>3</v>
      </c>
      <c r="C28">
        <v>54205</v>
      </c>
      <c r="E28">
        <v>2000</v>
      </c>
      <c r="F28">
        <v>170</v>
      </c>
      <c r="G28">
        <v>20</v>
      </c>
      <c r="H28">
        <v>10</v>
      </c>
      <c r="I28" s="1">
        <v>1</v>
      </c>
      <c r="K28">
        <f t="shared" si="11"/>
        <v>5</v>
      </c>
      <c r="AC28" s="6">
        <v>1</v>
      </c>
      <c r="AD28" s="6">
        <f t="shared" ref="AD28" si="12">$AC28+AD$27</f>
        <v>2</v>
      </c>
      <c r="AE28" s="6">
        <f t="shared" ref="AE28" si="13">$AC28+AE$27</f>
        <v>3</v>
      </c>
      <c r="AF28" s="6">
        <f>$AC28+AF$27</f>
        <v>4</v>
      </c>
      <c r="AG28" s="6"/>
      <c r="AH28" s="6">
        <v>2</v>
      </c>
      <c r="AI28" s="6">
        <f t="shared" ref="AI28" si="14">COUNTIF($AD$28:$AF$30,AH28)</f>
        <v>1</v>
      </c>
      <c r="AJ28" s="6"/>
      <c r="AK28" s="6"/>
      <c r="AL28" s="6"/>
      <c r="AM28" s="6"/>
      <c r="AN28" s="6"/>
      <c r="AO28" s="6"/>
    </row>
    <row r="29" spans="1:41">
      <c r="A29">
        <v>28</v>
      </c>
      <c r="B29">
        <v>3</v>
      </c>
      <c r="C29">
        <v>53205</v>
      </c>
      <c r="E29">
        <v>2000</v>
      </c>
      <c r="F29">
        <v>170</v>
      </c>
      <c r="G29">
        <v>20</v>
      </c>
      <c r="H29">
        <v>10</v>
      </c>
      <c r="I29" s="1">
        <v>1</v>
      </c>
      <c r="K29">
        <f t="shared" si="11"/>
        <v>5</v>
      </c>
      <c r="AC29" s="6">
        <v>2</v>
      </c>
      <c r="AD29" s="6">
        <f>$AC29+AD$27</f>
        <v>3</v>
      </c>
      <c r="AE29" s="6">
        <f>$AC29+AE$27</f>
        <v>4</v>
      </c>
      <c r="AF29" s="6">
        <f>$AC29+AF$27</f>
        <v>5</v>
      </c>
      <c r="AG29" s="6"/>
      <c r="AH29" s="6">
        <v>3</v>
      </c>
      <c r="AI29" s="6">
        <f>COUNTIF($AD$28:$AF$30,AH29)</f>
        <v>2</v>
      </c>
      <c r="AJ29" s="6">
        <f t="shared" ref="AJ29" si="15">COUNTIF($AD$38:$AF$40,AH29)+COUNTIF($AD$33:$AF$35,AH29)+COUNTIF($AD$43:$AF$45,AH29)</f>
        <v>1</v>
      </c>
      <c r="AK29" s="6"/>
      <c r="AL29" s="6"/>
      <c r="AM29" s="6"/>
      <c r="AN29" s="6"/>
      <c r="AO29" s="6"/>
    </row>
    <row r="30" spans="1:41">
      <c r="A30">
        <v>29</v>
      </c>
      <c r="B30">
        <v>3</v>
      </c>
      <c r="C30">
        <v>89107</v>
      </c>
      <c r="E30">
        <v>2000</v>
      </c>
      <c r="F30">
        <v>170</v>
      </c>
      <c r="G30">
        <v>20</v>
      </c>
      <c r="H30">
        <v>10</v>
      </c>
      <c r="I30" s="1">
        <v>1</v>
      </c>
      <c r="K30">
        <f t="shared" si="11"/>
        <v>5</v>
      </c>
      <c r="AC30" s="6">
        <v>3</v>
      </c>
      <c r="AD30" s="6">
        <f>$AC30+AD$27</f>
        <v>4</v>
      </c>
      <c r="AE30" s="6">
        <f>$AC30+AE$27</f>
        <v>5</v>
      </c>
      <c r="AF30" s="6">
        <f>$AC30+AF$27</f>
        <v>6</v>
      </c>
      <c r="AG30" s="6"/>
      <c r="AH30" s="6">
        <v>4</v>
      </c>
      <c r="AI30" s="6">
        <f>COUNTIF($AD$28:$AF$30,AH30)</f>
        <v>3</v>
      </c>
      <c r="AJ30" s="6">
        <f t="shared" ref="AJ30" si="16">COUNTIF($AD$38:$AF$40,AH30)+COUNTIF($AD$33:$AF$35,AH30)+COUNTIF($AD$43:$AF$45,AH30)</f>
        <v>3</v>
      </c>
      <c r="AK30" s="6"/>
      <c r="AL30" s="6"/>
      <c r="AM30" s="6"/>
      <c r="AN30" s="6"/>
      <c r="AO30" s="6"/>
    </row>
    <row r="31" spans="1:41">
      <c r="A31">
        <v>30</v>
      </c>
      <c r="B31">
        <v>5</v>
      </c>
      <c r="C31">
        <v>1</v>
      </c>
      <c r="E31">
        <v>2000</v>
      </c>
      <c r="F31">
        <v>170</v>
      </c>
      <c r="G31">
        <v>20</v>
      </c>
      <c r="H31">
        <v>10</v>
      </c>
      <c r="I31" s="1">
        <v>1</v>
      </c>
      <c r="K31">
        <f t="shared" si="11"/>
        <v>5</v>
      </c>
      <c r="AC31" s="6"/>
      <c r="AD31" s="6"/>
      <c r="AE31" s="6"/>
      <c r="AF31" s="6"/>
      <c r="AG31" s="6"/>
      <c r="AH31" s="6">
        <v>5</v>
      </c>
      <c r="AI31" s="6">
        <f>COUNTIF($AD$28:$AF$30,AH31)</f>
        <v>2</v>
      </c>
      <c r="AJ31" s="6">
        <f>COUNTIF($AD$38:$AF$40,AH31)+COUNTIF($AD$33:$AF$35,AH31)+COUNTIF($AD$43:$AF$45,AH31)</f>
        <v>6</v>
      </c>
      <c r="AK31" s="6"/>
      <c r="AL31" s="6"/>
      <c r="AM31" s="6"/>
      <c r="AN31" s="6"/>
      <c r="AO31" s="6"/>
    </row>
    <row r="32" spans="1:41">
      <c r="A32">
        <v>31</v>
      </c>
      <c r="B32">
        <v>5</v>
      </c>
      <c r="C32">
        <v>2</v>
      </c>
      <c r="E32">
        <v>4000</v>
      </c>
      <c r="F32">
        <v>170</v>
      </c>
      <c r="G32">
        <v>20</v>
      </c>
      <c r="H32">
        <v>10</v>
      </c>
      <c r="I32" s="1">
        <v>1</v>
      </c>
      <c r="K32">
        <f t="shared" si="11"/>
        <v>10</v>
      </c>
      <c r="AC32" s="6"/>
      <c r="AD32" s="6">
        <v>1</v>
      </c>
      <c r="AE32" s="6">
        <v>2</v>
      </c>
      <c r="AF32" s="6">
        <v>3</v>
      </c>
      <c r="AG32" s="6"/>
      <c r="AH32" s="6">
        <v>6</v>
      </c>
      <c r="AI32" s="6">
        <f>COUNTIF($AD$28:$AF$30,AH32)</f>
        <v>1</v>
      </c>
      <c r="AJ32" s="6">
        <f>COUNTIF($AD$38:$AF$40,AH32)+COUNTIF($AD$33:$AF$35,AH32)+COUNTIF($AD$43:$AF$45,AH32)</f>
        <v>7</v>
      </c>
      <c r="AK32" s="6"/>
      <c r="AL32" s="6"/>
      <c r="AM32" s="6"/>
      <c r="AN32" s="6"/>
      <c r="AO32" s="6"/>
    </row>
    <row r="33" spans="1:41">
      <c r="A33">
        <v>32</v>
      </c>
      <c r="B33">
        <v>5</v>
      </c>
      <c r="C33">
        <v>3</v>
      </c>
      <c r="E33">
        <v>6000</v>
      </c>
      <c r="F33">
        <v>170</v>
      </c>
      <c r="G33">
        <v>20</v>
      </c>
      <c r="H33">
        <v>10</v>
      </c>
      <c r="I33" s="1">
        <v>1</v>
      </c>
      <c r="K33">
        <f t="shared" si="11"/>
        <v>15</v>
      </c>
      <c r="AC33" s="6">
        <f t="shared" ref="AC33" si="17">AD28</f>
        <v>2</v>
      </c>
      <c r="AD33" s="6">
        <f t="shared" ref="AD33" si="18">$AC33+AD$32</f>
        <v>3</v>
      </c>
      <c r="AE33" s="6">
        <f t="shared" ref="AE33" si="19">$AC33+AE$32</f>
        <v>4</v>
      </c>
      <c r="AF33" s="6">
        <f>$AC33+AF$32</f>
        <v>5</v>
      </c>
      <c r="AG33" s="6"/>
      <c r="AH33" s="6">
        <v>7</v>
      </c>
      <c r="AI33" s="6"/>
      <c r="AJ33" s="6">
        <f>COUNTIF($AD$38:$AF$40,AH33)+COUNTIF($AD$33:$AF$35,AH33)+COUNTIF($AD$43:$AF$45,AH33)</f>
        <v>6</v>
      </c>
      <c r="AK33" s="6"/>
      <c r="AL33" s="6"/>
      <c r="AM33" s="6"/>
      <c r="AN33" s="6"/>
      <c r="AO33" s="6"/>
    </row>
    <row r="34" spans="1:41">
      <c r="A34">
        <v>33</v>
      </c>
      <c r="B34">
        <v>5</v>
      </c>
      <c r="C34">
        <v>4</v>
      </c>
      <c r="E34">
        <v>8000</v>
      </c>
      <c r="F34">
        <v>170</v>
      </c>
      <c r="G34">
        <v>20</v>
      </c>
      <c r="H34">
        <v>10</v>
      </c>
      <c r="I34" s="1">
        <v>1</v>
      </c>
      <c r="K34">
        <f t="shared" si="11"/>
        <v>20</v>
      </c>
      <c r="AC34" s="6">
        <f>AD29</f>
        <v>3</v>
      </c>
      <c r="AD34" s="6">
        <f>$AC34+AD$32</f>
        <v>4</v>
      </c>
      <c r="AE34" s="6">
        <f>$AC34+AE$32</f>
        <v>5</v>
      </c>
      <c r="AF34" s="6">
        <f>$AC34+AF$32</f>
        <v>6</v>
      </c>
      <c r="AG34" s="6"/>
      <c r="AH34" s="6">
        <v>8</v>
      </c>
      <c r="AI34" s="6"/>
      <c r="AJ34" s="6">
        <f>COUNTIF($AD$38:$AF$40,AH34)+COUNTIF($AD$33:$AF$35,AH34)+COUNTIF($AD$43:$AF$45,AH34)</f>
        <v>3</v>
      </c>
      <c r="AK34" s="6"/>
      <c r="AL34" s="6"/>
      <c r="AM34" s="6"/>
      <c r="AN34" s="6"/>
      <c r="AO34" s="6"/>
    </row>
    <row r="35" spans="1:41">
      <c r="A35">
        <v>34</v>
      </c>
      <c r="B35">
        <v>5</v>
      </c>
      <c r="C35">
        <v>5</v>
      </c>
      <c r="E35">
        <v>10000</v>
      </c>
      <c r="F35">
        <v>170</v>
      </c>
      <c r="G35">
        <v>20</v>
      </c>
      <c r="H35">
        <v>10</v>
      </c>
      <c r="I35" s="1">
        <v>1</v>
      </c>
      <c r="K35">
        <f t="shared" si="11"/>
        <v>25</v>
      </c>
      <c r="AC35" s="6">
        <f>AD30</f>
        <v>4</v>
      </c>
      <c r="AD35" s="6">
        <f>$AC35+AD$32</f>
        <v>5</v>
      </c>
      <c r="AE35" s="6">
        <f>$AC35+AE$32</f>
        <v>6</v>
      </c>
      <c r="AF35" s="6">
        <f>$AC35+AF$32</f>
        <v>7</v>
      </c>
      <c r="AG35" s="6"/>
      <c r="AH35" s="6">
        <v>9</v>
      </c>
      <c r="AI35" s="6"/>
      <c r="AJ35" s="6">
        <f>COUNTIF($AD$38:$AF$40,AH35)+COUNTIF($AD$33:$AF$35,AH35)+COUNTIF($AD$43:$AF$45,AH35)</f>
        <v>1</v>
      </c>
      <c r="AK35" s="6"/>
      <c r="AL35" s="6"/>
      <c r="AM35" s="6"/>
      <c r="AN35" s="6"/>
      <c r="AO35" s="6"/>
    </row>
    <row r="36" spans="1:41">
      <c r="A36">
        <v>35</v>
      </c>
      <c r="B36">
        <v>5</v>
      </c>
      <c r="C36">
        <v>6</v>
      </c>
      <c r="E36">
        <v>12000</v>
      </c>
      <c r="F36">
        <v>170</v>
      </c>
      <c r="G36">
        <v>20</v>
      </c>
      <c r="H36">
        <v>10</v>
      </c>
      <c r="I36" s="1">
        <v>1</v>
      </c>
      <c r="K36">
        <f t="shared" si="11"/>
        <v>30</v>
      </c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</row>
    <row r="37" spans="1:41">
      <c r="A37">
        <v>36</v>
      </c>
      <c r="B37">
        <v>5</v>
      </c>
      <c r="C37">
        <v>7</v>
      </c>
      <c r="E37">
        <v>14000</v>
      </c>
      <c r="F37">
        <v>170</v>
      </c>
      <c r="G37">
        <v>20</v>
      </c>
      <c r="H37">
        <v>10</v>
      </c>
      <c r="I37" s="1">
        <v>1</v>
      </c>
      <c r="K37">
        <f t="shared" si="11"/>
        <v>35</v>
      </c>
      <c r="AC37" s="6"/>
      <c r="AD37" s="6">
        <v>1</v>
      </c>
      <c r="AE37" s="6">
        <v>2</v>
      </c>
      <c r="AF37" s="6">
        <v>3</v>
      </c>
      <c r="AG37" s="6"/>
      <c r="AH37" s="6"/>
      <c r="AI37" s="6"/>
      <c r="AJ37" s="6"/>
      <c r="AK37" s="6"/>
      <c r="AL37" s="6"/>
      <c r="AM37" s="6"/>
      <c r="AN37" s="6"/>
      <c r="AO37" s="6"/>
    </row>
    <row r="38" spans="1:41">
      <c r="A38">
        <v>37</v>
      </c>
      <c r="B38">
        <v>5</v>
      </c>
      <c r="C38">
        <v>8</v>
      </c>
      <c r="E38">
        <v>16000</v>
      </c>
      <c r="F38">
        <v>170</v>
      </c>
      <c r="G38">
        <v>20</v>
      </c>
      <c r="H38">
        <v>10</v>
      </c>
      <c r="I38" s="1">
        <v>1</v>
      </c>
      <c r="K38">
        <f t="shared" si="11"/>
        <v>40</v>
      </c>
      <c r="AC38" s="6">
        <f>AE28</f>
        <v>3</v>
      </c>
      <c r="AD38" s="6">
        <f t="shared" ref="AD38" si="20">$AC38+AD$37</f>
        <v>4</v>
      </c>
      <c r="AE38" s="6">
        <f t="shared" ref="AE38" si="21">$AC38+AE$37</f>
        <v>5</v>
      </c>
      <c r="AF38" s="6">
        <f>$AC38+AF$37</f>
        <v>6</v>
      </c>
      <c r="AG38" s="6"/>
      <c r="AH38" s="6"/>
      <c r="AI38" s="6"/>
      <c r="AJ38" s="6"/>
      <c r="AK38" s="6"/>
      <c r="AL38" s="6"/>
      <c r="AM38" s="6"/>
      <c r="AN38" s="6"/>
      <c r="AO38" s="6"/>
    </row>
    <row r="39" spans="1:41">
      <c r="A39">
        <v>38</v>
      </c>
      <c r="B39">
        <v>5</v>
      </c>
      <c r="C39">
        <v>9</v>
      </c>
      <c r="E39">
        <v>18000</v>
      </c>
      <c r="F39">
        <v>170</v>
      </c>
      <c r="G39">
        <v>20</v>
      </c>
      <c r="H39">
        <v>10</v>
      </c>
      <c r="I39" s="1">
        <v>1</v>
      </c>
      <c r="K39">
        <f t="shared" si="11"/>
        <v>45</v>
      </c>
      <c r="AC39" s="6">
        <f t="shared" ref="AC39" si="22">AE29</f>
        <v>4</v>
      </c>
      <c r="AD39" s="6">
        <f>$AC39+AD$37</f>
        <v>5</v>
      </c>
      <c r="AE39" s="6">
        <f>$AC39+AE$37</f>
        <v>6</v>
      </c>
      <c r="AF39" s="6">
        <f>$AC39+AF$37</f>
        <v>7</v>
      </c>
      <c r="AG39" s="6"/>
      <c r="AH39" s="6"/>
      <c r="AI39" s="6"/>
      <c r="AJ39" s="6"/>
      <c r="AK39" s="6"/>
      <c r="AL39" s="6"/>
      <c r="AM39" s="6"/>
      <c r="AN39" s="6"/>
      <c r="AO39" s="6"/>
    </row>
    <row r="40" spans="1:41">
      <c r="A40">
        <v>39</v>
      </c>
      <c r="B40">
        <v>5</v>
      </c>
      <c r="C40">
        <v>10</v>
      </c>
      <c r="E40">
        <v>20000</v>
      </c>
      <c r="F40">
        <v>170</v>
      </c>
      <c r="G40">
        <v>20</v>
      </c>
      <c r="H40">
        <v>10</v>
      </c>
      <c r="I40" s="1">
        <v>1</v>
      </c>
      <c r="K40">
        <f t="shared" si="11"/>
        <v>50</v>
      </c>
      <c r="AC40" s="6">
        <f>AE30</f>
        <v>5</v>
      </c>
      <c r="AD40" s="6">
        <f>$AC40+AD$37</f>
        <v>6</v>
      </c>
      <c r="AE40" s="6">
        <f>$AC40+AE$37</f>
        <v>7</v>
      </c>
      <c r="AF40" s="6">
        <f>$AC40+AF$37</f>
        <v>8</v>
      </c>
      <c r="AG40" s="6"/>
      <c r="AH40" s="6"/>
      <c r="AI40" s="6"/>
      <c r="AJ40" s="6"/>
      <c r="AK40" s="6"/>
      <c r="AL40" s="6"/>
      <c r="AM40" s="6"/>
      <c r="AN40" s="6"/>
      <c r="AO40" s="6"/>
    </row>
    <row r="41" spans="1:41">
      <c r="A41">
        <v>40</v>
      </c>
      <c r="B41">
        <v>6</v>
      </c>
      <c r="C41">
        <v>1</v>
      </c>
      <c r="E41">
        <v>4000</v>
      </c>
      <c r="F41">
        <v>170</v>
      </c>
      <c r="G41">
        <v>20</v>
      </c>
      <c r="H41">
        <v>10</v>
      </c>
      <c r="I41" s="1">
        <v>1</v>
      </c>
      <c r="K41">
        <f t="shared" si="11"/>
        <v>10</v>
      </c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</row>
    <row r="42" spans="1:41">
      <c r="A42">
        <v>41</v>
      </c>
      <c r="B42">
        <v>6</v>
      </c>
      <c r="C42">
        <v>2</v>
      </c>
      <c r="E42">
        <v>20000</v>
      </c>
      <c r="F42">
        <v>170</v>
      </c>
      <c r="G42">
        <v>20</v>
      </c>
      <c r="H42">
        <v>10</v>
      </c>
      <c r="I42" s="1">
        <v>1</v>
      </c>
      <c r="K42">
        <f t="shared" si="11"/>
        <v>50</v>
      </c>
      <c r="AC42" s="6"/>
      <c r="AD42" s="6">
        <v>1</v>
      </c>
      <c r="AE42" s="6">
        <v>2</v>
      </c>
      <c r="AF42" s="6">
        <v>3</v>
      </c>
      <c r="AG42" s="6"/>
      <c r="AH42" s="6"/>
      <c r="AI42" s="6"/>
      <c r="AJ42" s="6"/>
      <c r="AK42" s="6"/>
      <c r="AL42" s="6"/>
      <c r="AM42" s="6"/>
      <c r="AN42" s="6"/>
      <c r="AO42" s="6"/>
    </row>
    <row r="43" spans="1:41">
      <c r="A43">
        <v>42</v>
      </c>
      <c r="B43">
        <v>6</v>
      </c>
      <c r="C43">
        <v>3</v>
      </c>
      <c r="E43">
        <v>40000</v>
      </c>
      <c r="F43">
        <v>170</v>
      </c>
      <c r="G43">
        <v>20</v>
      </c>
      <c r="H43">
        <v>10</v>
      </c>
      <c r="I43" s="1">
        <v>1</v>
      </c>
      <c r="K43">
        <f t="shared" si="11"/>
        <v>100</v>
      </c>
      <c r="AC43" s="6">
        <f>AF28</f>
        <v>4</v>
      </c>
      <c r="AD43" s="6">
        <f t="shared" ref="AD43" si="23">$AC43+AD$42</f>
        <v>5</v>
      </c>
      <c r="AE43" s="6">
        <f t="shared" ref="AE43" si="24">$AC43+AE$42</f>
        <v>6</v>
      </c>
      <c r="AF43" s="6">
        <f>$AC43+AF$42</f>
        <v>7</v>
      </c>
      <c r="AG43" s="6"/>
      <c r="AH43" s="6"/>
      <c r="AI43" s="6"/>
      <c r="AJ43" s="6"/>
      <c r="AK43" s="6"/>
      <c r="AL43" s="6"/>
      <c r="AM43" s="6"/>
      <c r="AN43" s="6"/>
      <c r="AO43" s="6"/>
    </row>
    <row r="44" spans="1:41">
      <c r="A44">
        <v>43</v>
      </c>
      <c r="B44">
        <v>7</v>
      </c>
      <c r="E44">
        <v>20000</v>
      </c>
      <c r="F44">
        <v>170</v>
      </c>
      <c r="G44">
        <v>20</v>
      </c>
      <c r="H44">
        <v>10</v>
      </c>
      <c r="I44" s="1">
        <v>1</v>
      </c>
      <c r="K44">
        <f t="shared" si="11"/>
        <v>50</v>
      </c>
      <c r="AC44" s="6">
        <f t="shared" ref="AC44" si="25">AF29</f>
        <v>5</v>
      </c>
      <c r="AD44" s="6">
        <f>$AC44+AD$42</f>
        <v>6</v>
      </c>
      <c r="AE44" s="6">
        <f>$AC44+AE$42</f>
        <v>7</v>
      </c>
      <c r="AF44" s="6">
        <f>$AC44+AF$42</f>
        <v>8</v>
      </c>
      <c r="AG44" s="6"/>
      <c r="AH44" s="6"/>
      <c r="AI44" s="6"/>
      <c r="AJ44" s="6"/>
      <c r="AK44" s="6"/>
      <c r="AL44" s="6"/>
      <c r="AM44" s="6"/>
      <c r="AN44" s="6"/>
      <c r="AO44" s="6"/>
    </row>
    <row r="45" spans="1:41">
      <c r="A45">
        <v>44</v>
      </c>
      <c r="B45">
        <v>8</v>
      </c>
      <c r="C45">
        <v>1</v>
      </c>
      <c r="E45">
        <v>40000</v>
      </c>
      <c r="F45">
        <v>170</v>
      </c>
      <c r="G45">
        <v>20</v>
      </c>
      <c r="H45">
        <v>10</v>
      </c>
      <c r="I45" s="1">
        <v>1</v>
      </c>
      <c r="K45">
        <f t="shared" si="11"/>
        <v>100</v>
      </c>
      <c r="AC45" s="6">
        <f>AF30</f>
        <v>6</v>
      </c>
      <c r="AD45" s="6">
        <f>$AC45+AD$42</f>
        <v>7</v>
      </c>
      <c r="AE45" s="6">
        <f>$AC45+AE$42</f>
        <v>8</v>
      </c>
      <c r="AF45" s="6">
        <f>$AC45+AF$42</f>
        <v>9</v>
      </c>
      <c r="AG45" s="6"/>
      <c r="AH45" s="6"/>
      <c r="AI45" s="6"/>
      <c r="AJ45" s="6"/>
      <c r="AK45" s="6"/>
      <c r="AL45" s="6"/>
      <c r="AM45" s="6"/>
      <c r="AN45" s="6"/>
      <c r="AO45" s="6"/>
    </row>
    <row r="46" spans="1:41">
      <c r="A46">
        <v>45</v>
      </c>
      <c r="B46">
        <v>9</v>
      </c>
      <c r="E46">
        <v>4000</v>
      </c>
      <c r="F46">
        <v>170</v>
      </c>
      <c r="G46">
        <v>20</v>
      </c>
      <c r="H46">
        <v>10</v>
      </c>
      <c r="I46" s="1">
        <v>1</v>
      </c>
      <c r="K46">
        <f t="shared" si="11"/>
        <v>10</v>
      </c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</row>
    <row r="47" spans="1:41">
      <c r="A47">
        <v>46</v>
      </c>
      <c r="B47">
        <v>10</v>
      </c>
      <c r="E47">
        <v>20000</v>
      </c>
      <c r="F47">
        <v>170</v>
      </c>
      <c r="G47">
        <v>20</v>
      </c>
      <c r="H47">
        <v>10</v>
      </c>
      <c r="I47" s="1">
        <v>1</v>
      </c>
      <c r="K47">
        <f t="shared" si="11"/>
        <v>50</v>
      </c>
    </row>
    <row r="48" spans="1:41">
      <c r="A48">
        <v>47</v>
      </c>
      <c r="B48">
        <v>2</v>
      </c>
      <c r="C48">
        <f>[4]D_VIP充值表!$E17</f>
        <v>60</v>
      </c>
      <c r="D48">
        <v>390</v>
      </c>
      <c r="E48">
        <f>C48*200</f>
        <v>12000</v>
      </c>
      <c r="F48">
        <v>170</v>
      </c>
      <c r="G48">
        <v>20</v>
      </c>
      <c r="H48">
        <v>10</v>
      </c>
      <c r="I48" s="1">
        <v>1</v>
      </c>
      <c r="K48">
        <f t="shared" ref="K48" si="26">E48/(F48+G48+H48)/2</f>
        <v>30</v>
      </c>
      <c r="M48" s="5" t="s">
        <v>832</v>
      </c>
      <c r="N48" s="5"/>
      <c r="AC48" s="6">
        <v>1</v>
      </c>
      <c r="AD48" s="6" t="s">
        <v>833</v>
      </c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</row>
    <row r="49" spans="1:41">
      <c r="A49">
        <v>48</v>
      </c>
      <c r="B49">
        <v>3</v>
      </c>
      <c r="C49">
        <v>10306</v>
      </c>
      <c r="E49">
        <v>4000</v>
      </c>
      <c r="F49">
        <v>170</v>
      </c>
      <c r="G49">
        <v>20</v>
      </c>
      <c r="H49">
        <v>10</v>
      </c>
      <c r="I49" s="1">
        <v>1</v>
      </c>
      <c r="K49">
        <f t="shared" ref="K49:K56" si="27">E49/(F49+G49+H49)/2</f>
        <v>10</v>
      </c>
      <c r="AC49" s="6">
        <v>1</v>
      </c>
      <c r="AD49" s="6" t="s">
        <v>844</v>
      </c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</row>
    <row r="50" spans="1:41">
      <c r="A50">
        <v>49</v>
      </c>
      <c r="B50">
        <v>3</v>
      </c>
      <c r="C50">
        <v>20306</v>
      </c>
      <c r="E50">
        <v>4000</v>
      </c>
      <c r="F50">
        <v>170</v>
      </c>
      <c r="G50">
        <v>20</v>
      </c>
      <c r="H50">
        <v>10</v>
      </c>
      <c r="I50" s="1">
        <v>1</v>
      </c>
      <c r="K50">
        <f t="shared" si="27"/>
        <v>10</v>
      </c>
      <c r="AC50" s="6">
        <v>2</v>
      </c>
      <c r="AD50" s="6" t="s">
        <v>845</v>
      </c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</row>
    <row r="51" spans="1:41">
      <c r="A51">
        <v>50</v>
      </c>
      <c r="B51">
        <v>3</v>
      </c>
      <c r="C51">
        <v>30306</v>
      </c>
      <c r="E51">
        <v>4000</v>
      </c>
      <c r="F51">
        <v>170</v>
      </c>
      <c r="G51">
        <v>20</v>
      </c>
      <c r="H51">
        <v>10</v>
      </c>
      <c r="I51" s="1">
        <v>1</v>
      </c>
      <c r="K51">
        <f t="shared" si="27"/>
        <v>10</v>
      </c>
      <c r="AC51" s="6">
        <v>3</v>
      </c>
      <c r="AD51" s="6" t="s">
        <v>846</v>
      </c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</row>
    <row r="52" spans="1:41">
      <c r="A52">
        <v>51</v>
      </c>
      <c r="B52">
        <v>3</v>
      </c>
      <c r="C52">
        <v>51306</v>
      </c>
      <c r="E52">
        <v>4000</v>
      </c>
      <c r="F52">
        <v>170</v>
      </c>
      <c r="G52">
        <v>20</v>
      </c>
      <c r="H52">
        <v>10</v>
      </c>
      <c r="I52" s="1">
        <v>1</v>
      </c>
      <c r="K52">
        <f t="shared" si="27"/>
        <v>10</v>
      </c>
      <c r="AC52" s="6">
        <v>4</v>
      </c>
      <c r="AD52" s="6" t="s">
        <v>847</v>
      </c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</row>
    <row r="53" spans="1:41">
      <c r="A53">
        <v>52</v>
      </c>
      <c r="B53">
        <v>3</v>
      </c>
      <c r="C53">
        <v>52306</v>
      </c>
      <c r="E53">
        <v>4000</v>
      </c>
      <c r="F53">
        <v>170</v>
      </c>
      <c r="G53">
        <v>20</v>
      </c>
      <c r="H53">
        <v>10</v>
      </c>
      <c r="I53" s="1">
        <v>1</v>
      </c>
      <c r="K53">
        <f t="shared" si="27"/>
        <v>10</v>
      </c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</row>
    <row r="54" spans="1:41">
      <c r="A54">
        <v>53</v>
      </c>
      <c r="B54">
        <v>3</v>
      </c>
      <c r="C54">
        <v>55306</v>
      </c>
      <c r="E54">
        <v>4000</v>
      </c>
      <c r="F54">
        <v>170</v>
      </c>
      <c r="G54">
        <v>20</v>
      </c>
      <c r="H54">
        <v>10</v>
      </c>
      <c r="I54" s="1">
        <v>1</v>
      </c>
      <c r="K54">
        <f t="shared" si="27"/>
        <v>10</v>
      </c>
      <c r="AC54" s="6"/>
      <c r="AD54" s="6">
        <v>1</v>
      </c>
      <c r="AE54" s="6">
        <v>2</v>
      </c>
      <c r="AF54" s="6">
        <v>3</v>
      </c>
      <c r="AG54" s="6"/>
      <c r="AH54" s="6">
        <v>1</v>
      </c>
      <c r="AI54" s="6"/>
      <c r="AJ54" s="6"/>
      <c r="AK54" s="6"/>
      <c r="AL54" s="6"/>
      <c r="AM54" s="6"/>
      <c r="AN54" s="6"/>
      <c r="AO54" s="6"/>
    </row>
    <row r="55" spans="1:41">
      <c r="A55">
        <v>54</v>
      </c>
      <c r="B55">
        <v>3</v>
      </c>
      <c r="C55">
        <v>54306</v>
      </c>
      <c r="E55">
        <v>4000</v>
      </c>
      <c r="F55">
        <v>170</v>
      </c>
      <c r="G55">
        <v>20</v>
      </c>
      <c r="H55">
        <v>10</v>
      </c>
      <c r="I55" s="1">
        <v>1</v>
      </c>
      <c r="K55">
        <f t="shared" si="27"/>
        <v>10</v>
      </c>
      <c r="AC55" s="6">
        <v>1</v>
      </c>
      <c r="AD55" s="6">
        <f t="shared" ref="AD55" si="28">$AC55+AD$27</f>
        <v>2</v>
      </c>
      <c r="AE55" s="6">
        <f>$AC55+AE$27</f>
        <v>3</v>
      </c>
      <c r="AF55" s="6">
        <f>$AC55+AF$27</f>
        <v>4</v>
      </c>
      <c r="AG55" s="6"/>
      <c r="AH55" s="6">
        <v>2</v>
      </c>
      <c r="AI55" s="6">
        <f t="shared" ref="AI55" si="29">COUNTIF($AD$28:$AF$30,AH55)</f>
        <v>1</v>
      </c>
      <c r="AJ55" s="6"/>
      <c r="AK55" s="6"/>
      <c r="AL55" s="6"/>
      <c r="AM55" s="6"/>
      <c r="AN55" s="6"/>
      <c r="AO55" s="6"/>
    </row>
    <row r="56" spans="1:41">
      <c r="A56">
        <v>55</v>
      </c>
      <c r="B56">
        <v>3</v>
      </c>
      <c r="C56">
        <v>53306</v>
      </c>
      <c r="E56">
        <v>4000</v>
      </c>
      <c r="F56">
        <v>170</v>
      </c>
      <c r="G56">
        <v>20</v>
      </c>
      <c r="H56">
        <v>10</v>
      </c>
      <c r="I56" s="1">
        <v>1</v>
      </c>
      <c r="K56">
        <f t="shared" si="27"/>
        <v>10</v>
      </c>
      <c r="AC56" s="6">
        <v>2</v>
      </c>
      <c r="AD56" s="6">
        <f t="shared" ref="AD56" si="30">$AC56+AD$27</f>
        <v>3</v>
      </c>
      <c r="AE56" s="6">
        <f>$AC56+AE$27</f>
        <v>4</v>
      </c>
      <c r="AF56" s="6">
        <f>$AC56+AF$27</f>
        <v>5</v>
      </c>
      <c r="AG56" s="6"/>
      <c r="AH56" s="6">
        <v>3</v>
      </c>
      <c r="AI56" s="6">
        <f>COUNTIF($AD$28:$AF$30,AH56)</f>
        <v>2</v>
      </c>
      <c r="AJ56" s="6">
        <f t="shared" ref="AJ56" si="31">COUNTIF($AD$38:$AF$40,AH56)+COUNTIF($AD$33:$AF$35,AH56)+COUNTIF($AD$43:$AF$45,AH56)</f>
        <v>1</v>
      </c>
      <c r="AK56" s="6"/>
      <c r="AL56" s="6"/>
      <c r="AM56" s="6"/>
      <c r="AN56" s="6"/>
      <c r="AO56" s="6"/>
    </row>
    <row r="57" spans="1:41">
      <c r="A57">
        <v>56</v>
      </c>
      <c r="B57">
        <v>3</v>
      </c>
      <c r="C57">
        <v>10407</v>
      </c>
      <c r="E57">
        <v>8000</v>
      </c>
      <c r="F57">
        <v>170</v>
      </c>
      <c r="G57">
        <v>20</v>
      </c>
      <c r="H57">
        <v>10</v>
      </c>
      <c r="I57" s="1">
        <v>1</v>
      </c>
      <c r="K57">
        <f t="shared" ref="K57" si="32">E57/(F57+G57+H57)/2</f>
        <v>20</v>
      </c>
      <c r="AC57" s="6">
        <v>1</v>
      </c>
      <c r="AD57" s="6" t="s">
        <v>844</v>
      </c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</row>
    <row r="58" spans="1:41">
      <c r="A58">
        <v>57</v>
      </c>
      <c r="B58">
        <v>3</v>
      </c>
      <c r="C58">
        <v>20407</v>
      </c>
      <c r="E58">
        <v>8000</v>
      </c>
      <c r="F58">
        <v>170</v>
      </c>
      <c r="G58">
        <v>20</v>
      </c>
      <c r="H58">
        <v>10</v>
      </c>
      <c r="I58" s="1">
        <v>1</v>
      </c>
      <c r="K58">
        <f t="shared" ref="K58:K64" si="33">E58/(F58+G58+H58)/2</f>
        <v>20</v>
      </c>
      <c r="AC58" s="6">
        <v>2</v>
      </c>
      <c r="AD58" s="6" t="s">
        <v>845</v>
      </c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</row>
    <row r="59" spans="1:41">
      <c r="A59">
        <v>58</v>
      </c>
      <c r="B59">
        <v>3</v>
      </c>
      <c r="C59">
        <v>30407</v>
      </c>
      <c r="E59">
        <v>8000</v>
      </c>
      <c r="F59">
        <v>170</v>
      </c>
      <c r="G59">
        <v>20</v>
      </c>
      <c r="H59">
        <v>10</v>
      </c>
      <c r="I59" s="1">
        <v>1</v>
      </c>
      <c r="K59">
        <f t="shared" si="33"/>
        <v>20</v>
      </c>
      <c r="AC59" s="6">
        <v>3</v>
      </c>
      <c r="AD59" s="6" t="s">
        <v>846</v>
      </c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</row>
    <row r="60" spans="1:41">
      <c r="A60">
        <v>59</v>
      </c>
      <c r="B60">
        <v>3</v>
      </c>
      <c r="C60">
        <v>51407</v>
      </c>
      <c r="E60">
        <v>8000</v>
      </c>
      <c r="F60">
        <v>170</v>
      </c>
      <c r="G60">
        <v>20</v>
      </c>
      <c r="H60">
        <v>10</v>
      </c>
      <c r="I60" s="1">
        <v>1</v>
      </c>
      <c r="K60">
        <f t="shared" si="33"/>
        <v>20</v>
      </c>
      <c r="AC60" s="6">
        <v>4</v>
      </c>
      <c r="AD60" s="6" t="s">
        <v>847</v>
      </c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</row>
    <row r="61" spans="1:41">
      <c r="A61">
        <v>60</v>
      </c>
      <c r="B61">
        <v>3</v>
      </c>
      <c r="C61">
        <v>52407</v>
      </c>
      <c r="E61">
        <v>8000</v>
      </c>
      <c r="F61">
        <v>170</v>
      </c>
      <c r="G61">
        <v>20</v>
      </c>
      <c r="H61">
        <v>10</v>
      </c>
      <c r="I61" s="1">
        <v>1</v>
      </c>
      <c r="K61">
        <f t="shared" si="33"/>
        <v>20</v>
      </c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</row>
    <row r="62" spans="1:41">
      <c r="A62">
        <v>61</v>
      </c>
      <c r="B62">
        <v>3</v>
      </c>
      <c r="C62">
        <v>55407</v>
      </c>
      <c r="E62">
        <v>8000</v>
      </c>
      <c r="F62">
        <v>170</v>
      </c>
      <c r="G62">
        <v>20</v>
      </c>
      <c r="H62">
        <v>10</v>
      </c>
      <c r="I62" s="1">
        <v>1</v>
      </c>
      <c r="K62">
        <f t="shared" si="33"/>
        <v>20</v>
      </c>
      <c r="AC62" s="6"/>
      <c r="AD62" s="6">
        <v>1</v>
      </c>
      <c r="AE62" s="6">
        <v>2</v>
      </c>
      <c r="AF62" s="6">
        <v>3</v>
      </c>
      <c r="AG62" s="6"/>
      <c r="AH62" s="6">
        <v>1</v>
      </c>
      <c r="AI62" s="6"/>
      <c r="AJ62" s="6"/>
      <c r="AK62" s="6"/>
      <c r="AL62" s="6"/>
      <c r="AM62" s="6"/>
      <c r="AN62" s="6"/>
      <c r="AO62" s="6"/>
    </row>
    <row r="63" spans="1:41">
      <c r="A63">
        <v>62</v>
      </c>
      <c r="B63">
        <v>3</v>
      </c>
      <c r="C63">
        <v>54407</v>
      </c>
      <c r="E63">
        <v>8000</v>
      </c>
      <c r="F63">
        <v>170</v>
      </c>
      <c r="G63">
        <v>20</v>
      </c>
      <c r="H63">
        <v>10</v>
      </c>
      <c r="I63" s="1">
        <v>1</v>
      </c>
      <c r="K63">
        <f t="shared" si="33"/>
        <v>20</v>
      </c>
      <c r="AC63" s="6">
        <v>1</v>
      </c>
      <c r="AD63" s="6">
        <f t="shared" ref="AD63" si="34">$AC63+AD$27</f>
        <v>2</v>
      </c>
      <c r="AE63" s="6">
        <f>$AC63+AE$27</f>
        <v>3</v>
      </c>
      <c r="AF63" s="6">
        <f>$AC63+AF$27</f>
        <v>4</v>
      </c>
      <c r="AG63" s="6"/>
      <c r="AH63" s="6">
        <v>2</v>
      </c>
      <c r="AI63" s="6">
        <f t="shared" ref="AI63" si="35">COUNTIF($AD$28:$AF$30,AH63)</f>
        <v>1</v>
      </c>
      <c r="AJ63" s="6"/>
      <c r="AK63" s="6"/>
      <c r="AL63" s="6"/>
      <c r="AM63" s="6"/>
      <c r="AN63" s="6"/>
      <c r="AO63" s="6"/>
    </row>
    <row r="64" spans="1:41">
      <c r="A64">
        <v>63</v>
      </c>
      <c r="B64">
        <v>3</v>
      </c>
      <c r="C64">
        <v>53407</v>
      </c>
      <c r="E64">
        <v>8000</v>
      </c>
      <c r="F64">
        <v>170</v>
      </c>
      <c r="G64">
        <v>20</v>
      </c>
      <c r="H64">
        <v>10</v>
      </c>
      <c r="I64" s="1">
        <v>1</v>
      </c>
      <c r="K64">
        <f t="shared" si="33"/>
        <v>20</v>
      </c>
      <c r="AC64" s="6">
        <v>2</v>
      </c>
      <c r="AD64" s="6">
        <f t="shared" ref="AD64" si="36">$AC64+AD$27</f>
        <v>3</v>
      </c>
      <c r="AE64" s="6">
        <f>$AC64+AE$27</f>
        <v>4</v>
      </c>
      <c r="AF64" s="6">
        <f>$AC64+AF$27</f>
        <v>5</v>
      </c>
      <c r="AG64" s="6"/>
      <c r="AH64" s="6">
        <v>3</v>
      </c>
      <c r="AI64" s="6">
        <f>COUNTIF($AD$28:$AF$30,AH64)</f>
        <v>2</v>
      </c>
      <c r="AJ64" s="6">
        <f t="shared" ref="AJ64" si="37">COUNTIF($AD$38:$AF$40,AH64)+COUNTIF($AD$33:$AF$35,AH64)+COUNTIF($AD$43:$AF$45,AH64)</f>
        <v>1</v>
      </c>
      <c r="AK64" s="6"/>
      <c r="AL64" s="6"/>
      <c r="AM64" s="6"/>
      <c r="AN64" s="6"/>
      <c r="AO64" s="6"/>
    </row>
  </sheetData>
  <phoneticPr fontId="13" type="noConversion"/>
  <conditionalFormatting sqref="I1:I47 I65:I1048576">
    <cfRule type="expression" dxfId="7" priority="1" stopIfTrue="1">
      <formula>$E1/($F1+$G1+$H1)=$I1</formula>
    </cfRule>
    <cfRule type="expression" dxfId="6" priority="2" stopIfTrue="1">
      <formula>$E1/($F1+$G1+$H1)&lt;$I1</formula>
    </cfRule>
  </conditionalFormatting>
  <conditionalFormatting sqref="I48">
    <cfRule type="expression" dxfId="5" priority="3" stopIfTrue="1">
      <formula>$E48/($F48+$G48+$H48)=$I48</formula>
    </cfRule>
    <cfRule type="expression" dxfId="4" priority="4" stopIfTrue="1">
      <formula>$E48/($F48+$G48+$H48)&lt;$I48</formula>
    </cfRule>
  </conditionalFormatting>
  <conditionalFormatting sqref="I49:I56">
    <cfRule type="expression" dxfId="3" priority="5" stopIfTrue="1">
      <formula>$E49/($F49+$G49+$H49)=$I49</formula>
    </cfRule>
    <cfRule type="expression" dxfId="2" priority="6" stopIfTrue="1">
      <formula>$E49/($F49+$G49+$H49)&lt;$I49</formula>
    </cfRule>
  </conditionalFormatting>
  <conditionalFormatting sqref="I57:I64">
    <cfRule type="expression" dxfId="1" priority="7" stopIfTrue="1">
      <formula>$E57/($F57+$G57+$H57)=$I57</formula>
    </cfRule>
    <cfRule type="expression" dxfId="0" priority="8" stopIfTrue="1">
      <formula>$E57/($F57+$G57+$H57)&lt;$I57</formula>
    </cfRule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3.5"/>
  <sheetData/>
  <phoneticPr fontId="13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D_UI配置表</vt:lpstr>
      <vt:lpstr>D_目标选择</vt:lpstr>
      <vt:lpstr>D_服务器配置</vt:lpstr>
      <vt:lpstr>D_TIP配置</vt:lpstr>
      <vt:lpstr>D_系统帮助</vt:lpstr>
      <vt:lpstr>D_错误代码</vt:lpstr>
      <vt:lpstr>D_文字转化</vt:lpstr>
      <vt:lpstr>D_域名</vt:lpstr>
      <vt:lpstr>D_我要变强</vt:lpstr>
      <vt:lpstr>D_走马灯表</vt:lpstr>
      <vt:lpstr>D_颜色对应</vt:lpstr>
      <vt:lpstr>D_公式常数表</vt:lpstr>
      <vt:lpstr>D_小提示</vt:lpstr>
      <vt:lpstr>D_战力评分</vt:lpstr>
      <vt:lpstr>D_LOADING小提示</vt:lpstr>
      <vt:lpstr>D_走马灯配置</vt:lpstr>
      <vt:lpstr>D_VIP等级红包配置表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jinxin</cp:lastModifiedBy>
  <dcterms:created xsi:type="dcterms:W3CDTF">2006-09-16T00:00:00Z</dcterms:created>
  <dcterms:modified xsi:type="dcterms:W3CDTF">2015-08-19T06:42:49Z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2052-9.1.0.5133</vt:lpwstr>
  </property>
</Properties>
</file>